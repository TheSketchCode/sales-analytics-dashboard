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bhatt\OneDrive\Documents\"/>
    </mc:Choice>
  </mc:AlternateContent>
  <xr:revisionPtr revIDLastSave="0" documentId="8_{EAB9071E-F1D9-4CCD-A95B-01A415104748}" xr6:coauthVersionLast="47" xr6:coauthVersionMax="47" xr10:uidLastSave="{00000000-0000-0000-0000-000000000000}"/>
  <bookViews>
    <workbookView xWindow="-120" yWindow="-120" windowWidth="29040" windowHeight="15720" tabRatio="704" activeTab="6" xr2:uid="{00000000-000D-0000-FFFF-FFFF00000000}"/>
  </bookViews>
  <sheets>
    <sheet name="CategoryWiseSales" sheetId="6" r:id="rId1"/>
    <sheet name="YearWiseProfit" sheetId="7" r:id="rId2"/>
    <sheet name="MonthWiseSales" sheetId="8" r:id="rId3"/>
    <sheet name="Top5Customer" sheetId="9" r:id="rId4"/>
    <sheet name="StateWiseSales" sheetId="10" r:id="rId5"/>
    <sheet name="Sales Data" sheetId="1" r:id="rId6"/>
    <sheet name="Dashboard" sheetId="14" r:id="rId7"/>
  </sheets>
  <definedNames>
    <definedName name="_xlchart.v2.4" hidden="1">CategoryWiseSales!$E$4:$E$15</definedName>
    <definedName name="_xlchart.v2.5" hidden="1">CategoryWiseSales!$F$4:$F$15</definedName>
    <definedName name="_xlchart.v5.0" hidden="1">StateWiseSales!$E$3</definedName>
    <definedName name="_xlchart.v5.1" hidden="1">StateWiseSales!$E$4:$E$13</definedName>
    <definedName name="_xlchart.v5.2" hidden="1">StateWiseSales!$F$3</definedName>
    <definedName name="_xlchart.v5.3" hidden="1">StateWiseSales!$F$4:$F$13</definedName>
    <definedName name="_xlchart.v5.6" hidden="1">StateWiseSales!$E$3</definedName>
    <definedName name="_xlchart.v5.7" hidden="1">StateWiseSales!$E$4:$E$13</definedName>
    <definedName name="_xlchart.v5.8" hidden="1">StateWiseSales!$F$3</definedName>
    <definedName name="_xlchart.v5.9" hidden="1">StateWiseSales!$F$4:$F$13</definedName>
    <definedName name="Slicer_Category">#N/A</definedName>
    <definedName name="Slicer_Year">#N/A</definedName>
  </definedNames>
  <calcPr calcId="191029"/>
  <pivotCaches>
    <pivotCache cacheId="2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0" l="1"/>
  <c r="F5" i="10"/>
  <c r="E6" i="10"/>
  <c r="F6" i="10"/>
  <c r="E7" i="10"/>
  <c r="F7" i="10"/>
  <c r="E8" i="10"/>
  <c r="F8" i="10"/>
  <c r="E9" i="10"/>
  <c r="F9" i="10"/>
  <c r="E10" i="10"/>
  <c r="F10" i="10"/>
  <c r="E11" i="10"/>
  <c r="F11" i="10"/>
  <c r="E12" i="10"/>
  <c r="F12" i="10"/>
  <c r="E13" i="10"/>
  <c r="F13" i="10"/>
  <c r="F4" i="10"/>
  <c r="E4" i="10"/>
  <c r="D4" i="9"/>
  <c r="D5" i="9"/>
  <c r="E5" i="9"/>
  <c r="D6" i="9"/>
  <c r="E6" i="9"/>
  <c r="D7" i="9"/>
  <c r="E7" i="9"/>
  <c r="D8" i="9"/>
  <c r="E8" i="9"/>
  <c r="E4" i="9"/>
  <c r="E5" i="6"/>
  <c r="F5" i="6"/>
  <c r="E6" i="6"/>
  <c r="F6" i="6"/>
  <c r="E7" i="6"/>
  <c r="F7" i="6"/>
  <c r="E8" i="6"/>
  <c r="F8" i="6"/>
  <c r="E9" i="6"/>
  <c r="F9" i="6"/>
  <c r="E10" i="6"/>
  <c r="F10" i="6"/>
  <c r="E11" i="6"/>
  <c r="F11" i="6"/>
  <c r="E12" i="6"/>
  <c r="F12" i="6"/>
  <c r="E13" i="6"/>
  <c r="F13" i="6"/>
  <c r="E14" i="6"/>
  <c r="F14" i="6"/>
  <c r="E15" i="6"/>
  <c r="F15" i="6"/>
  <c r="F4" i="6"/>
  <c r="E4" i="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alcChain>
</file>

<file path=xl/sharedStrings.xml><?xml version="1.0" encoding="utf-8"?>
<sst xmlns="http://schemas.openxmlformats.org/spreadsheetml/2006/main" count="12559" uniqueCount="78">
  <si>
    <t>Order Date</t>
  </si>
  <si>
    <t>Customer Name</t>
  </si>
  <si>
    <t>State</t>
  </si>
  <si>
    <t>Category</t>
  </si>
  <si>
    <t>Sub-Category</t>
  </si>
  <si>
    <t>Product Name</t>
  </si>
  <si>
    <t>Sales</t>
  </si>
  <si>
    <t>Quantity</t>
  </si>
  <si>
    <t>Profit</t>
  </si>
  <si>
    <t>Anjali Das</t>
  </si>
  <si>
    <t>Nevada</t>
  </si>
  <si>
    <t>Furniture</t>
  </si>
  <si>
    <t>Furnishings</t>
  </si>
  <si>
    <t>Wall Decor</t>
  </si>
  <si>
    <t>Amit Sharma</t>
  </si>
  <si>
    <t>Office Supplies</t>
  </si>
  <si>
    <t>Binders</t>
  </si>
  <si>
    <t>Ring Binder</t>
  </si>
  <si>
    <t>Vikas Jain</t>
  </si>
  <si>
    <t>Georgia</t>
  </si>
  <si>
    <t>Priya Nair</t>
  </si>
  <si>
    <t>Tables</t>
  </si>
  <si>
    <t>Study Table</t>
  </si>
  <si>
    <t>Riya Gupta</t>
  </si>
  <si>
    <t>Bookcases</t>
  </si>
  <si>
    <t>Wooden Bookcase</t>
  </si>
  <si>
    <t>Colorado</t>
  </si>
  <si>
    <t>Technology</t>
  </si>
  <si>
    <t>Accessories</t>
  </si>
  <si>
    <t>Mouse</t>
  </si>
  <si>
    <t>Sneha Singh</t>
  </si>
  <si>
    <t>Arizona</t>
  </si>
  <si>
    <t>Phones</t>
  </si>
  <si>
    <t>Smartphone</t>
  </si>
  <si>
    <t>Washington</t>
  </si>
  <si>
    <t>Chairs</t>
  </si>
  <si>
    <t>Executive Chair</t>
  </si>
  <si>
    <t>Ohio</t>
  </si>
  <si>
    <t>Appliances</t>
  </si>
  <si>
    <t>Heater</t>
  </si>
  <si>
    <t>New York</t>
  </si>
  <si>
    <t>Paper</t>
  </si>
  <si>
    <t>A4 Paper Pack</t>
  </si>
  <si>
    <t>Arjun Patel</t>
  </si>
  <si>
    <t>Texas</t>
  </si>
  <si>
    <t>Storage</t>
  </si>
  <si>
    <t>Drawer Unit</t>
  </si>
  <si>
    <t>Pooja Agarwal</t>
  </si>
  <si>
    <t>Copiers</t>
  </si>
  <si>
    <t>Laser Copier</t>
  </si>
  <si>
    <t>Neha Kapoor</t>
  </si>
  <si>
    <t>Binder Pack</t>
  </si>
  <si>
    <t>Florida</t>
  </si>
  <si>
    <t>IP Phone</t>
  </si>
  <si>
    <t>Metal Bookcase</t>
  </si>
  <si>
    <t>Rahul Verma</t>
  </si>
  <si>
    <t>Air Cleaner</t>
  </si>
  <si>
    <t>Inkjet Copier</t>
  </si>
  <si>
    <t>Keyboard</t>
  </si>
  <si>
    <t>Storage Box</t>
  </si>
  <si>
    <t>California</t>
  </si>
  <si>
    <t>Printer Paper</t>
  </si>
  <si>
    <t>Karan Mehta</t>
  </si>
  <si>
    <t>Art</t>
  </si>
  <si>
    <t>Sketch Kit</t>
  </si>
  <si>
    <t>Desk Lamp</t>
  </si>
  <si>
    <t>Color Set</t>
  </si>
  <si>
    <t>Conference Table</t>
  </si>
  <si>
    <t>Rohit Yadav</t>
  </si>
  <si>
    <t>USB Drive</t>
  </si>
  <si>
    <t>Ergonomic Chair</t>
  </si>
  <si>
    <t>Office Chair</t>
  </si>
  <si>
    <t>Row Labels</t>
  </si>
  <si>
    <t>Sum of Sales</t>
  </si>
  <si>
    <t>Year</t>
  </si>
  <si>
    <t>Month</t>
  </si>
  <si>
    <t>Column Labels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</si>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</sst>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164" fontId="0" fillId="0" borderId="0" xfId="0" applyNumberFormat="1"/>
    <xf numFmtId="1"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6">
    <dxf>
      <numFmt numFmtId="1" formatCode="0"/>
    </dxf>
    <dxf>
      <numFmt numFmtId="1" formatCode="0"/>
    </dxf>
    <dxf>
      <numFmt numFmtId="19" formatCode="dd/mm/yyyy"/>
    </dxf>
    <dxf>
      <numFmt numFmtId="164" formatCode="&quot;₹&quot;\ #,##0.00"/>
    </dxf>
    <dxf>
      <numFmt numFmtId="1" formatCode="0"/>
    </dxf>
    <dxf>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B7B-4545-A9C8-676840C436E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B7B-4545-A9C8-676840C436E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B7B-4545-A9C8-676840C436E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B7B-4545-A9C8-676840C436E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B7B-4545-A9C8-676840C436E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4B7B-4545-A9C8-676840C436E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4B7B-4545-A9C8-676840C436E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4B7B-4545-A9C8-676840C436E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4B7B-4545-A9C8-676840C436E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4B7B-4545-A9C8-676840C436E8}"/>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Top5Customer!$D$4:$D$8</c:f>
              <c:strCache>
                <c:ptCount val="5"/>
                <c:pt idx="0">
                  <c:v>Arjun Patel</c:v>
                </c:pt>
                <c:pt idx="1">
                  <c:v>Anjali Das</c:v>
                </c:pt>
                <c:pt idx="2">
                  <c:v>Priya Nair</c:v>
                </c:pt>
                <c:pt idx="3">
                  <c:v>Riya Gupta</c:v>
                </c:pt>
                <c:pt idx="4">
                  <c:v>Rohit Yadav</c:v>
                </c:pt>
              </c:strCache>
            </c:strRef>
          </c:cat>
          <c:val>
            <c:numRef>
              <c:f>Top5Customer!$E$4:$E$8</c:f>
              <c:numCache>
                <c:formatCode>"₹"\ #,##0.00</c:formatCode>
                <c:ptCount val="5"/>
                <c:pt idx="0">
                  <c:v>94239.670000000086</c:v>
                </c:pt>
                <c:pt idx="1">
                  <c:v>93186.949999999983</c:v>
                </c:pt>
                <c:pt idx="2">
                  <c:v>86143.790000000023</c:v>
                </c:pt>
                <c:pt idx="3">
                  <c:v>85361.199999999983</c:v>
                </c:pt>
                <c:pt idx="4">
                  <c:v>76285.11</c:v>
                </c:pt>
              </c:numCache>
            </c:numRef>
          </c:val>
          <c:extLst>
            <c:ext xmlns:c16="http://schemas.microsoft.com/office/drawing/2014/chart" uri="{C3380CC4-5D6E-409C-BE32-E72D297353CC}">
              <c16:uniqueId val="{0000000A-4B7B-4545-A9C8-676840C436E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[SalesDashboardProject.xlsx]YearWiseProfit!PivotTable6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6446478454152"/>
          <c:y val="0.25345736650175366"/>
          <c:w val="0.79752217681650572"/>
          <c:h val="0.63367675500005605"/>
        </c:manualLayout>
      </c:layout>
      <c:lineChart>
        <c:grouping val="standard"/>
        <c:varyColors val="0"/>
        <c:ser>
          <c:idx val="0"/>
          <c:order val="0"/>
          <c:tx>
            <c:strRef>
              <c:f>YearWiseProfit!$B$3:$B$4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YearWiseProfit!$A$5:$A$9</c:f>
              <c:strCache>
                <c:ptCount val="5"/>
                <c:pt idx="0">
                  <c:v>2014</c:v>
                </c:pt>
                <c:pt idx="1">
                  <c:v>2015</c:v>
                </c:pt>
                <c:pt idx="2">
                  <c:v>2016</c:v>
                </c:pt>
                <c:pt idx="3">
                  <c:v>2017</c:v>
                </c:pt>
                <c:pt idx="4">
                  <c:v>2018</c:v>
                </c:pt>
              </c:strCache>
            </c:strRef>
          </c:cat>
          <c:val>
            <c:numRef>
              <c:f>YearWiseProfit!$B$5:$B$9</c:f>
              <c:numCache>
                <c:formatCode>"₹"\ #,##0.00</c:formatCode>
                <c:ptCount val="5"/>
                <c:pt idx="0">
                  <c:v>72189.549999999945</c:v>
                </c:pt>
                <c:pt idx="1">
                  <c:v>63758.919999999991</c:v>
                </c:pt>
                <c:pt idx="2">
                  <c:v>63895.189999999973</c:v>
                </c:pt>
                <c:pt idx="3">
                  <c:v>80112.679999999964</c:v>
                </c:pt>
                <c:pt idx="4">
                  <c:v>10766.149999999998</c:v>
                </c:pt>
              </c:numCache>
            </c:numRef>
          </c:val>
          <c:smooth val="0"/>
          <c:extLst>
            <c:ext xmlns:c16="http://schemas.microsoft.com/office/drawing/2014/chart" uri="{C3380CC4-5D6E-409C-BE32-E72D297353CC}">
              <c16:uniqueId val="{00000000-CBB7-46DE-9FFC-52ED9EA657DC}"/>
            </c:ext>
          </c:extLst>
        </c:ser>
        <c:ser>
          <c:idx val="1"/>
          <c:order val="1"/>
          <c:tx>
            <c:strRef>
              <c:f>YearWiseProfit!$C$3:$C$4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YearWiseProfit!$A$5:$A$9</c:f>
              <c:strCache>
                <c:ptCount val="5"/>
                <c:pt idx="0">
                  <c:v>2014</c:v>
                </c:pt>
                <c:pt idx="1">
                  <c:v>2015</c:v>
                </c:pt>
                <c:pt idx="2">
                  <c:v>2016</c:v>
                </c:pt>
                <c:pt idx="3">
                  <c:v>2017</c:v>
                </c:pt>
                <c:pt idx="4">
                  <c:v>2018</c:v>
                </c:pt>
              </c:strCache>
            </c:strRef>
          </c:cat>
          <c:val>
            <c:numRef>
              <c:f>YearWiseProfit!$C$5:$C$9</c:f>
              <c:numCache>
                <c:formatCode>"₹"\ #,##0.00</c:formatCode>
                <c:ptCount val="5"/>
                <c:pt idx="0">
                  <c:v>82916.539999999979</c:v>
                </c:pt>
                <c:pt idx="1">
                  <c:v>77569.659999999989</c:v>
                </c:pt>
                <c:pt idx="2">
                  <c:v>74010.309999999925</c:v>
                </c:pt>
                <c:pt idx="3">
                  <c:v>76587.830000000016</c:v>
                </c:pt>
                <c:pt idx="4">
                  <c:v>7266.06</c:v>
                </c:pt>
              </c:numCache>
            </c:numRef>
          </c:val>
          <c:smooth val="0"/>
          <c:extLst>
            <c:ext xmlns:c16="http://schemas.microsoft.com/office/drawing/2014/chart" uri="{C3380CC4-5D6E-409C-BE32-E72D297353CC}">
              <c16:uniqueId val="{00000005-CBB7-46DE-9FFC-52ED9EA657DC}"/>
            </c:ext>
          </c:extLst>
        </c:ser>
        <c:ser>
          <c:idx val="2"/>
          <c:order val="2"/>
          <c:tx>
            <c:strRef>
              <c:f>YearWiseProfit!$D$3:$D$4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YearWiseProfit!$A$5:$A$9</c:f>
              <c:strCache>
                <c:ptCount val="5"/>
                <c:pt idx="0">
                  <c:v>2014</c:v>
                </c:pt>
                <c:pt idx="1">
                  <c:v>2015</c:v>
                </c:pt>
                <c:pt idx="2">
                  <c:v>2016</c:v>
                </c:pt>
                <c:pt idx="3">
                  <c:v>2017</c:v>
                </c:pt>
                <c:pt idx="4">
                  <c:v>2018</c:v>
                </c:pt>
              </c:strCache>
            </c:strRef>
          </c:cat>
          <c:val>
            <c:numRef>
              <c:f>YearWiseProfit!$D$5:$D$9</c:f>
              <c:numCache>
                <c:formatCode>"₹"\ #,##0.00</c:formatCode>
                <c:ptCount val="5"/>
                <c:pt idx="0">
                  <c:v>76501.089999999967</c:v>
                </c:pt>
                <c:pt idx="1">
                  <c:v>74125.23</c:v>
                </c:pt>
                <c:pt idx="2">
                  <c:v>89157.419999999984</c:v>
                </c:pt>
                <c:pt idx="3">
                  <c:v>76959.429999999935</c:v>
                </c:pt>
                <c:pt idx="4">
                  <c:v>6469.1500000000005</c:v>
                </c:pt>
              </c:numCache>
            </c:numRef>
          </c:val>
          <c:smooth val="0"/>
          <c:extLst>
            <c:ext xmlns:c16="http://schemas.microsoft.com/office/drawing/2014/chart" uri="{C3380CC4-5D6E-409C-BE32-E72D297353CC}">
              <c16:uniqueId val="{00000007-CBB7-46DE-9FFC-52ED9EA657DC}"/>
            </c:ext>
          </c:extLst>
        </c:ser>
        <c:dLbls>
          <c:showLegendKey val="0"/>
          <c:showVal val="0"/>
          <c:showCatName val="0"/>
          <c:showSerName val="0"/>
          <c:showPercent val="0"/>
          <c:showBubbleSize val="0"/>
        </c:dLbls>
        <c:marker val="1"/>
        <c:smooth val="0"/>
        <c:axId val="1118828207"/>
        <c:axId val="1118820527"/>
      </c:lineChart>
      <c:catAx>
        <c:axId val="1118828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20527"/>
        <c:crosses val="autoZero"/>
        <c:auto val="1"/>
        <c:lblAlgn val="ctr"/>
        <c:lblOffset val="100"/>
        <c:noMultiLvlLbl val="0"/>
      </c:catAx>
      <c:valAx>
        <c:axId val="1118820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28207"/>
        <c:crosses val="autoZero"/>
        <c:crossBetween val="between"/>
      </c:valAx>
      <c:spPr>
        <a:noFill/>
        <a:ln>
          <a:noFill/>
        </a:ln>
        <a:effectLst/>
      </c:spPr>
    </c:plotArea>
    <c:legend>
      <c:legendPos val="r"/>
      <c:layout>
        <c:manualLayout>
          <c:xMode val="edge"/>
          <c:yMode val="edge"/>
          <c:x val="6.8715065439155121E-2"/>
          <c:y val="5.0632011706501293E-2"/>
          <c:w val="0.61881627740694845"/>
          <c:h val="0.17270198691226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[SalesDashboardProject.xlsx]MonthWiseSales!PivotTable7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MonthWiseSales!$B$3</c:f>
              <c:strCache>
                <c:ptCount val="1"/>
                <c:pt idx="0">
                  <c:v>Total</c:v>
                </c:pt>
              </c:strCache>
            </c:strRef>
          </c:tx>
          <c:spPr>
            <a:solidFill>
              <a:schemeClr val="accent1"/>
            </a:solidFill>
            <a:ln>
              <a:noFill/>
            </a:ln>
            <a:effectLst/>
          </c:spPr>
          <c:cat>
            <c:strRef>
              <c:f>MonthWiseSales!$A$4:$A$15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MonthWiseSales!$B$4:$B$15</c:f>
              <c:numCache>
                <c:formatCode>"₹"\ #,##0.00</c:formatCode>
                <c:ptCount val="12"/>
                <c:pt idx="0">
                  <c:v>639913.96999999974</c:v>
                </c:pt>
                <c:pt idx="1">
                  <c:v>489602.69000000012</c:v>
                </c:pt>
                <c:pt idx="2">
                  <c:v>476389.67999999976</c:v>
                </c:pt>
                <c:pt idx="3">
                  <c:v>507677.4700000002</c:v>
                </c:pt>
                <c:pt idx="4">
                  <c:v>491768.2900000001</c:v>
                </c:pt>
                <c:pt idx="5">
                  <c:v>513781.43</c:v>
                </c:pt>
                <c:pt idx="6">
                  <c:v>501602.2899999998</c:v>
                </c:pt>
                <c:pt idx="7">
                  <c:v>561127.41999999993</c:v>
                </c:pt>
                <c:pt idx="8">
                  <c:v>475032.49999999977</c:v>
                </c:pt>
                <c:pt idx="9">
                  <c:v>549374.56000000017</c:v>
                </c:pt>
                <c:pt idx="10">
                  <c:v>527182.33999999985</c:v>
                </c:pt>
                <c:pt idx="11">
                  <c:v>531395.2799999998</c:v>
                </c:pt>
              </c:numCache>
            </c:numRef>
          </c:val>
          <c:extLst>
            <c:ext xmlns:c16="http://schemas.microsoft.com/office/drawing/2014/chart" uri="{C3380CC4-5D6E-409C-BE32-E72D297353CC}">
              <c16:uniqueId val="{00000000-538F-45E9-870E-E899B620F2BA}"/>
            </c:ext>
          </c:extLst>
        </c:ser>
        <c:dLbls>
          <c:showLegendKey val="0"/>
          <c:showVal val="0"/>
          <c:showCatName val="0"/>
          <c:showSerName val="0"/>
          <c:showPercent val="0"/>
          <c:showBubbleSize val="0"/>
        </c:dLbls>
        <c:axId val="1118825807"/>
        <c:axId val="1118827727"/>
      </c:areaChart>
      <c:catAx>
        <c:axId val="1118825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27727"/>
        <c:crosses val="autoZero"/>
        <c:auto val="1"/>
        <c:lblAlgn val="ctr"/>
        <c:lblOffset val="100"/>
        <c:noMultiLvlLbl val="0"/>
      </c:catAx>
      <c:valAx>
        <c:axId val="1118827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25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944EAA58-E4AC-4848-8402-B3AA019420AF}">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A5457F6F-E971-45F6-86BB-1BA17FF8FD58}">
          <cx:dataId val="0"/>
          <cx:layoutPr>
            <cx:geography cultureLanguage="en-US" cultureRegion="IN" attribution="Powered by Bing">
              <cx:geoCache provider="{E9337A44-BEBE-4D9F-B70C-5C5E7DAFC167}">
                <cx:binary>7Htpb9w4Fu1faeTzk5s7xcH0ACPV6j129i+CYzuiRImUqJX69e9WnGTimky6B9N4QAMvCGBUaSF5
13PuvfX3+/lv99Xjnf9lrivb/e1+/u2F7vvmb7/+2t3rx/quO6mLe+8696k/uXf1r+7Tp+L+8dcH
fzcVNv+VIMx+vdd3vn+cX/zj7/C2/NGdu/u7vnD25fDow81jN1R995NrP7z0y91DXdhV0fW+uO/x
by8uH6df3jtvXvzyaPuiD69C8/jbi2d3vfjl1+N3/du6v1SwtX54gGcZOVFUEUYpQZ//0Re/VM7m
Xy5Hkp8IuMIFZurzP/F17cu7Gp7/Izv6vJ+7hwf/2HVwpM9/v3/y2f7hwvsXv9y7wfYHueUgwt9e
vLZF//jwy21/1z92L34pOpc+3ZC6wyFe334+9a/PJf+Pvx99AXI4+uY75RwL7fcu/Ztuto/O58Xd
V/H876qh5ESwmMRM4SfV4OeqiekJY4xKhuJvqnsyiyfV/IEN/Vgz3x48Usz2n39JxfzTF4uzf6Zi
2AlRlJD4q0/I54rBGJ8IwbgSXHzWDCjue8X8gQ39WDHfHjxSzD8//CUVc6UL91Uy/7u7MHTCMOdY
SfQUqeLnWonJCVyhkjL5Q3f5vd38WCVPTx3p42r3l9RHelcVn5y3f2oQkyeEMyEUVj8MYhirE4El
kZjhJ7V9tYinIPbH9vRj3Xz/7JGG0r9mKEtd5fzdw5/oNTQ+USrmHLEv+R9i1ff5HyN+wpmMqQBg
8H0Q+yNb+Q9q+XaIY6Vc/SXdZgM6KR7+xPxC4hOuIJKJLx6h1HOdQCRjMcQxEtMfRrI/sKEfa+bb
g0eK2Zz/JRVz+Tje/Zl6oeqEcsEYpz/OMBiLE8E5jWX8hMiO8v7v7+fHavn63JFWLt/8JbXy6nG+
Awz/FEv+97RP8QkTNGYx/jFKVqA0IDdKSvINFnwfx353Oz/WyZfHjlTy6t1fUiVv7zoNRLZ39s/T
C5MAxzDlMpZPcj8GyQSdcPCmGLEnxR05yx/b04+V8/2zRxp6+8+/hIZ+zn+/951nd/6X5B8CGkeg
IiCR3xLJ98kffAfhQ+pXX8g/+2ofT+DsiJb/5239WE1Hjz87yf8jzv+f6wHfiiaru/5u/bna8l1J
4OdXPx8XakBHj/4s5j3Jbv/w2wuCZQwJ/1sV5/CSZ8jrwtn+7l989rtnHu+6/rcXEUbsBBEqYkVA
r1hxgG7T49MlSFGIARSnAmEkGSEvfrHO9xoqQaBshOASEYAHmYiBP3Vu+HyJndADn5VQJAKfFQx/
K3Nduyrkzn6Tx5fPv9ihvnaF7Tt4MQXXbp7uO2yWQzUJCUzhP+WH+kYMZtXc391ACILb8f9pFmdI
lgV9JZtG4bSK6qhMJk14ylthwk46Q+1mMLkui6SgzUVOqiitilw/dFm8uETmNWnSGOl23uulrW3i
OinuF0/UurZFzBJWN+HctcZXb4uFteeuW9BDSfNZJXgw85AgjmVY1dE40m0RCfda9r0k+65V43g6
08JPF74Rdq17M9skkCokJghz0WDFUjxkfcJDdI6G0BSJb+I8xaVdyKoN/sM4EL8mRFd7Ns4opKGM
8aPgaOBJoDnbqDjTZJ1NluuUCV1cVKOb9kM1yF3kB78fXV02iS/s/HJsoy0pB7JyRL2d7Ey3Oqr6
Oq1zd9hVWMq3M++alA60WQ1hPtcKF35XLthjvJoMzvrV4Kpy7hJJPe8TbEmeEFf5Ll2izCw4Ac2D
lNEy4OuCFPyUlUt33TVTKc4mLPk9SCScmU6VmX+1iGbZ9551ETuTPp/NuvQ4adgk5mbr40ZXazKT
6cKVrCpYtZNVgLRtN2KJ6xGnE9O6p7uymLVr57QzzTjIs2WYrVdLijuMybyetBlKPSYq9zMZ97g2
WI1n1aTKQvTJjIWKzT6PIymbVQPc8/1ICb7pujBfV62K5gdlZVN+UiXuPoUMkYleEtvxGt/KOsMb
0RfSdUkjM/mumaqBJW2txvMpN+ZU2KEBQXmT6TRUQ7kvmLJ07SvzEmPn16iofZJpM111oRoTVBQl
mOVs3Co0Jk8jgvFpXBq3znO0bJaiMFvj9BUumvmmFwMrVllUkVWhvLZp1fb5aRz3kqWMgrRTUsbZ
Dlk09uuKBr6vZ+Q3i1q6O0ea6p70LaYbZTrBE98uOunjLK6SvC89TWyn8GlH+ylhNK9Oy7oo8Y7Z
4YMu2dini2P8OgIJ8sSxJv+Qe4bO8pLVm3rm0XakzK4kLHdRCdps8YLnl9b1eKsnE5dXDGcyqdt4
GhJDkDkjOG+nZCLduIqNsPtxQvyy6LOSJHNfsXMRl8upzRaULCUKKzPoO9hjuYlRjTdDlV8K3Q1m
NTBxjqTs3unZZB+012rj6mXcNiVla9Maezpg2bwuu+WSW8lfHiz7KsMdWklE7Vq0+GIpZUh00fRp
TBu+iYuGeJBAgz45HNCV4yZ/lzfFcuZbNp270VS7rhJNEgqRb8tyNNus6LIka5vugUym2zbCq9uc
RTwBzEnOYyPfLARdWVq2qYwycW6WkZ83RRvtyrKb3vLWTTopzTydzwUl72se5jkZwuLyZKoQvRGE
DWtsO/opkrGu0x6ksTFL2e+HvroXUPxNfZF18SoaQqsSMwp229Bp1imRo7tncchf8ZLlKHHG8499
7YqtVV0H72iifRVXJKW0iZJ2GKv9hIQ7NXNbp3FZlutsLOcNtXm8m7nIkqmxY5wMYi43Pc8xGPrQ
F2dY6eFVr71JK5DPq25uX4JZu5uYhHM16SjlJlO7SOomTmLaytPYR4VKFKvih1lYfa2quNiNmbMP
skBqVaFATNLUCIl1cAwlAeF9JsqbvvbxPtBxXhmw7lscuaZO8BTITg00S6d+eR2jEq/CzHOZSNkW
l2U1QmQfEP3gqnxKaj1Eq3nCrFzNSPD3PJ7UiuJmuXGzKlIm/fTW6M4mnJbuglSN6ZJRzvfRbMf1
SGj/KTdTlBreLmtX6W47M0LfEbvUVwsu1NU4x8t1sNxtcJX318T75iyLJnQrsV9M2rXetBvnunzd
uRbdxc3gV2we3E3JItenYdI01eUQJQz3+ad5ydHOjla+p6RfotUCprVeIOSkug+jSOJcTyvrIPLH
k48SGY/igrRLnoJH0g3LMXmdt6o5iyeuT53yzXWL9bjqWzSCZJUOj0Xw/S0f87ZMW5LpVYdC1SYa
d3Waza1IMB7JfvEhDCkj7WNdF3SNZ6cSyom7mMumTCPa+vPFuullJaP1EIy6aEfCi0SGQmd7KiJz
oRFuV5i05YeqG8mrsquaC9nE4RZNuJuTSGh1w9Tc78a4n/duzgqWuIxN6agLdOXHxrytlWvf5rH1
13aosjeNyYqzYW7nRE/x8hp7FtYauXIb/BjWWejbBAnb6RWD07p07gnq97ZaxibJ5fCaMYRCUrDO
rqKC21Rw5tYt0ui67WRO1zLO3KmdItantZnCGS9DbdLCY7KOHaMgx356x2bJEz5qsQ1zPeq0bLPl
FBdY3BN4f5S6zBbXea+nVJRIvQ0L73aILZDoY4uGKunyrtiIwohzWTTNq0yOPk8i7oVJ8iwu2Cqe
5vOhdX7TNWyw6fcdrGeg6t41wQO0+dI+/PbxH69cDf8/t7T+9eWh+/ivTxdf25Y/vQv6PQc83x3f
dADH3971r+bZAZB+66QdQdynRud/wL8/vfhHwTHHAFl/Ao6LDkCrL74SlSd0/PmhL+g4BpyruGKS
QHuG8G/QWPETKRVRIpbw5VdQjKA6DXUdRKAEShA9LP4FFFNA0oeqqYQbUEwVoNiv536mP+ABPwDF
nAIffgaKDxUKzABfxzE0KTgC+P09KPZYlO3Q5vp04Whuk6rKxdgnrMxISBrBxvcor+VlxLm7KZpg
L5dJQdiPa4RTq4ZyjSH83pa9WcLak9lc6bgvTSIiWyZK+i1ESHra2wEn9Vg07YrHc0zBTxXTSWYm
uQma67Oxmtw5yhWWiSPVeQN54Vo6Gm9rpPQ2A9C0ZaYCx8rrKFtBFhfbpdB+bxgVF0MXstWydJA0
6BB6n9RTTM7k7KYPphbBrGaZ5SnVw7gtIwLxwrrsxrWMTUkRTfN+QB+NWdydNFV8sRia0cTPcb+G
G/L1NIp5Y7JZXE3ZHOdrwIEVSnXm0B6HjO2MJ9H95Hz7STYQy2lp473Lav+YzyRrU103gG91M2x7
Sv0N69h0WhoAEkkwEB5SWpLHEjmUlrxckqZqaJtEIReXObL5Wdcs0b0VuQcA3ThyGS2t3YeifTeq
ub0pJyK2Rsfja930/a1S/VwnVbT4jyyT+TsfGaPSgbOQCJGXQ7JYtSRDbPcVMrJICCr8XnNlZEoI
9ndtmKchJWx6K4ggIGRbfayKvt+ppeg3mBXF/QIR6LxA/ipacn5qfN+c+mxZzpqsGlPLZbeRc9yR
lRdF0AkKQEhAn7l5pwrV6gSkNMDb6qjbkI5WZwHLLPWuFnDQWZVJh7PhHBccQA5Heju3WfXKWabf
mr7QJp1sQ0kSZufWteCQsqOMoybRhELCLcD29q1nw8XAALumg0PUJAGP2UYvUZFUeUBdOnVWr6qF
4jzhap4+FSUZfNrM1BaJrboFQKC214Xgc8LaIM9z75YVX8KQEB/XF00fleckojikpp5YBKg2ABLk
rsnfZHIhIlFDzj6288SaxDRcbGUFOdY1qN4tzZLL1ShZvnKxxZdLzdXLHNhoOsXRutH1mOowroQH
TFup8d5KavbId206lVGkV2M3hC2zej5bll50m1L19rVyZfYuqkUenWYtpMo1kBD80E6oGxKNpuFm
XCaXrcdg8PteVZlNc9sOL/Fg2w8+IJKqZsJ3xlM/pmPow003ySreMWqmLvGxcruChC5RNZ1ZkvVa
F8mQYfqGjkifQepjHwfRIptgBkabSr9Uuya38YdSInlh+BzQflZGvVpG4yIgpDKrE6arsVo1eec2
sbb1Hc+1eu0L9jFCU7MSjacXeBDhkTc+tGAT2Nl1Fmf2XZkPHbB2X/YSlGX9e+AwHtioLJs9pN7+
wKqHOuk5V+eazP2q6f1L3MUKuFYB/uwRb9MQe7aOq2ZJayJFsoxDt5pZU6yYVsN6mfr21DgsTznq
ZLpQXcYgB1Zu3TBARPM0yDRSDdqOFStuyBjxrSuQmVeR6jO2BiyI3hOjAXExCKYjQU1IlQVatJV9
U+3zQNtLwzJI5MrR/sZDxgbByrp8a4qyDQlgBDpBMMuGfZbPNk7jaGo+jDI0fseiuNu1SOVZwlHo
rljno3vHJZDDDpfjdWhDBMFl0SpxUak8gGU2bqJYtx/EFKbHttLT+8AsvqBdkdXrfuriAKAs+CxV
GW2vdFCZWcWkqVdCT9lek2giKUbNbW66BkiXms688EVaV6ZdCStPWRP61Wht9VLprlqNeZHtSwNh
02HWbmdUv8otH7adnzIoqDA8Jp0vvEwiE2yqekCULZqXhwXgeb0esWhXjg71Gjk9kqRCQAJnhKtx
OGNVK2yfMj81xdslyiu7C5JZg97FwQhDEu0p7vt3wxC68iqbsyghqhRXuJyyzYIrfyPqCt1ASzi/
hrA4b2Vslv2YT284s/amVXF8M+AuI8Cuy+zN5IV9RyMfD4mVdjrVITdvYisIBKkJ3AoYn71Gw1xf
w1hAu+nymqd9YdilyusudeNC1iX3OYRtyHbpXIficiBq2LSxbMsV7er6slQItitMtMFdBXWHrooa
cHWYmUqw78R5i2H7C2DQC86B1CZ+6bNbFnuxLwszvcqHKAbQPWb6kS5RuLJRPtTbPmrdeUAhu1Su
aW4XsPF9Dge/B+q47Kfg+Xbu22EzZ+3ywbBydunSRssux1XYlCwAk8b9sG77bFibnkM8Ggq8nAGR
kHtdaJfWU3ndVoNPeEvoVeaqjkGQNdnNtGR7J0py4WeXu9QuTIKvDe46X2SxPcjzlXczPlfl4ncQ
LuS2bH10ZQwUwqBoNfGXlVr0Q9azYlfM0RRBsWFuYB3Uh9OwyPCSGD9tVVBqP+Khe+MzV1+PmI87
8CcREjs4n9BGqhpUlI9FsoSAVn1pAUoPVLUvJ4rqIulKqtJYSbzWvEC7sq3Y1WDq7GKRat53kBiL
pCHTpVXxPXKFuscdJS7hHW/fFUOlP6ApM/vORc3WUh3FSTFCqAHz05CkWUV5Cs1TuSnG0lxnCiBI
I+W0Mj0W74kr4isSLHiePgTNSVWk2C7TxJe194S4WxvUu4LYHCK2jnVz1nbtgFNkY6LTsZ7U+wJq
Z7cwi9K118J3RbejUrVRsghheFqXuEXnBCpNkMcUtqhNQg9VihQSP0jekSXc+jZfzYrGYUO1kJtG
CZlqa0WWlvn0csHElWe9r7p6N/SRfscbyos7IsDFU+DXiK/9tPhcJEbM7SIuMJ7nsd+63BRoOAWT
Jd6cytGKqLsDYvMeYO/81pjI3pfjTN6ofpCvcJs3p21bvGqtDOuatvVetlBLlMNYp9LNN6Ja3kMA
/MQKKOD04r0cpuEjdR0gCOZ5nnR8eC9VVO6EjCtgVdV6YnV0DsohSewbs7embz/RhQOL75vWmGRq
aQwV3aGodt6F/iXlkwnpMDDdJo1Xef4qFoNf1wtZXmoofRVJ7yZeR8n/Z0/fzYPefz88+YwIMai0
/2fudNSP+a4lcXjuC30S4gT6AFRAY4/CVA9DMBD61FyAKZ4TIFoKxYp+bSB8oVESQ+ecSegkwdDc
gXN94VAYpk8oAT9RGCaAFIwB/TccikJf4zsKdWhZYIIU9BUAMYDvkCMKVeHSWzwZ/hhD3XtQa9Kw
JqpS1IzF8obzoTF3LPK829g2dIGtejJzPaeRy9DH3HpmgfYDfJWnSvMwrIyKbLubVF11FxWvmyhA
EW7mzUdueojYq0iIqqRpLiXDj0BzwnBT6VlWd3HMm+yegksBfxBF29CkxkUHW2EN9/WVxqif7Cqv
uDdNcrDw+hy6ES1sOa9rHM5ITW35KepGB898p9IfEM3nNJMJhSBzKWi8qsNQFkFHvReJ62LQQseP
2eRs2e76mlVsV7Gx83K3dHlfTOlSNDApVqGsINnm58sfCPMzHQHNBXoLA8dAmQWGzTynuUtJ4w7a
Q8VDiQ01Rdo7yqlOlCJRW278PAHJWnnd58BLIxYtkN8nRkMH+IctYgIOK7TtTOJcSz2+VDxu4drP
NwkG+d0eoT+lBEMUcZj2APIfSzDx76m4EboF04jGS92ZCDa31JMUH5qO2+FliOKBwbzMNzf7gU5+
tB5MYD01YYUQ6Pl6cp4bTGI0ABfxnLTJnOu2TJAzBXcJpJf87r9bT+IYw4gKTKpADmRYHNkAnTKM
7ViUl1mZj9GtBQaMyApot6Rr27USjvzzBQ8C+1fDDw5GKWUx+ORhjPzg588POOsiIgAMowcR+RGW
AiySy3ZTxaynKLG+F+KD4Sjr9z9f98jYD+uyQ6WHcEQUlFWO1m2G4KSLaPyQB3BikYyoqaDfwDLI
7clUQiK6shn8FABwg3YEaOPPl4e27dGxJcylwAy3YtDohKD0/Ng5H4sIzZo+RLKSLU05FOj5HUSm
qN+7pZDVZRFhBzTAtGG4NR1C0NaBUY0KhPLznTy3MFAAJzBqAbWlQ82LcHokiF4UqAzGZveZWiz3
W9c2dRbWUVZ3KmyBi82glZ8v+e+HhzkowQSPoakMEwRHRq2lziqwK//AxARhcxOwWLDZcD8NHVsX
ccbEBz+A1IFbCgn+5VAYoUQ+Fg410+8YAj5KDSAAhRiEHYh8FPJTfLSbXC0lV1A2+KiB9tTRbu71
IcLUs9PwY4NhKtnC0qLuAmmSWREKuwJYqofbuhFlSG2Evb1Vta69XbXceXIDZTTbffy5zA4J6ns/
gYEZBNVlBr1nSIrQeX1uMMOUxR61y/xx9r0HI0CDQSAsNE+UR8nsKXhrQ0x7cJp+coc/RZMP/62w
oOApYagKQSuVUQa54vk24pZ0feiE+2grHkFSLCEdLFMyBuAA/IxmHBJplw/e3NUlt5CifFN7zHdx
VEajSVoN6euQSoOGp2yxVOMZm03j6t+J0/jYxmB6mAoo5MoYJh1gMOEo4c8USlHKLvQjEEYR1euy
75pquG6XHnhhOrWhhc1Fsh7hmgtt7QKQ5yVEt1PTZPtO+arM03pZUDirdWv7LLEKiayHah2KKqCq
Kl/qlFA1Q44hURmwPUWLquCtpsimtv0dN8XPJyMONWkcK6FgOANyDwyBHkUMsEzbjnZsPkjueMnT
BsWHhJBlg1I+xYs8pKMsPEVPaF7DteFzOGlwFsOleeqpaDfDRH/fodlxFCcA3xQ4ErTh6SGQHJmF
mU1XZ9o1HxoPXtSuaWdidkGwpuGMQlUMxKGysVre1HoOQSaD9lMLhAl68OImb5cs2vkaxgve+Gjo
xGVciAPimtlYV2prBn5Qj+uoAhMKo+TjTeOhivJmqYSZTIKq6oACCpA+KMhZBc3phELrZHkT1/MM
uqPQ6IE/MOmR9/Gq4R3tNkIOB92ZOS8AsbWfl1dxHoUpid1cwiscoDHYeRHZA9jqG16bu7kTtm02
avR4vGXULf25h6kAD1X52pM6jfKsnnc5A7Ty3sY2Y29GNGIwMhnnANzG1jrAfD+PDcchHKQPxTpI
3fADBsEpPjINmgWbY9VUHxZcd9BrmqE1AdMKkytdtadDO0Gg+PmKx9GISIhFBEPexoAb/23FzqNO
TzWd3tNlOBjjNLBD+COdNJC8xdhy8SEr6QJGOJGh7/ILCYEF7PTn2zjwg2dRkUohiDw0awgiDGjH
83AERamhjZSo39TM1j0FTjjw6NG1uoVopE1n8dpn0hXXYxfnEHEazV2+zuOejC6JgfbDrEZP8vas
ymJxO1NfQbmtm7AYb/o4QkXa8mV2Z2BECHr5iGVFk0ApAzDSKTQVwQ7dqAFd7LPS9AfPH2FC+IpA
vm+gagc123nc/vzEx3EtppCgAG7AqQ/Td0Cynp/YiEzbCZqZr8cBmo1qzaEsAaxghAITTHgAyGI7
jacZzHY2isKfvP9MFSLRHEyaDtCSyG6hWXIwadIWgCt3MBtBDyGyXTqEN201Nh0UPXgw4HXZVB9I
Cg5xDd4pMdSdfsd6yVFkiwEBxZA2IaqBBg8ds+dHaqmtF1da8jruNQXf6pv8sIE+osPBdT/7MfxE
AaYFNpmeDy4OsfIQUnwDffe7SGPgRXjmh69grqszd5UqJdsVU3WQQxsmJy6zdoa7Ck0PRwx5DeV5
E0lPN03sR9pBi942cNyfawtI6jP7hKMpDNP4GFwFcQZ47/nR+tlgWQ0uvKb5eIhUvW/BtJZqKdx9
j2JDoDbeu3Z5I4k95Mc6chgUMkMlNA/rpRYwLrBRNBqm14BSPYhjkiUF66PjAtHEFpECE2NT1Ryi
2wBhE7oBzQRhrQdEAgsWfYbgE5BWDKKocwaigGk2HfUphzEmcAmtSAmfnuRzCIXmv6IUMMInYMga
8hePgcdDt/TIR/G0MBFEG70aa+kgOjzBW6LjeTQpUHWdf2mBP/2G8/oJFX0/RkiO0tFhSQZ9UoIg
LSEgbEfpCJUwZCCaWb7qBgwW0oe+B4OC3A/yYWXDHIcZu8jB6JuAeSoQeDVmFiALBD2Q0uTnqr+W
oouzcgPVzhiCATjkeONhQhYyQB2B4/ezhUT1RW0w9GRBlHMVQ/8rAS86qCOH0R8QfVQWGP6oUKrx
BrnawU64MZCbjOgPxP/nJsfUEZ6Fwx+SAAQJDD+c+ndGBXCwi3I0h1daB1FlST8Y2qTZhLLyUpCF
+bButRcwtKMIFOB14n1btKeoGujMYTxHt9GZhyYuu8hqLWnaTm7O71FRod2UwWTWykjrqgdWVou/
qZ2o4bfQUL6frtiIoVOwikureJO2gB+7YQOl03i89K3OZpeIGua8zinyWK0sTPbhtJz7wWeJm+N2
KRNtR8/mFKYHR3CGcfFTqJI5gimncqMIHtitqPrA8hTNGCqOUEKdNM4Av2V5v++1BGSWyqWalgXq
BGCKzX42IRsSqF2WYjMqGAFZQc1wXl5NwpHizcCqPFtR1hOcBuCnDvqwed+plSpg5ivNeZXvJEwH
rVqHpuUsUxahLZ6wJps86mL9f8n7suY4dXbdX8QpZsEt0IPbQzzE/pLcqOIkCwQIDUgg8evPQzq7
9kr2qbVqX59cxBWn3Q1Cw/s+k8ODHARPXz2kNkMAqi907qMzLjH3wWym4BknBrHfM53n+nUjSzuJ
SgoRdfNT6bZx15gBLjpCg1dwUZWDSIAig6KbVfEe8b6YvnexFLsuKjde/SitWdewHsYVZNLZ0Ell
RYM+IBvzE+XBkD+AnQelfFpyGYOx+NEVU2Iwyi5KwKndb4lYMKWhAJ1l9wQdsMnDwzSlUpIbW1LW
jXdT5gbVHvqlNSukjxltGTvSlK82e6ZTnKibvE+7tjhiruRgb+WyhTjWx7lga1m1QZor03RUb72/
Wds56EAsMI7TpgYzlWKDXSSz2ScR2DybbzA51gACrwRlS/RgJaqusjI+KcDljzEh+GKu3wwYg86z
goszxcdtYk7V+2ZVGS+XPteyjc+RCyD8BIGZDZac3NRHfKyydNnPxTALGG6nTTIcKl8d9XlYgs7v
yqz94Fe5SvLY06BfxyMZkiCWN4P1ZbF8yHtg62WlynLHJIg2WTe8kZbSYLtN03HGSAVeYcu+x66t
uuw2SKgmIwhyxaLxse9XCDcPa4+NAHwbixJcO7as/ZL8EoxhfAjbDmKBJpRDr4tmMmGQTZ/iNp7w
ebwfy/LVtoVStUYfjJGNC8twgtRR3u1vgutHyVIpVe41fdrNuPtadtGU5Me+W/cRS0Yz4IuYOwM4
h5N9y4fusy1IXa5GYAJsE+qNkyk12ItKXm+1M9mG4VM9wR+cJTPFp41dtENCEdsfTyRTqLL/E41u
H+cpLXuAc4ENNB5FMA1Fl/5QCg2NOmrGUGmBQo88UTUruswGu+zUKvsG7seyCeMVdJs4dXZLI3df
9GS/ZChstdxecswsfEKC/1LvNHD7BMt1sD95yKzxvbHk+9As4CYLhiO2UCuuYZlmfGz96360ThL1
DgSzw/cyJ0X+MmQpLZM6XUsAQBD9dpD6HH7NHrrNJd6S9MF+c9T4n4NhMWt0/avGLbMt2/+VzNlw
n0CnEbz8Gurg+vL/GuTr64AUxMM9AW+LC4imoFveB5ZLpk9sSjxuWsUbIiiqNk5aiHXQgLdQ42XX
ByW2xWCqofO2ur2ZotLTrIqGbvH5h5JbgVFaYj7iJTFIJVwVYA66QDIa+r3oBfMZ45sjaUP1Dhn0
PoJCYgVhX7veUxcz9Gi1FFO+Rmdvi707D6+P9jo9cjqMGJ88ZfiJQ0bG/eZd7jvM0zbS+8d0aZfj
mx4CSNK9QtCRWnPBnSb78F4n0mY9dEwH3OT+LhDtzvg5uFASzK7ZdPulXwc02NYN/xBjIlJyCMIM
QOTNFmcEYvJ2R7TCw8qswJouf+KUcl7xfNlCYvUe5e2E6TNnqFhx83rZlUEzyIH9DeNl/5IubYEv
4xTuy4Fv2X79k82hu3yFCnls2RHaWEz2TkGHkpyH2ZPI3CbXucL6uTTk9GvIy37RuBxofAe8CU4A
gQ/vJRtwzi8RGLjwFZVbXyyNVIGZWB3OLcWHZ30Hw3VjRglscwRgAMgGj6mzN0S0+3K2OF/xvcHb
vC+OA4pF5y9JOY9OnE0qQs7rEVpbvlR0bgEbRmVk8frOqBlfUDRm4wNXFn/7nyB1Fq4RoCIFcmR8
WAZDAQqsusenR10rlrd8og5dAPXbPvfXElt5f3SJirHDFLobbXEYOY5YfnDBRMv5Bq4QvbnPIWTD
2G/aUYhhOP/C53szdro/2m5Ev/vNQ1SVJGcodzAcp+TnmlGiGDFgM10Hur0lXSFW86qStVvzs7ne
uivbGUOUSLcNuKOhXefskG9hhF0OVoN9+CLg4xhM4FX7FL/ip8U8gEiuIhvv92sYi/FFY4Lj9VCZ
ZPgXG8HHfinTeJjKCpCFz/l9IiONV+TgyjGpl8zOQNSuIMsWZaOmR0hyNI1vWjDzeI/tCr1RtOVA
DVWWDsBLaTSg9eUcvdNUmxHARHbLwRrgTk26MrAa7VAYbJVJTj3OvNljp4H+Pcn3wbMs2aGC2BYD
yI1+nFr8uPYj7vLzivKMBpeVzlqzhzLpd5BSWBx392SgSW6eUsBYnh4c7QPfHfNVZuMMGXEAlL8i
AIHyL2kLGSPUazir8fC3IN1wV/nE92ODZ3SfbjrWESbfdSR7I4BEJyxkyXJZt4xT8jRsdg1AUm8G
qMImVZl/wX4LkBYqmA0j0Kfhfg9UTgE2/1+0xchQr6KyLrmAViYvfaei99SN+fiQ50p6ekxjMZvg
r5VFvaMHnGjJmEFwAfw7qIsxIvoNiOQ6mI8hRM1tW9PMJ517XglqG/W9XNii4s+wAAGaOOkBPHUJ
08U2D29bauNUVBang0OzD60SakpCstJGFrOcQ85RL/hmQJaKrKD6IBS63sn1WSrZAyCuYe71+239
3G7Gcdn3vxIqQHxB9b8vXjbz/RXTT/Qejof9e1kUBniFb/3+QpoAnYCIxk47t8FGKrGUW1SL9GEz
PpKHHgt1X5Ul3//n15RFTYmdqMzAnoEC+ImH79tp0NbaeZ2QKop1WDzajrSrqNZwAnqe+o2W8c2q
pn2Vt8G2w4EzSB98SVGWmRu1hZjfkDPjAQO33K8cnBJ+9NcHZbrEkaYwVYKXa8c2sX4jQ9VP0qZP
w3XDGq5AoyqiHYwORrWDkDMESGna8JYrQatO5TZ4sQw6hbAyK2jR5cLidi/jutThM8gy7pdlfy64
QAw4Ryqa2X2Ry3jnbZtpdfucJHSLB1Zl0PFzfuj6EavxeB0Q4MD7pjcU+V5ipXMU9LcQHY6k+Bfg
64+GHljO7oALwVSXUPf+D1i5M+AQgFfHL50QOa6atK3DalgFtlkVpPsKGhcAL121MLVf+790d7/j
CfvHw2MHQ9g1BOBPnFVbJ4IVfraXX1tjDwwYV4E+ACvpnz/qDwAdqykE64jPAmSFv/MdevubE28t
BgUzWjT91xyBgk6IWkmaph9ICc4KO3Le7Q/VMjgbXkSqUzyyX5vjP1/L7zBfFoaYP0UEUjKHvgDz
PP79WuiSxIBv+/alBKuWf2FZtNfj84wohAMcg/8+zv/zA2EJB3CwGyUBLpZ/YBZDp6Fp4yF9Vm7C
QQFtXWluiB+wzf1a2f98g9EO2/03vbPf4R4+kxGQuTFMmn8CmW6EkWcyY/78a8dYu20H7X0OQ0x2
dOlcLMde0k0/2TXxfcPttO/nEIUGL8G8pTiP/uWKfp/puCK0UkWJw4uUGYIN/qTFfBkGK4EW8nm8
LqoVdR3WuLMDxb7OioXhEXSp3fnhMsHhgNIi6PYL6aGQtlu9KHT2x4wnIgsrh63F19jqFV6O9UGj
B+YT9JP1euWz5HWb/eeb2HGev40qrh9sSYoJAz0K9PN/wm+r3xzTWzacyRRoyK8I5yT5kms83//d
ysRb4wMQ7wCHbIrGlPy5MjmNubdt3p6vJ+eSoZnHbceK48s/39UfVBDeHQqNEtzxnvGBJKk/8f4p
NB3tnSy/hT1Q1V+zIIa+DIOvE753P2uxTLwOeapjOKagFsPOPaJymmuTTI689muINfsv13WViPxt
wAG5YQhKCHdChI8VxZ+sWxiC3iAM/ikNb1w3H+LM7aS+hVvCir/mbQIvXMMmBYiyrDjd0HRBDNya
iN/i0IM0qK3FIAGg3MUpWvjwkdOsbcXZ44jNxAN1bIicr2kM5ubzrBRHN6H7OJ3UgY92i00NoX4+
86bQGRCru8RFIskfyystNuSo6SGJnHik3D08xEsJKY9dchYBWughITmjXieMN2PQS0yRX+c8CfBj
XQU9+X4Eo9AtsOfCtYDd4FqxDz9Hc+14jB0QHdZ+mq5LDPPyWcQFyu0pthhuVCq5JQ/JPO7MXXAt
ESQ4Rjy3UBYRRG3DbHi0wbSpy4k1uSQjXAH/hRwonD7Q7F/rgZ+FCAiqFeO7qWI/C4laANCgRB/y
+CALgY/kA4rz5RIC9GctDKl8RlsCWHzsx9cE1WOZPOTelKm86fMw2HvqedGAK/21nSlXPyeqge8W
TthnABkEYH3Vd6YQtA6saNeQV1Du4Rh6LGFJI+uhVfCLq4+ZL5dNfARsvxNDKKVgLn8QZgYW/5FJ
gLZtg3kOVv7YaRVFfc0j1G5/eXRwc3HJcrfGXyKo003xAPSJyqepLPsBmt1pDkI0lDAROlPDvg5K
+jAJKIyLZnUxPG1VGKDBX2pUOFFW1D71dL0bytnMUOiO/crQlJawKtaOdeF8SsPRrO95yAffNTRF
3TpVnExcf5oAYAS2Kq7M1a9KVoFWbvO7gmP7649TN+axRTH6s1wBfryXW34y+959nRrjz6JqIuOA
zkfDZ2tltegw5xHkO60guIx4gDh6HYKl/Ii9UBQvciqD8chZ1mZV17brS+ZZ1jeerfTE0iU5szDZ
brh2yxmAgHgmOo9rV2bdA2EG1heVLvojxaQ+p20GRzNWX/feazl+akMmIC6NKFq6MTEn9IxAZuIp
uy1k+EUMWI7TKvO7fGWyIfBk4+mGgT72xKWHXjD7YetHEx5Q3JpD4cNkxIzN+bdO2hdYmOStToP2
li+zOWQzkFzoOdrzImzZdOVaPBHZKdDjkn1ns6LN2Mm2gtp9ajJaqkuxxfzo6QQydZJZircuIEFP
+4kcV7zlTYG25h3aZXuCfIB+V+UwngYXjVvlyz47djDpvMgUEDecJKGaqyAR7evqtuLrGEwZOmLL
P8J2xA5hbMJLCtsSgwo/SO5SoF1Hbebpxwz7wxMwOAbZj0nK7xEYE7QFkYyel7jv2BH2quAAG6V5
npcUfTu2ggb+cntJZu2HKoOvqaakpF3xCarj0t+AyLff5jjto4OwcDvULeOdrxbkH/woTEY4LDKB
vvASrH6TRqZ/cksyoN3g4jabTaRqWnTia9jP8s4h8PF2zqN9htJspyLbZb04VIX3IRmWG4DIwYUN
SRc3BXa/79G6JlO1bUUESzj0jp9XqeAxCAJXx9CMf53nXsQg5iVkjbs5q/LdKMcKwiNtG7mtg7vk
tlVtFUaSPcAKhI0YnUm9rMmYXJDfMsqLdkofY2nj22zkrgJg+pat/ltoKX1IIywfmGJg+yAqZFUL
OyVpMi8SuDDM9CC7VH/20qG0CcESt3NlB0gJhpqwNpNVYJP0KwheUSXxOJ0E+m04orh5ctE0PM2d
N0M9GNO+qs6rT9pJHlfKWVfTSMu+6nF9IC4LQFdYeK7b6tQV62MZz90I8fvSf+253CpwJfxtEgwy
Y7lETyWw+BsZ66K2OqSXlE3p17nI3d0enLAAvU8tPhQZD9QGsKq0toWpPRBwL0VD+VUHqKmbAmVO
X2X9rB7zNR+O2OjzvC7ZRs4mEt0j5C6QSKydfo3FJE+LddGpl0v+VSf0dUW7+Yrgiq04KQljWK94
+8NjQE6dIdYeUE35F6PLjFY6VSA+B3gYwm5ZbvJykCeFci6CF3YuX8vJlO+Jk8nHHkr892Vbth8W
ExwOJxHfp+DnTyFOikY5ZV5QpgVVtk7LXaDn4csWiumUjBGFwAmo7EPnwxRnmcOOFPasAKySDfmZ
gN+o5Tz1pyGz+hUSqQTXv8SXKJySY58n82fAW+qxnDo4CvxYvnCut9t27tXBEWy56CY5e5jS0Fy0
TdfHaUaUhC6K9FsyLNgcYuWXh9RzLB5AQx+ixNhbp8l6w1aXCMAfxXSiOU8bdJlQfgI9KG+2QNM7
Sjv9tMVF91pAOPlZbYX5iAO/PWOxkfstCgykQDk7jiXN7kAUR0lteDk2xeanBPNdT8etDQSMKEX3
2DohFXxYY3jUa68+S2PTFj3qtt3pMrW30PvA2htw8bFNNpgbupa7Q0KG4hyBOqsXuaUfiqVFQofV
wfeAxpBy3fks3VhZe+7QEzTEAhku7oYsWYiBuUYPo6nGUtK7NZDtI8CK8SFI/fQ2Gv0VPwOJvWHR
28xRwfSW9A8w50HFmMmIXeArib/YgNq1hp0ovIdixr6yeFnUqYvHJK3LLiK3KRW6OJYhn8oL7wrZ
gA5Nt2oBbdwUcACSqt9MuVQ8odODCECb3/pAEYx1Hq5G3yENBXxJ5HS03kyp4h/gPwueyFTCzZA7
3YlDV0r93Lds4cjJEL675WwQrAn0lEFYSGkUnMgyz9uzh/3bdqe99AibUjmkBA4YNYHkjcuA1laP
dURQudQZt3S5B+jQz/CRRu3HlWzC1yIc8zuo3ihyTSKUiLcG/ax5yxiaKI19REuT5SicWjhw6Hkx
ObxjsQun/uOWeBovMCyqsLSXGJtdeFOkANZPavSTbroFToaXMmgHpNDE7QjHlg5oOw51AF/7C0sg
PqniLh2fhI+C7bSiX+vrkKg4vEMsiZvqWAMOvydws60NdGZbIwAQXfrYsBpOp+FiAu9ghxp9kJdb
guGfQscbwB182MVOiDHhH4xJ+8I0Pu/zMQZOPQushwIsYW0jH/NDGsFYcTd0IDkrPgEtrTfj1FQl
3IM/IbYfzhNLM4SPrNl6PzCgjU3vmDsjciYqmhxpOQTIEgJbboYW7oxK2gyeyXgFiZyb2MBaXDoC
8wpNEQ2RDgkQLUBfb5EM9PelRGmSaOnjkxAwHh7apYttXKOE6wJRg+KGomutSJc/+yAVBIWZLTwb
a+ykBi8QYcAc+4ZNSBX5oYO/tspaFbnyMHASke4gYyey7D4Klty+ghPlFJagIv3aLsuXbeva17aT
X9pSZn2FNoG/rJBI7G5EfQpxeCAdw+YaLBLZbkdk9TzohNnj0umylkpusiJQO8qK84y/6GnMG63h
VLIw/WF/XQz/Zlq6HYkYwYa1jt6DqCvCOnLzqpoNh036WM5d8kKgw9ENWwCZYD5gwkCpzdbvkZDD
k1TTXBxmQtq7WUzixarZtAfr2oXeAHxFpEXAXXnDRa+aeFLjcVA0g/Q6jA6l6cTtQLPgPh5cehtL
cH+incEBwxEjmjimy9fJEnvaXByPVUhwCDdhuaj5IKNcPECGt5obuXv7ynkNXa2Gtkey0Iy8hDLi
FFJM6ArtzZzj5hDKEUQvG0WkJQV9rGDFRqqExqJc4dQa9ANOeRz+LB/GhvWoL3AJ9BmnDjtaUua1
nWT31rM2+gIAyx2hfSlPIiz5kUjSPwZ9qOGQyrtP4cRfxx6CqhaN25HEtP8s1tjAwZUI8TkJqb7Y
OKGuotr1Rc2AMV6ojHHTbQigmLmlRhOefOjRllyWNWLfhi4hXwbaRp+GKFnvFhCgTSaVuEmAvL4B
w47hmSw3J6ukD9V9TuEfH0CQr/skTL+lw96kw/W1n9ount/FUgTsMOaI6amAyYr8ZsomJmo4I+FZ
BTshgLmRtY/qZMQ+Ais967P7Uc7xe4cco6GKR1xD1Y+kK+oB71sDRcKc6LxEeE9uY9KghV9GjVpr
aC9cCvMfia6tqweZJOEXHLwrvKFBsS7nwAx5Y2QfnJnK4tedfj9GMOvaivlAfsgy17/bpZA4HtB5
HoWlEBUJmiV3YMD0rfTQZlS6RUlz52Yr34fYOFbPQOsWGONG980Yj7WCRYk+zUqAgd8XkD9IWeqX
5TD1S3IB1gtD68qQW3Le1Zc/Uigx6ZGTztymHv1bFaAcMc1IVZAdAsUhnQ2RhvNm5nH8TOTi6mFO
ZgTABCp8sCuJXkBSFSXENajhqtys3XhaUVRdsPtN68GprutRypUoPSGGCMRD0q1RUFs4YGGY42Em
D1ouEOpD2IFJVKcdR5rRsBxbKB9UiUiPfkCRpg97G7vU1CsWo6ZOYNL8NME1P3yIRbTODboKCmM6
Jq/YZK0j247+FIRxP6UfckTPFNUQKZZ8HaG+DKZ6CQrX0yN4p8GF90MnclHW6LZhTq7s1vHZ1gQH
buabDjQQEpgsRNGpb6bFUz7c+oIC0qlniwZMPo4LUKukclBLw3WqrVTsU9sOqWibFUsFbARcQsmk
q8UpkZtji1pturGdDfhfs5rdkh06yIj4dMgUKKsX5FmBwjhJ6I3M1GifBmH/2Fs54DkghGZmtocg
GFD6ArU4bv8HD0oSYhznfvJNKTuXfcp0FncvV8wzkDtub+BzB8IYR9TJW6Q57gw4aPedTsA63Mj3
NqWhg4meI/hA3KhoLtlnK5EO1FVTAQAuQGdL+zXHEYHt2LzZDoBCcWdQULqHEA5bn9a2na0aEBcR
xnhaOPJ60b8nhZ0W3mSjsX66TSxub6vwKwHieEasy5xw+pKYTLL8kEPviQSL0FrlBeQ8zKDGQe/Q
qqOURY/9ODCiGSDmuY+hiULpLkvsmL6E1dQU6YkZwr2XADORBKRYDWWSHdf00E4uZeNBrhCuIJZB
T6K421D6FQdkdeUUZNJCS2nhrFdleiB+S9IT6DP+Jgs7vgYQqZgqFjDFVanF2jlAtMG/h9OAKgsi
cuRnHEQ+l4gN0JB7uGqLFTi8Lbf+p1j9UrJ2eYQjaTkDTmV3IqRJPcS5ve8j7/lBJhyap6UEnyqD
8aVHVgK5USjhSJVM0qeVm9ZhOmmDCAHjCrlO8Lgsw3e5hXTA1ppyWuU4R21jkg2pAnvOBgqEYDyg
AkWHSHuZZSedp4Y3lBfuPdio87KK2lVFz8XAhqzB78CYvukQPDBMuwtag2kLkEwS6j7q9vw3PZ9t
lw3L9zZwO+KCijqe6m3o2iP8YwsNjtxGBTQusSqnmoYpciNSH87naBbkMzIIUgCWhMZwKwNQZBk6
VOLnB17koW3iMLPmExQEUB9ACgqxWg1phFpQIEUx5DkAtx5adN6IM1Cow+8deCtXrclADmTIx0uA
eAMowm0GjwIkapJDARF7ZA0UU1aC2QlMd4L8Hw+GuDaoEkjUzkqOiFSyAMzeN/D+mBu0fLJBKHCf
mzzmkXSPHg+7SUtalIceEoUfATRAAA972d4F2IbnL2gu1+6J9Bwu+xlyIHZGBZNfdEoy9o4tMvGn
ZEn7Z7Em9B5qw/Z7qyOMfLFuDqqvPZlg2DbmKsnC9bVwmX1cNfzpDxL2OpCshAvspoRD8z9k5XME
+JA0ZY84qQigBWtWSEz+syYp/I3ZMKfnKe0RE7Xq7EXRVhxNPIWfcj1HCIeBnK/T4wah+7z5CjYi
/wCvZ8ya2M4LvFHjBJ15yZZyuWlzDZHXPG1QVbZ0dbjcctwVBuiGawkfcXwE0QK6MkxgeGzaJVmw
9QawDcDKi8w9WyXt7h9uJz/fJ1bauzaOlqIJs1aSI/QE8uPqiIF410y4S5Dq5Euqu6KtOArwDyrY
K94ZkZJwFAfesypHOhlUHYNiXYMDvYeACXDJ48aBAMCOLWV+GBbo1JoEpvPDphx+ps2gSoP6gstm
SeRf69xNh5jODhlkmf9MsFsst85MWjajWornOdPG4uMypFYEkMZcEo74rGSk8W3RjQOB2oZ6XumI
lrcICInf/ciGiwvk/AjJW19DShV/hbnETjDXkdLXLJt7XZM1Zb6xq+/natSFoQfbsWLE/qsRydJH
sc+OJl+zt4B20j0AuRqQh5MK7qtR8ugzKyEcqBBrox+Q4jOHB7JmHk1BGcMcoGiY8QOP+u4j0j/0
WuPcRFWH+rzpEq2KfdyQpJOsgKFhq6cPxciTTwivRCDLYsfPSEYQn7QRokJwMLBHCBOhN2oXTPlR
f24RitaitnJBHaDyuNcWLpkZuMuXqbXBjUZu29hoNpAPxhpxMRkS6dCRD3fABZBxScPiDYgxI5gG
bf4u4y05uDScnxft45thFiau+6VY92ot5FCgTIB4yDwX5znpprzZygCFE2dIj5iyeBmf4eJljQa4
1WhM9bRWSWYPKF+i28mLDhK7NfrUUe8+ldQgrnK2IRyI2XDgxUj/gjo3bNIsNa8Fyv1TlNLoXUDI
/SnEj2RV4DBwUM5/gnWluHfgyk9yMVh1hf0Kna95lBYxD1VhRBhhHWyPZRsMqGiilJ9wHiAXxRZz
0iB06hYoWnC3qlj/B4lDUVM4NCoKIapb5bpIvAXFmL70XZLyOgWqfyPlFMH/CcHikCTfvAX6rw+D
BB6k33FADXxpQCXDDPQJHa3g8lmnM3IeP5i+U9jl56LYJT5awZcNrt35niMrRIK3Ex9SD0WKP60x
LA9xk4jQme4mtB3vNyS4wEXzSplbs2/ZlIrh3IuCm7SmqQ5N0BRLlq4am9cAUQi4NsgMekQz5mED
/Vq0oWwsQs9qPeQ6RKYT0tWgY8tjlx3TdFqLL/k0GWwqSg6jG7GPZV2YNajzQPc3gc/bFrqQFFIl
qHpRxkOc5OHRxqKBGjxFgOrSSfEjVIEncwNuF3q3A8JK/dBB6sJaRCEh0QYhkXGNOahAg7R9u4Xq
aUkKgxaGJS7X+k0UK8IRG/CZBfo+OG+Y6x/6XsxWNPOaF3l0CGViZ/VuEfgY+QrvIpmvV5GiJKs2
BJ2q5UzhNuwRYhH4/U7SvA3L8dS1biHqPzZotzirGC0G/B8k5SR3t4GZ0TDf9n6mY167sCzIcvxn
eu53QhesIQQLyPXdKXKwujAT/k6iAyorTAix/Q8u5G7FWa6SjCSbNHjdmXQpcpbMEroAfgHWg6L7
lwv4nVTfLwC8NrymSB0GSwhS6PcLYJmHladl5PtwvQB+FUrwoRwx4wIBXuzKlP6KZv7lBLgGDP89
je7v4XT/f2bhhfgtEH+bHXsU3+9B0V+hGvs6ff8tAuL6Q7/CHPDbvWA7JyEs58hMTMr/DnMISPl/
kBOdJdCghKT4GdrwK8wBqeE4/QtsH1CMwPURwpsA0nYPik7I/ykgx4jgTSBQOsB//b/Jc/jd4JHt
MdVApfDbrdBwQKHx51yG86nXvBu2M2mjbKvokk53rWv9K4+ADrQ4xv/NVvGHkgAfSBJShBncpAks
Fn/MXbRB0E9vuT8712swRMtS5yDJTn97CP8P48rvmpuft4Vcm3jfrpCkHcd/mLtMNoewznXujJxL
COdjp54GgdwvRlJ5gB5jrKJZr02q+uAZMWDu9Z8/Huak/3GbUDnvfnioCzDIf0YwIJqpYIsn5iwg
zQOEAxnKESBGeIaxrbhzcOpfXO/0DPiWgMGUNKEIIZMsAKIQJtmLKCDNAfpQ+Pt5Ra5N1Ubg8QpQ
SUfon/Fa4MDQrSaIwEMbCrwSiax09pBzFt7/pYwfnpO+GICsFdsZYhL07iRXF2TJqU+UKegrF46k
ONlGKKtACQAOgFNuO4dwd31EKS0fNJKtP8Y4mR9NYullzWf5tUC+Kfpusfi/uhl3tEzj8jbayZ9m
QLR3AKLhU6asQAw1+pO7jobiCzSh8nMEvjSsV8fKu1m5GB1cTp/LhXDIzWcZihsMFWQW7a5eAk+H
X8l2ioHqgXElc3wgG4s/euGB7sNL/gHZstOdgO4Nmz5SyyE5Z/pJAAZAXUVWUyMzrUA/0G3waTh2
piFfm4QyfRnQHj3N3NDLZok7Id14vFEG+VWgQ5a3PuTLm+q3/AVPJz7AfAQ+PM7G2uZOffNixXog
EebQOvnXzlDx2f5f9s5sO27kStdPBC8gMF+eBHJkkikmKYrkDZYkSphnIALA0/cHqt2WVNVVx33t
C3utcpmZiSEi9v73P+i4eHDKVvrBUT5rSHXRyRwq/+wYWnpoGad9V2Mzf9Q7/gSdfv/JqRlORFNs
HVvIGo9Qk/tPGUYlZzhh/rksqQLoMFor2zCs18qNM2LxnBdFwwkcFdgCSsEER+TXBktYuJixE2Si
7r5aEf8Y54jfgzgTwEv0iT1qgrH9CjAyf/Qg0+8dTJ2ODFqbu9ltVDiNWYGjLdBItYXrURwb6pnN
QNXGxFqb9poR5ddYYSjg4Kt2B83Nhigdy2/Q4Vdx/JDvykLX2TSM+jWdWvmECdRyS+fIR5nJvMf/
wNsYE1fsM3y5ixAjBY7W2hdGhTKwfK4FY3SEKj6uzTLPeRUlyqVvRp4y10iFdYmh3eCx7NP504pj
ekflFhZ4TnxXedx8dgvfDiYVZVk4TBoxj3USAaTqUfsVr4LltlLJ/FGoEj/nmsVQdG2+0/JqeIOj
YjymVqrCJC6WnaFxb/uY55iN661eX9GimuQ3ivV8t+Qzhu7twpOwnBpjQoP3v2Os9lLEbnQq+vxF
af14StKuvMTed330dSBBrAqhcEalOCa9/aoLRqs48o9PseDd3AgtT/dCr70Q/csr6ib5bbDc5q7J
bF5KXNmDKeFBOXTPu6i1mktTmtbFH5R9GefIeKzSvnkZbad+1QaLt9XNmbyLqH418ce+ySCtP0ze
7DG0yTzqp0rVn5Gq9FWQQr/d+J2fh+8X5yUsgr7utSuYRDWEE+TUW+XN/aem1/LrjEW5t5Ex98cY
jOgEv64MHKWnh6EWLoIomER7G3LY1wZZA4+pRDQUzJBJno0098+ZPkMtdICD7gZHxJ74hLOekTsv
sq7U8DVlWPmSGlWZA4iaS4XqEh/nagthS423TCEi+6Ric7SuZj7jGGhN80fDm9GmO2OCFSN9V9gy
f9zxHkKOG9DhgdlOA1vTWN2NtS+Y12f+ydLyDwM83XsmXFfNHqHCNCWWjK59v3Q2e6c7mXf4bT1E
dnRXghyEussiisWSHEuRf+xty9hiqzxuR2v+knolvY8c3/JElEetiukcrISUBCfeVMbYnOtSqm1h
09X0COreaNPbbZz2dLxttCtUZ5wg4vuhMXcuahI7DuMmTu+wx5hvMVyUMyBNdEKscNJybGTToqV/
afyoPVpCL0KhTfRfOhNk5oDIr8ui+B43y+ChAKncPVQRfBit6jpXbroVoJM3WRI3t8yl1M5JWLBt
Vho36RxN2xGd/nFBkxEAEehHHe3sAXHpHDSD6W1rRQXbmB7LsjKyfYIYPoCLpd8oxFyHMTYeAA/9
nWO5/dmoIJpvBff+K72CcgKboIAFSQjPEKbXIA+iSV2AHRrYOurOYy8gDwh9PMbKNxgF+A6sDxiR
4Rz1X80aUWJsx5x5HOAeYyaOudXnEtqS015NTIU2xpD34NRjgsV1TriF702vni2ZL5r5dFMxFYKa
k+cvQAe1yyTVmfcALFgvuUg2Q0yNUAhKyyQ+yWzvqc68nTXapnts2F/1cGYTSTYtDGWCDFhXt1bR
Nzc4/+FrjoT+KKamD80kYVX1ZBHk7aZa6ZnzYNinxummj4sys6DLsDr1+uqgitCUWn0yOmf5zPzb
Poq5XB5pFWtiLXr/MKGCOjKVnT/AO1lCGY2Yc5aNFTiiKHndc7kpGONu0X9Y925vYaoQzcaILEeV
K+dt12qMhzUfEo+CYQ+IYGbPrhOnG1pFtbOiWW5GIOhdmxSQ+OPyvjA0znKQr2NKy2YiZpNhrMX+
U+HFxp5sCWPrmHVy9CQ6Al9F1m0NpwNmndKuJUDoHZoc7ApRfdOY2X5ibVunK7+BFt8l0eKesSsX
TmApYMUNPD07LK0kv236xTjiALsq2BKnuymWyHyBTAHO6toMHBmWFv3N6kHpBZmR6d+asiyL0HIr
Zwr1TJfHBU1D0JRat2eWb7+QL5Gm4YKlKPSjuP9amhDwbo3ekktMFIcR2y++1JHc4mJABgc5KxmA
Q5Xv3MSWX+rMYLSKaoi6oGnvJ8IVQgd7kHrryTK90aaiAOPFdtXl9SuTI/Yw3dlvAQEQDfT0WRDW
0wPmpVEfZGltX2b4gYclqZovovG0Hkh0ztdnowPsUiJlmck5VBgLtr99dfZFZLM5N8ObB/ehCWIl
6nyn5z0HTsMu/L0qCmw2Zi26Nrm7roGcMsGN9CYKY3ukIErSMmiTxr4QhaFdMfxvuNzUTIh2SXMv
jNHdwAicS4zeCRD5Ana7NNhB8pCMhdMZTVR7+lF8MdoxHoHE+zdUEZkXCvQB1MllhPQZrxGxpQyF
L89MtYep2LYAetLKwwwqxBF7iepcAA8dwJhUiDiFzbjL4gzwTEBQS+yewx3RinatYn98SlHnXZDT
5WFlO81dvLz/Cr99NjVGgIRFtOumvJTz9yGjJkl9l/LEb1vjA9tg9WY2Ti1DDfduTm3JVhmzEW3K
jp8z9828T+BLPSWpzrMzWs2rAr3s5j1eBfONLjOuf5QqZOg672uKrZcGT9MAZRrlLwMs0MmpOAqm
vACplvGI88n83SODZj8tUc0gDyGrkap+3sw2syIcj83imAu/vf/rJsJYW6GfOMC0DRAixUrUtw3I
+r9z58faBHHK2uGAOWSfBA4I+8WFRrBFUhydoGOiUfO5miHWpw9uXGM80dvmYRnq1zhCM60B7556
U843UBHbZywgrYtMxfRRUeX+DSRh/CqWXzsudD+4ApokG0Gq/v3H4lOVu5B7+4OWMgKWfeU8zA0v
Nxqz5KKNPGm2fx6qIXnL8oE0Dp2z4ZRXU/05a6hVXVxrbv/6Dr63eb/eQTSP73YmHs3yH5rNmGGY
YPrTH0p8As0AvjWG6t7YnhelyX0HVyZkO1y2M6JW8Dvgv+eM8eEeXy2WhiVzfMet9mQWznIYI7t+
a9LCvfecuIFQ0C4rB2odYA+29jfylN+Y6T9u54+n7+JPwunzK8TTCTTsMWLEQ6yJ9oSD/MpJ6N0q
aLGSvYctSWvH+C8k/6F57edV8qwqFto42H/bzP7Jj0Ep4gFerLaTjvu7rwgyY7MpZoWdRsuZNhPG
kG3b0p939TyxO6WVCn2IA9+lmOUBUky80wzx2csa4pTIikhhG201W8VMxcv6likdgUIgr7fpYuY3
ul6ar8LKk+kWu5JK3nRJ4pFmYuShbqXLLp1Y0AzCs0Psp/ZFNxJm1gxzrlNR+mcKyGVHZtN8YyVU
8107wg5adxhhjdpVxp3zoEHB+V56qF03orIwMjd79ljEQdS9Cl+fcWQDW03uaaS9hb6E2TGiRIZI
FeP+kp34vVafqqW9r4p23VP8tWzPKej90u43lp46DHbyZiumqLnLTcM7Z2NLDQrRMYDFI59ibJwx
YLRF8dqZOPqfoD648txGKuYmpSmxFlM/TFs7zhM9GBszKrSDaWYjDCFbDFpvhVxQJZ7w4zA2fWvi
/Oo6SxEfc0qaMFrW/2HVQUah3sOzDqIUFywJAYh0AFzb+je3gMDIaUxN3+lJBpM8SrjiuPLr7cQm
nGyKiVIeFaCOKT9FPu20fqD7Zov1rP6TntFqCtDyoLe1ugtKv1luYaeRg5NYzZc5G3ME6kO6HyXV
lZ4rVscy0FAwTRifhrR4dTv6x2UymhdPFSbDhDmFkrjeOz9XXnpaFm4+h452RYhgHg0OjvvclOk+
yhNefM8eiuNge/VnVAH1Z2uGjTGIQsDjwmplZw5e94FO1DvPLbT2UdH0O0XVf0KU2X+aEDceQeDr
12Ht7arEJyKmHCRDm6VgkD8XaoQMEpfHrs/oWjCkx8Aide9LsxufdBSwW1GJ+rMNcWWvW3RYjUH3
HHbVwgkw1Eb/SWQASm1bNHeDm7rsJhY7G9YSXggsTmcUWdbgBjUG+/LQ62NlbGDfeuGgL+3XukKX
isp6jTyh3rRTazlUCWci/FdQOaE4ciZ/PULX8cHOnl0AoFK0z2p2vbOhgFkwovDPsdF0p3R2q7OD
KzTakXLeVzqZb7jwyyeCkGjv1ZzuvRUBAhlv7socfAihCQgBzivfPVbpgnHg0rzkDpbTk9swBxlo
t5keXowK2lqpEicwLD600tbCef3Vk+UDYnlpzYtRF+szMFVxNNalOq1njZ7nCh40W5XdTjhydyUE
uwwtxXaUKcjI2rymk04Dn0xWe69XHU+mBsN/ez+LmyquohXrISQNaRujzU6B65gOt2oFJerCnW+W
2JlvmRx45/fXUExAMLzerX6YRm2+tWIQD7Of2/t3xKcyeX2QoRSQB0FO2pIuuMCRAZdWCiqUWt55
jBw7eIcHtFjjNlgtnS2AI7d+BfKWFGPpvAEQUknyvYPveov8nVpjwhQJks8EFuYxNmfKMeVXGMgE
VlAAE+uEyCMYa3f60I4ScK6CNL9B/1Ecp4UrWhXYgDgLS7D2FRBchDgQaEdHxTlq9RZ/COAMgDu1
xe6J/WUq7YvIHfuBgkeHP+DI/hOBZSCCi5W3z5ApAMrsQbVfYxjF2x6DwY94LYLbIEg/IpZY+0aL
bY2OPjq9IzUaioSNx3HTwe9O+aRSAPa0C1ucafD17/jN+4E95WC3VZ1YR03XvmGuuZbLyHxgzJYU
S22v57sfr2YKdNlYQENVbURXVIHVuamhk6H39s7e0LfPtQGGZvQxmNq41sr4oiUXadFpBbE+sLlr
on+rC79+nWIOvE5v/bNy2WfJB+MWJnbbfYUuzQPJ89HY9rRP296hPB8y1vT6Prfdug33Ud3fFD1S
aqjkLjUvqV/LhgMdWyuTgi9ZUW9qpPUUoEF7NTxeCWsZ+7exjerPGOXEF2jGwEZYlAROjos7rQ5g
pMPlRCv69V7eej4IaZxX+bVUEhSJyVzooFt8fD8bDPLATiMBVReXLR/cCRCVhAUkobEGPcNXvgcz
mJKonXPxqLpZBn5pgZ/VVMIW7XCQOJnx2EANx+ybB4nBXHGcC706L+ZYneHlFsdyfQYEWTQvfa+6
ZtctNcW5IqRJoHh4mhVlcpODz+l1IR41Yh33EfvYc917zUuC59EJ/MIJ3iFBHDSsoyea6BRjMw/t
lRKkZzchI1Lr812MmnfX1hOFEqOvTcnC3hMDAwpaY+YUzLqsXwuhAVBjFfdkphGtwkDhbDqtCgXg
8pbDnpfnfZudXO4GyNF809VW/ImuHtYGBN21n+gnUKjOnD50gDYfG5eqHZMLIAvZS24mc9F9IllH
aCM5tRzZ0OOZvGsaItQJt6JXgXgrhWlttycFSfazu26VJkrlbYdb8mXxyFaDsWiDemn91sQShrYL
yIQ12YFOV4M737oYOD6arTt+czF72ONCj3ULxaaJdyJNSFPUzZe+JIQDYt1SHDFyoolp0uQi3OpV
Spu7tvpMHuHVs1Rkzj1Ab0Q3JFX7TFWSWZtxmmG7FHrtU7eMdnqnNJ1NFrdH+QQ/mGp2lrgAjTzw
GcPNWxhN0fX9H98X5lxmHDGaMXZfbUhk14ZD5VhBZ/4wYZuzg+aX7mtVs6BTKtyYETFyKlyKLlbj
Loxf7XS5bZyFjgzx6m7q8++jtdTwinsa2Heg2O2bV0vQmaq1CoD5TUsGz2DcAyRwxeqI5E4dRs96
wUU/CZd1EjMAqGzhRPNlOZqDE1TF+j+jyh8u8X+a4/0vA3kDA+Sf2qM/TCr/Hy6d9a+Rtj/+5H8S
bQntsphGMtg2cTf8JdHW+gcey84PWTUTTLqRfw4q3TWhS8d4kKHe+m/4Df8cVGJIzwgT0hr9CxMy
79+ZUwLU/toNM6i3+V0cjkI3+Hm/C7vLFnbKlDsKj6MG3SXhfmooi2rjgYHrN3UjPUxDs9YdeANz
THxK/RPqQVgGedWU/aMorWHpNutAH2y/yzrSV8H/sCD1Hjjhmt7BkTarUmMMGjVBpyYwlIlUVfnz
IdOU0iDFYRFQyiOcxrKXMJ9gGw3NbVXMVNNSpvSwvtew8yIpPtVaCZ5KnOp8O1tR9JiZbYNc0nnW
mJ7tVS3d1XsNfzQ7a85ZCYmizCaCw2yb3T5x0gWgPsEfBMyESQe2MdLf4szDPgHKEmMAVzjTdYGS
+lkHncyZxvTyFjNlqLoiGUgR7eSYcqhRxBd7JhnFfpJ4coa2X6dHp4xb944MLZkBe+gY+mkaNCSH
gJv9wGBj3Gir/W5SWvmhiTq1I8fEXSDyVXwwJLdoCkoZyYuwo+qFI8C4Kgzj5b4eMur9vpfxJkbG
APodz8uGc7gLM7uVz0NnzU/RUrtO0MVtMx2nmlMDCqXNhUJ/HcUzftYtbmlGse+F020tI5db2u2W
psfozgrLt1VOiTpWR8HbbEiHsY9O1LtPfkYyrxiU3+/TDEemXdJ39AGSVz3E/3LW71sn39JKVeXe
HIqIg9SeUOmsAUtpn2WEcEpEdRvstrs61Ed4MGgESo4vUh/BkkdvJ5RSWzVkJMPEQsYMYgedGx03
jQ2EW6jvbpTqnxcGt7vcZjUSpZYSaFtZ8+eSeAaxwxnM3o/11DwYVZfc4EVXPNeMojaRLg0VNFo8
YKCYxHooOveC900XjiKJtmiAgEshxBi8NMZkSADnot3NEqlB4nb+ZbJbBGtRNwYjvJ5T4kcT4XJm
mWPzZyIAtJOxeNMzrT6uCbLHoUQtCb0gemU1oMXD4s3/EpEenG7mfiCxNR5a8RgV6XhUXenuIOHT
0PhV1D/A2/uqK/AOOXtLiJU2PQkrID3WLjxaZHyT9IMYpOhcOoV1yhPbe8H2QOxln5CPaoP+GqEt
aap7JhNm2EftI8Vnd9d6+vKF2GUgjDaen8a0KWkgUZgHmqaTl9ZoMNhko/WXmVjmu9bGE46KNSNX
Wcg0CmwUGqFBG//RidthozS/OiKhij8N7SqnhPtXXHOrEUFPFbtHj7Ifao/30I2scYPlkH5vJ+0Y
zEjmycitLIF5sR0Z0c0783m0h+bSrcMOghWKb5WRz8fWx9V8WlME5DT7myoavmY6oZR4cKnARvdy
WG3ngtoSnyc1f7KLjpYpj/0pZPBJAHIIhY7niJcu+O3ofFA9gii+Ft+jce7+cyr+/52K+NnCz/qf
pIg/HIsEc3ZxihPrTyfpj7/5Z5al/g8cXDgqXR3hNWbtwLQ/wlg0z/4HTnXM3GCEgYsZKxHrn+fi
T+egTjALXu+wfDwXobz4d85Bjs9fz0FOZ+BVPox4d4su2+GLfraT8VG6EgDnFQfTi18UsNkG1mq9
BbZ75nx5wMfkAKunffZK45k3kTRo6jdUDqcBrGC7aK04mqqcjz0ZVEwr2T/9Ef03CXnsrFqL2Zb0
sQ+IpMM03fUI8Ot1+NZF84o7vH7VBPq0RRvG0MQeNGi81dZSqxglxu414xT8oJY0xJqrBHVm2DZA
dd2YCF+2vSZEOCurO+mot1tZXvAaZ5cdrAGBzwTy4i73dh/ZYe0qvP1mNT6K1Mc9dJ7IZyNYcmNp
xr1aTHuP7uuTYxFxxZ5c7N2ySG4HPTWYe/ObdJ1YWcPpu62Nc9YHKhd6i+KJgnozmuz5c+vYTDnl
5xqzAU4IZgGd1Uxf0sqPb3KFqsD0F/xFiWFDSqmQdlidu4f1QaaiVUwkh5tvuI0SIDyKKExzXMEi
d/ws5KwCbcBH08/LXZlyVmcLHRUoWLzlqW4UMNa1bPvdQADZUmuXaM6KLern6dCYMKwntzaufiOK
50HazSdGmbvSX4OqhvKKCsY7p4XXjcixXZTdkNdvu8aM1VZ4EqcCuo/ncalTIDOacRNnqgDRy8Tu
EsvuoTW16EFYhn0DbImwQSvt7hAPTnuG+JzedXWhnvG56t9Q2ftPU2nmjNFrsFSnBmDC3qPc9iqH
tDIWmA8oVLrwhalLCiHtA6Pi5sVNM471DA+qpyrHBsEuEn+vi8K4s8DI3A3iKVC6WG+6s9ui021w
aOPm+YKiJxmhH/WiqU5dH0XZZqn16kRU2wi27mHgicMXQ8eNUSNx1iFMIwAyDY5jN3t1iSV0wimK
Ue+INHrKRFE/wNjFW69M6weDfMM708F53CJuDmbblL0SSwAy5JPlingiXwy4y9q0HXRaytmWhNcN
eQyjGOf5Lalja2gZvsYmIxdQFDhdYMxoJlscG57mdNa/dKNrHjUTP/Ag7gfuKqlbmObCm+IGagFn
w1qH6brxKGu7Ok2rgbIr8G8MST2dP4iYV9Nm7psf7B5TWVy24/nqovBKNyWk4WvujPVNX9sOHs8z
z6HxCIpg+M3JQx2bVttZlnM4DSUdO+tvnzo+t3uaGA7CzUDKjLiseGqMCuOBFiA4bRe5x+Cw+QZ5
YvoQ4Xp5ef9lGUIVJu2jwccDq7r38ZJoEOk72wlMfBjurZXJY2lD+b0oE+uEkm987DNCqGtsqR3C
n7nwAansdea4/OhOJf/HYq03bMkmEnpmPW91vyeZVlkZ9mi8aZlN67xZYp+aEwWufQMl2t8CVNYX
1fjwjRPCXAN7aYsny1eCeYKW1lvylNx72BrWsSat9mpMqkZtCqNdxCN25VjpsuuNVnXSyoWnJpis
wroohzf8uhHJ67VzASOfb9rIENdIz7yrajGaSXgj882CAu8Vgj/6D7tEUkF/zwdJj290Z8bGRZys
Rm6t3C9OVj+0cYs4sxj87fvTKlVZP6Tx3HtBn0ekOBqD9IAyuXOza9lno+3RwzoeKpMQl0wiRtUa
JlpMvPUL/5V61EuUyYGAtR702XJHiuudbOcPo9Y/ypbSX9r1a5V6uJFiBOV7t2IYL7qKPyRSB7gY
kkOZdd9t5d/4Zg1ErvnQLNzr1Js7Uyb7wVme4q53QlufvDNhuWx0kb3Ne0Ikm7kOPIEWYeAcIwbW
xCFkjeu+Wk32Eadk486R7OG54cUgWY2JmLxaE13mu5RWRk0Z5Vx9Mis3+mAM2nQxJoEjYx3PcDKA
bfdYM2Ybz5fWdm7ycuM2bXeQsmggLeZtgp7deKtiJBSt+NZWsr5BjdbcZABv20qUxtEU9tfOGA6V
Z99zTK4pASMhAUgqX7RYPPeaBw+nLsn+7csd1PRhU86k0msldIgMGAZwqWOc0TgO0mGoo4FMsuWt
lHYAzWcdNyf9Dsukhwqx38l3872ZDQkGIgsPmHHKbmrHCKnAnIMlGh+dGeTf9dtjPs3lUcdk6sAE
jqGVN4J6V3mEx/J4amLUTDRXLy0tBUqyGr+CXHdPHS/+PsM+mWI4etENlK1aiXefMX835+bapJ77
LRVuerBUq7+6jlaHRp4/DkaffZ5nzcS1jxY0ZQQYMEvocS71hxNaKYsg1mVhPzBlcYizxaSl9HQL
m+BQ+NFDW/ZvCPciuhJvvpsIDwEAAv8agLUEge/V0hEMK+Fu1oZzV7Dn3/Na0cQ4kfEBdZu1VWKs
aIBGIgmBNpvQ6jXyPA3RfOttkW9J4TzOZU0+QtN8HosaUwwPG/DMkM96BGip15z2vmjtveaMX0EW
XtoE94y5xa/DWLMekJlubBPPcGQW2m1n2R8J5dCD1VN1k6VV/OwxFggq5B4DZNGz8sZ4S5HgvTGv
k1fXTo2PDObWGsLFlLjHLO2EIFaB5onIwxFdZh8zd8w3GKkS1x652beh64oTrZm7qeI+QuGkyR1n
utrlPX8bl+Z2Xgb9zo2y+t60zCkkOYzKCobdRjWdd9fIBk6TPhevShi4QGEpG9hUWJuONj4sWEXs
5EPK8CCpkDdFeen5G6xe47Ochtw49SIyoDD1i3MHiWDceXFb6iyJ+GlwJu3iGFio5CYUZh4i4dlR
F2tbmWfjGak8MKFRRRCFW7sRG2tRHIPTWN/VHrG+Fjaj26hFpBRhEvTkt+lwVfmSZnBbW6xvBr/S
7jCwto9UCvne0Ot2m060xoWya2ubdNP3qhTignfP8FF1qTo0uBR/clowOyYuhOstPonOLvpfzWrw
43WXY15ShZVSaie9ZgMjc609oKHug6YbsiCLMChFRYfws0UWP1vFF4gdkHW7SF1yR9Nvu6jqdpgV
o6MWiSQ0Ko8Caobbqc52lqbtYwEeXXjLS9Z1dRNmlSwggLY4mRu5sYEngd2TpcMP7HJrv8BGxZtq
3ndkdACiRuYOJ1f5YVmVozDnSK91pIdxeVs8tFmvDp6Zay/m4N8ZAELflIuXTYur185vnHgH/Q82
pblKqXHiDkc4ehsd7v5GevqVE7S+ID4d4emNJJ/QIz+ZzbSf1BRDsV0eMCB07yYoNpvB87L9XBl7
aO99UBjdtpZ1/A3ZHMAER54EMd+SHDduJxzKTqlEuolPR4QJaXRO4/ZqRbaNh6eXHecFqUuUeYk/
hHgM5Ctja7niXpND8HNHzUnlNltxg2aP51oWY1WPNQJLmNTYDReMffPG15DRPMUYdkA09nVS3AJX
FTPgDPXvwhxhnFGBx2Vub4kbliEKWJKB7RE/NIKd5Yicp3RSjLd6Jt3z1yT3lLQ2jhnV4sBp+Gkq
rXs6eLnDH2UMYmtUD8SHI+Kdl/4uzux6h+DVumUI9twuJvrBxrmmPgnauKYM18SvRAjLN7u0bmN/
6UmAhPBcLV+M3hhuVelqu9SQ37oYfpKyhbz1pDRD13OtE8lBit0v6T/4qhBMiiAOxpQq6BBHM8Sm
9hXjpYjR35h9VkOM/EnrLJPzPjpBjXfQI+k4JbRQZgH3kPE2XsJR2YCkkdu7hyrxSMbctLFz6wae
OaLIIntzhZKoZMvuDv5CUNTW16QQfRgNqX/CQtyptpmxFv3x3A1fdEsNb25uZ2elKiz+PCSkJoMH
xH3+gy5hEcMtl4sW5nLIj+RkgzAucETPFibp901RLp8KMK7bPim/0oDG5G+Jdmw2innNzVxFdZhW
yde2LDn18RJ4c6Wz7lnRMGDAnMpdZ+joDPEd3gphTteB3LqAGuhq4sFwMbMFGykDm5uTbvltiCqb
lYbs/ckZ1XjTNsxUCB3zyKeYh+KSV+063ceu7UvF0A9TnyyddqWRcBQgdXfRTKdeTR1Q+N6bh4or
CWRsG9cUV/5PQ+c2L4tZVl+WpMZDREampbHlu2iZR11VjxVF/9Y2Fu+G6PN617MxbnH5O8JhreDJ
0WTV6ZLfpfGoXoxhMaDwuWQq2FWCSA6gqN4IvvzSop6+oLRLaHxTf3hEd9ORP0xuDPlmqAA5B5cZ
NzuFKwSzYhSpXdtLpA5leXDNIT10rWoOmHZ/yycsBnu0G7SP/TnvxpI+q/Ou5HLID3EyNKgv/CXM
VUt1uw4S7bj2tl0E7SHzvejED/tI4xeFrp/UOy0rvWOBr8V/UJ//hmn+bhZi6CYziv8d9dkVNeYr
v6I+P/7mX6gPH6Hb1BAOKAvqrH+hPu4/ACwdew3UNTB3dUFg/on6GExDgIp8kw/Toe4BPf33NERY
/7AhxzG/0ImVEQA4/xYM9DsI5DCSZxaNWbaPrc7v9LBYTfriNfV4EGKMh6DIfcRAmBP6Z2vE2X5D
aVBRpRIJATML7fdP9+rDDwLdz7FAK8T0E63O1qHUiZXspyOpdcTvGcCYmCx4Uk7DXo1C4tdQOkQQ
iCKEGVYe/g9fxegH1ZjFdvy7XKwzM2kYpT0guoB3UAiDmIMeWgkjp/b/cFXcypXhhpfdHwZMizHl
uD1YA66eEKEmc2nDDo1LMEzu36U//obhvd9AYpUob01eCqCbXzE8YsSB3GxuoJ9G/kbO4h6nDOf7
BOYG04W5VG1iAhxFedDoVJN/fUt5B//w9EzGfGCWwjH+kH8IcIBrTzMMCEUtZ4NLfLKtcN749/J2
uUSbQR3hamj8BDLVVXj4k+t1H3tmL9to3GPs5uAkLipMPOypddeKpATW/+uL+lWTi36SrwN/1QW+
+7wmv+sYmS4JMzEGRAOzg+Vk3n2D0vjdgxS7wX/6xgHb+IGo/6/ZWH+8jbZgSimgpxiWof8eKBwl
eaaANMZ9pkMXIceh4GFBpvvr6/pNn/l+XcLCCdhzQZpJS/71NlpjhEVjm497E+hpY2raGVLCZUby
iLa5tP/mmv7sLv78bb89NLTecRsTZ7b3cIPaRDQusSwHQkdyIrSZF266PP/y1xf4W2jdjye3ptiu
puQoUH/fyuYEw1mlWHZG4lgXq7aKpxjTyyNOQt4BY9ycgdDVZdwUtAXwlQOX7tTY5mEEaNtTJEkM
wJiadMptvk6TqR1ncrnBfIb2YcHDFq4WAoscsu5f/27jT54/2m8X2jOw/h+Vs14fO6JGZb9PFUYB
QNMqX2E3G8BBgwGd9jiOYh0M6Yy7t4V0Yr3qC6Sv0cBiiik1HK8m9i8MpOO/WQv2n/409ud1hdv8
Z/33P629zCfNc8Hvh0o1odpN7DDt8CjBFm5A2xb3H8lYwVxPOfg01sUCKFll3RmpGmVPOQ0Sf5tq
k1sIJVp6741poDaAyIjmT8TzTTyK7k44i3ZccoC3Vg6EnLhrUBlmmk+jSrUnMK8o8M2UuCVLc3c0
SSmFUudtGX6ehrwjUlMrxmCIbHiNBQGTVv5xVF5/l1uzuZnNBS6pOWKwog2X2ofh06bMn2kXsXlC
jnDWMT36pHVgcFmVa2uExfd8Nq8D/gN4rcT5gQDz4cInV39Dc//jAiG1gMKAVY91uOtSZPx8Z5FS
2qOt1ofeJ3daPibEMOlHI50exyWC2TLC0Pnr9+xPv9Fms8ag6L/YO5PlupEs234R0tA7ML24PXtS
JCVNYJREom8dgMPx9bXAiJcWQckkqzeuSVplVgSBi8Zx/Jy918YS/tFIHMImBrhWDIc+jsHOuDuG
wN/D2r3sHXpv8CE+//54P3/b0Vmw2gAsXsH9H53TklYsacPjQHMKgCAOD3VK4OfsArv/U6jjz49p
wDTMt1E0hmyUP5Lek5EJh5oavoLwLi4ao7NO2L7EHy7gL4+C9J8yxXEYxH24ZWQPGNVA3gkNpx55
JFhX48iIObj9/XX7KJJnpebXBJYVUC2C7vE+HKfIjMXyW+QHaI2bLYrgfO/PFY1SSVadi0SBkoIH
H3d8cu6D595ODo1bZH9alj74MN5PgxKGOaPlOQhlPjjfu66BhjoJcNxzKXaqC8t9rPJhz14zCyIH
j+HJqmFC9mbzWjZK3BdDrrDamdMVIc3OGdz+H3NJf3lOAhkQfviQmvXDZyWhcQNgx5EH0DX1yey9
XWiOoBDrobuOZTtGKXLKL6XHq0zwib4ZVw4IcerkIQR1sxV1+Upyz3RdBPN2WdTXMceXSDerfdCk
njFBzLyjl6TqXGvgrubwp+LC/uUPQNKHFYesbrhK/37twSCHlQ4UFzXV9wm71f2o3OQxZRWL2k7k
21haZlRhzuGL1VdnQrlfgkx8IsAlPI1tHEdQu6ZdipjvrllE8ylwl9cF9czZoXezV22it6rIDb4V
Q4mMHtDTH57OD7EYfz0W//gFH55OhcUN4IuGN2DkyTlewhpk0FzTNTK3Q9azyI/QOvPcPDGlQfLf
Qvv6/Sk4v76I2Eg8XkbwFR++SoFmLdHeKFca5oDEtwy8b5RVt8KVNYReE2nvND8Lsq6/yzWBakoi
qNrploEm3YNE7m1TMufBbQpB0cL1yBStjVIOeJhRg8A3T6xX+moWS6V4YP+/88gv3fpG+Ay8Dmzy
5DHIRlp0pI/6IibzwdccCIvXKvkK5Z9IFz+XbtDTTIb0VAg+8RkfLrlHwgPAPhaELi+f6xhEL4YB
YwHX2Sye84c68RfLtk8NzM6TgFhqxQ87ClnCNOxZdA5tUr+FWUDcr4UV1p2X8A9HWv/Svzd//Cyb
OJcQQ5UwPxb2kM1GIGMeT1KffIISmjyTX8qUrdLsJog6hu9q+kZwxsGT/uER+sW3EIgKEUQOUcAm
hfe/X8MhyToYp0QNIGn4Eg/B7Sy6e8jZb6UYvrHl9be/f2Tfa8+ffqsHxsOCT4TU4sMtxC4r5yzj
kWUbXt9jxrm2dUzvsKY1TXDwqxlXn5qsZCSgW4obN8hQISf9ah7/w0//5cPkwTIBaiJc8+NnOUNU
7UFTlgcVNMPWbIWPmQB9MOPQJPLS/O33v/wXH03fpHJcc2tWC8WHFdsnISKpSHU/aN3Ph6S14mgh
zPAPe8RfXl+LTgZPEpcXcc2/b2guraQh7EAe2CMTtjjNMBxrcE9+HBgnJTE/JRNcRaJBy52KMWnS
DSh382RcLHDn/rBG/rwpDwBFUy2bvEOB9/F9VUytmQAWnMxEMEOaiGQv+wXoNwPapIKa2sqqPqRi
wPJZjOYfXivrV28w1RAXm7o9cD8+awM+Vtupzf6gLTf91op+7dX2yXAjM8urNijXmbGDYGa4b+gQ
dcDkd6W3NfOW3jvq2LSIFFGmV1PqwJi1h2G0InIv5I/fPxm/OE3CRn0wz6ieLPExMic1gkx7ePAP
/hz3ezTh086VXbijls/+cEl+caiQ9VOgV6ANh+Xm309HlluSCbHoDsMSV2+uo8XdUqcVrF/f/P/4
WdSgBJL5a0vtp1WtreEntIHbHVCR9HeQ/33MjSK+IIyVLuJ/G42/aJ79YhHjSLRFKBEBeX3sVNhL
nOTNyJHwySZMBur2ATkujgyTWBWQ5e7Gbci1+P1Bf3kp2V+7voVs7KcYriQxiTBIPUZuNoalymNc
keWVjYcGu9nvDxWuQvGPXwgqDXhSpJcFgKo+rJoB6N0xWSweERePzt7XGr1XlrpqITM6rrHM9NLe
+tTkZdShvoJJMPTjvFtm4VR3VeDxcmUOPcYTRKPyyW4nMDWgggOyNEqcGZsBNMNLo5gPYwfzgECk
Jc4QiX0LVi4/yYnEytlBZ+mhf1OOiT3UM9AjZQA34DdAu8xxVKWQjkabaUHpzp69J+d49ncOAF/7
M8arrHr1c5olGPHZwaQXDMtxD0Nc7NNHWTaWXv1iIWESmVWR2Ge21rla5tk4yLGY5LVX1WNw5cLc
je98idtpz3831L5SpELMm9ENC/L4islNrgJRe2ILe4IZ5+gxi5yA4cfnvjaaI6nrWN900ttgrNPs
qYJzio5gdJv8RExhgvtmJC50r0HmJLuqhbV/mU9sJ6Hihy3aOIw/oF7wxemZ0baOzYvKkLFJ3wFn
/ratvLW4QnVivwgiI/RGxMPMHIdM0AcsI4ZA1C1zfasA1DzAvu+HHeEFobgngD2AvY4GeTxRxM77
LpjDbO9Cm0Snh+xhiUhFCQ91vyp2ynht/5GLFBY4YrzgEX4i46SyatYZfTpZZJ21iPKC8Y4+735c
9W+QysvPpcFwdSBNdxMjkD/iTC1XS87NiISOQdN+XjV15MRsJjdNdsWqt8NLrEhGQ4OXjNPZWVV5
ditf8lWn540o9jCXOXuQ0D9cx1C7adX1yVXh569av9DN/IO76v+omBdiNdAEylUdKAYEfe6IlqVG
Orh0aAinVU2IwAtdWPkEaG3nr3pDL6z6Hbkd2W2xqhHHVZcYrApFZ9UqsltgcoRSbV51jB6CxmxV
NqarxhGbdxHNeTFSVEjIMHwltnJVRYJxBFSFciJbNMDDpbgp6C7Nq5aymGdiq8yCHJABn18ODT0q
REEMmJOC0UePCU7rvjLSeWepIN0vS79EetVvxu9KzlXTSQ5D+7VedZ71qvjUQ4ekDpHmG7CmepU0
tttg1YiKpmE4uepGV9fTibBm+wQ2gcEW8lLbmveAEC207/pztSpQ6yw+Cs99yEb92ZvjeqdMVI79
GH+u3mddCUqI0zSKej+tozCC7z4V63BMrmMyhEnBzlxHZ8A5lg0QHwi662CN2ed0263DNvjffBeZ
v8FdF9iXGclpZnNyHdIF67iOINHqWFfB9OZKhnnEPq2DveKvMd/499SPSnMdAjbrQLB4nw3aPDzP
FUy+eSve54j2OlLM1+Fiu44Zu3XgmK+jx6CwTuaY6J2xjiX9dUDJ/4GhmhdiF8M80fIy0CpR8gt0
dyFhrtsx4avbRdr9F8Ny9tiqAe/i8VftQRh2830W6NOPTlHa47YKeujlurHQYBqGP+SbQgQ9qks9
ecaZ9qyJ8KfpmEv2XKnNUNTldgmq6VNKV//WLnNE/FVdZCeV46Xwwgzoh4Jz02STAoiKWw9mlTS/
AcyinqS/24JaM8sL8Cz9dxANib8rNcjoHN6PcznP0n+AiRC/hTT3UeXVPgLcNp7M7aKD+ZE5U/XW
t6vxVFfS+ko6Xg/euPVumOG3K0tXbSXJ6oeBiuVToN38yyT5O9pAUwuPtjujiS2jbK7dk+1i3qML
xxgkX0FzqIh5ElIn7D6nxLh/x05b7IvZ6D4jJs2OxPJgDneQ0+yRZMpnr+nwJYhGIWCNPZBq4yJ5
Od79h4WJQS/x8fbmFFynsVtxZ7SQd+xKw36Pex/XB0EC/PMD4PCn1aO/7AKERcEmTFScEbQBpzyq
GA2eWnLL1mfQUOckzNMHs0rLTSP60d4jyGqNpzp0+YmiLcL0ApoUpwrJ52my51FdJTF2uyyA4sDQ
e7lqEIZcuqnLX3WAjbw746fBxppKJdKd/TZNb3KF6Y7WHWIHFCc3Sc+rSmhbteyXEf+lamaQuIKA
jBuQcROp7V7q3fASwQGJubs04VeqUIjLNE3bbz18BEDpvfVJZlzvLC80NHeslwE55kfUEBrYMi78
1uvbb8QUrXZgf2mnbdHhHuTKZkdvxmTrG+N8a/X4CFsLle0ySezSuu0/TynXdRECh7uVoKhcRiDY
m47kkfM7fWUMByTHhFHfuEtnqM3UhMnNnK2JXMrH//JjyQEswue2lQMBA5RyrC8tPsvtllCYJDLg
jHWYvFeeQTCOK5imQWjbWtq7ybwmfoSSl1z73th89RO/2A7AxVf02hJbq2pH/vBGZ8WpBDBwCKkC
fzTCn6j48egLZ6B5uH/rBKCP0/Jvt6aR3IwhqphNGnhU4LUZMLFwuvLUFzGe7yGkiYMgHDoLcAH+
gXdyXZKoEnnOwrh2s/Ce08YCS6A1TWvYtFjcE9eL4lhjmO+H9SkfsYMwc7G9BxLOpie3GdCOqYaT
LD2zuA+Gvn1x8hSyRYgwdtNCubshdxu7p3Tr/nPZLfNt4Eu4BavzPFtvt93HwaWXY7zuVgu2VWAB
DYGWAk8wICq6kqsW5Km+NRNDv5noyA9AxgBg0LSP7+0qR/ptpmAFUObdZ81S3FOyz4/vZIlFTa5x
Xnpa4mgtQR6KljYfAnXMOBv6LZIUOt9QNei/Bh0ImJcKWbGBW9VN2XJt2lF2+oRmDGN/OvIk4VHo
WXp9lyeNNSu9KYu8saAYLc2t4RDpwMS0XNmQEvfsCUYV/uJQDm9NYLBnmswKCHulujcDuNPTu+9/
UtJ69ad8HCNeve6O1WJ5a2yiKSPfrtE39bk3vtrBiPM1nlBdGm3LZfH5ksuDCQiz3/iUvJ8WuzTu
w8FkNRP+9Dq3QXcH4oHGfwerb8Cl/IVci+7OQr13A8sMw2uIDjuTgXNiHQvJ0Qh4v0lPGp67LKvN
u97AZj+xoay8U6MbLh52hSv2xPG+HeOeRcy3BX3TwRkZCDvB10UGw3VctclhIlTz6PoVt4bP5qXT
uwVOJpFkt74r230LrOGRcA/Sd5b0bUga/ifZtu02nlrnmxcmwKLbEgeHq9GGOnONAc7xD1bSqg0T
TXdbDD3v4bug2yIi8ZYiBAo87r8nu0zcqDSaB/D9VxOuN2aRJhQSlJRbNYY5Ac7B2RxTrBBV23PY
wkehXFnXqQDFiESN8bqZGVezT+5KDUXpwY/t5hTOqIFYdCvk7TXDxs7yzBMJgudJa4JyeDevzET1
l3Ui6nOS1gRU2g4lYMj4jxbqS4iD61SIGs18Mzk/CD04d5lpsaQF/IcDg68mVyBCvnWBD8B9pt4G
2GbOzbdQrXOmBtMgneUTJn/BtAyo1nHKG/0czCq5NzG978XcHv2m7LZQEmC2ZF1zJEvghf5f9YWQ
JYwVouEi2QZhjbnPDicSWrtpRIiKPBWGSSxVbJg3ReW2ezmODL6gBW6pUNWtGxQEUOS5fBg7w2ep
C5P7UXKQ0YvF7WjCNaQxDXMKw9pLmIX+ky+H8phl4mmGXAp2ZfVYm5RymyrTJLplKr2CxBpHjWWf
YmexvqVmrPYE8piHwbaWbZAhg1NgYOn2pjjmClqFidb+BcWF+5y7HuT3udnzOrEANwioN4mP1h3G
dPg2gVJ9nlvXug6rcEG1ULmfCD7J4UGG7t5j7bqoYlk+WZ4QdxqN1N6b5NztBXXhph/6ZIcVo31d
GDVBGEyG7LrLeQyyugRYB52N8MS21Sk4SQLKwNv2EQOETbig8R+FT0HvJqQO6rk4J6o+DgUxrBvP
NS4bnc93IFmeB/Cbe15FaORLvpqEPQoyMV5Xrhc/lkVDmeEi82UJxFoYDNl9YPbotSonuJA6WyM0
UihpSMbJ6PJuqtYjsjsFVMjQolxOWjfTle8ZfHaqALQkMKEaqfdM/FjupA2AxQVoWt/XbEtJwOU1
YoY2XYHGzz9XtoutyKIBT2ut4Yu1tLQ0xsyYb0NieS41zWx2dWIiMmns8wIiR2beo+8797mYj/E0
RFMgi6uSu3wha0X0hYvOXzPgIXJUDpf0ffXGl/nRmo3wc8jMlH3OS9/UY1TByYi6NfsqF3UK13Ma
rM+zdvsTMM9v1uK/xgCtvlKxll9L4glYtKTxKErPwDuA0HoQY3WnfSqWEtYQQ+9wWACQ4CGiHJqP
E/bo7ExaqHK3kzClOAqItHxjwKbeGNALwWNq0dzQvmnMjR3kmA/GsmQRaiwv/1qBLLizu6C68zP6
yMQysYDmKSLJUtrmN8B96Q9CFwgYsg3+YIcK4Oz1eDC0awfqc0/Fw33L2ORUsCv4Shi+cyrbgC9K
OLdf+FrSO1tKi5zZhIbkqYnBClMfszMtVkNLUszyR1U0ww85SpoIUo/VW+HWdBXkMsRfTZlb30i8
5kvfuHq+BRMbf7ULDMCRG2f4LNollj8Mr4Xbay9TKHZL4dUPZTezMMgUl8peJMPU7F0Eqel2nFMe
j9QeKXCaGttS6o8F6apkgX31gHGLTdjOZb8V+MlINK1NHqPaIedpO0nOcpdjEQT7hUpLbICkcNA8
c2t5kS3ewL7RrCcLdXarsDlRvPKXFyOYm5OLEDbYpm6ojQOEf0qAgQlpDG8CnFaemm69BeNI0VrG
GOs3xsKnjrzjMf469RPy5GQkFGITJ171Zo8jRx07R5MX6Drh178upjcZCSEkjCezaJEmyjRhLXOz
YT/RHIChJxHxzbKI6AVx6TFo1w8e+rEa5mROuwdlQcYGk/zSY2vRBcLh4c3WHoEwqtZ+aB48haKC
W8i8NVJxx+8rhEc/pG/NIr+QqBimQ6URflyF0zC9TT690c1oe2165RsWaR16sg/1WNfP2LLFXYGJ
g/DNNjA/qbSV+jjTho9v3JEffbQnk3OkKuesszrm5vl6rg3mfw1kaO4J7y69/1Rv6ctwFSfyBwYW
Cax0GbuXjCRQKmItJ/ma5TIvD+GIpvQwhlWWExoKjS8qTd6fjeJ2An2i/3dGFm6gxW4GKjoPuFZ+
Mv2eJgpRlmXO4oIli1fdZcPNR5jvF26MNYmoJuepwsoyL+VNOpGP1a0lZClqm3gZtIGPVg76oCsb
88xMuj+qanTuKrgteACL7IkEQPWobBAz7/3A/4sO+IMG1UMg+o/O6U/G4+ilzN5IOPu39/ivf+v/
ITks9z8WkHxeZPa6HmDF/4pQLfSkYDdoKrkoVEMUaP8Vobr2f0w6AmD93ZUq8O5K/luE6tj/IU0g
YLxBP30Fdlj/GxHqR8mDSR8ZCSxRHYIWqmuv/JF/qmHQMDVtR8V+XSsn3E1qfY4bJxekCQs13aE2
1+d8nupiZ5rF8GVo3OkRWdGM2TOsu+d/XL1f9NWtD4319WxcM6SnznwMfar/YUjv1pjKQsie13ZX
W9cJvUAWNdGQBYjesqFDqNzxiwAhkG36Khg63o+eL1K8SOESvCPqH+EwUJxhOyQTC0brIx0pKkft
e/GrpQ36W78/43cd1j/Gi+9njBh4naV6jGw/DvVcMHHcWz1cOzMkgK3Pm/s4AWlz9oPQDVsZPVvs
J7F6EJ3lk6qEdcw5VET4WKRJ8p1KQdBa7KVa1vshawhSq1KgfqL3CiqsJk9vizE8VzJM5VaYZvgk
0+6iwN4z71hj/CtkYVN1+P2v+vk2CNcxBTfC59n4SXwmtEH2WVvK6xpDwVOTMFvduIXNo9HWbO7U
3IcPbWyVn39/2A8TDkZEjKMC4QBHM9f/WE/rH5o3z4SpD8e1vq6Dxbq2inS8rpnuMwlPn35/pA8D
8PcjhUxgiX9BPvuuDP/nkdhX6aUDyXEdIM596RSdogPDaG1vijbdmVikl8gxdUDfzPFU9aeH5oOS
g8PzoDA7Qv7t+6wOHx5zZDZZmqxhz6IrvJcqH72XArV7eQCXK3dkhzXsabj1B1V2ihzvohGv0LXl
SYXavZx9pzcjR+UEA1MDVo9O39rONiU14rU1aPSaBonFEZgYtz96DszZP4yHPs451/MnPwcnHGpP
l3d1HcP+40aZ/ujVnhcbV9YYVy9ZP0gwzUYx1O7G0bpOzirNim9JEBLTvnTp3m9cYjYZW4m3Ad9Q
A1w+gcPX5NNr1jviB6OCVJx/f4vJ3Pj3DMtE5wPLVqBMY23l7VxnXP84S78PMrNPB+cKlkwbh3Aa
obmhp1zpIDQjx6gn6fgO5zU+WZJKRdRbNciavj2ULpCRouyq+7b0II8IsN3PKqeY1nJASwuq5ZHq
B3d2V8dwAFeCCUGL0EziXNbXakWc4H0n/jex4J7Qq1q/6lNaHT14Mfd2ntwmRGvPm3IUQPXhpwzv
JBWsuVzIjAEfNINxYZaogvyyXAEskHXcc7pCWZZ3PosyUwKwWKmyk/FOcFErzAUUhLFd8vl7K7vh
YTQNmC+YpsUe9+B4cmPb/tSllioO8P0gxSxpEX8L3/kxWd0ZX8cKqEzbStLFyGI/WSjPfmRTyzQI
MEzxkL0zaaYVT9OvoBrNdTiAkQxviBqed67qu731zrYp0deR9a3o89KtAX9TIQTYjm14k8aAB7eW
1QxHPjW2ov4CnhMMovw8V2Z6Yfdh++ARZkl9xUYeVkuFDstv+p00ZzCUUxGApiWP64VUXvUm38k9
yzvFp34n+swr3Icxjdrpd+JPv8J/Slogx5rx1IYPEGwgqEBwgijmYAaJmP2XeCcJuStUyHnnC/WQ
hjC6wRxSK34okyuJKOdJGvZwBFAEzY6YL9Hosku8G1U3VBXDiTUn+weaDttevkhlzGvuYNizlDff
YcXng8MucRjH1rweiqEqZnItu+UwheMQnyocie3mHX5grly5HKLxCgMK2YbCQ6VgJ1WViSjmNr6H
AziFbucXKjGjviTW4SbtcK00x0ILlW71XIbDJe0FhydKxaiKVERnzNj7RprHNxOvjp+gJm6ZXFhO
gdm6LrM+3JDXhQMZeUbms11HX0qUWAz+KGqQFldRGo4q3qtSlMAkYqqCvVcn1RIFSJUXPOqFu25Q
e5yak9SJvJVs4bG0JVnwRutHZObWbGyUt24wBtcerBxsVI4YhJdH9Sxh0YNVZXUj5zqhz4TndVo6
kEuyzva69Ct9NCWMd3C6ZAdGYvY00JOsy4yI22o/G23FkMdx/AI0UlGZBlt505BccvYJeVWF1cnp
w6HcFeng3y8jbMM9QCXbukhVCikTzALgrUPcT239wMfYOROKZhf7seUMGG+U6xDBQo4VYWBu1VUV
aB5tg1el38aWNZ57x/PKbRI7yYjiceJ2ZkKuO2Z64Msr+XShT/TyQCy1A829O1mwho4gaguwvEVB
YkXWZAzRxpidHtl9bXibI/x0I1TYOTkMbb4YF2ZcunvU3InH6Yai3VkoFRvYKpZieBq6KbgQ/rmN
RYMJ612XOOuUEWXrhqhj42tP1B/hIRnvkQ0+vs6YuAU0f51P8HPt8Rr5K73Emki8K2+s+SQlUhRr
2gjDVmcfZ6lVf4EDUqdnxjOkIknlLdmFNSTDJ5e9ygtDQrZQgcXDi0MRNQD4zgU+BNmmObEvTlfI
iFS5XWZl3ZcSd6e9gQs9PUjPV9/aPnUIVVbM8oICPST7oZi/45VNPu8BylrXy9ySnSAHz/pkDYQT
M2Mw4DQMlhbzjt5FziBttm11qkUi7RuG3+FTbXbrw5nnbNpEyfjqlnbJgOm+W7Fsqao5sUay6F7w
BQufyOXj6a5YJfttYIVstwcZxvZt3o9FcW8HjINOs5ur8WpgWEXxydz3Ft0rfsZGVRy6aaAgb2a7
Gha2h2L98eupw9Fez6ulh0pXnl/B2IpLRRpAsURhMfHqtGVSZPiIxNp5orf4kvD/Y021hzq96SxX
E5PotEhQT6nq5/GKkXALQYCGHPFUJmFdgEQ6WiP8d9lF/CIWEPKV1zqZaKYnZmXhOZgywBMBSbQ8
FzrxX1S9gvfnPtf3zjCb8iKhzM2h8dVF/kC0jDrI2rSuuzDpvqBq87tNCqfbPjcBjO6LOCUEcosm
o0MMLLRzaJmDFvjIO/29KAvvdh6l2Rw7U0/FMwOhBJA7vYo3vYTrGpJ1dFHYBwQgxm29whv8KnyG
8wl9h34wybPAE3a6Vykji0FeEGede1sPCETCsofmfjOldvjU58aU7Eq75jVZjNgJTy6I2u61YkHW
Z4z0vBtqXbHpuBhcUdKapx0fGdVdWAz6YG2HxJvwpXXgnoq+y7/24RR+MjRl+nkJB6gWg0RksKks
S0ynTNn8qRlr7BK5KvGTddxHgLqBlh8qEC25q1kLcognxsWBkEe3Qr1xXJTPzSHKXi6HlgZmc0Ug
hntpDBjEdikjteki0apN4WTLKv1EJSJ/0DRmGWHplNOmSKUCUKimoOMroLuHMums7LPVLE4wbRYq
MP3YDo4R8scQgsCVI2LzbMSt+gaQzpjIqZF+ccpQbN3NkMqWQz+S/bjLlpUzmNlD7tzORbl415WP
Smd1Lpv+lWul7hxpqhu5o7nCXVNBTVObjNKKtYMAjZ01O4T4TKUd9IclAE6D82ROBDEwTHJxXUu/
e1aeBtP73nnjSxc+8axX8rYO4bDtR7sNoYzQ8oOgNH5hiKMCa1MUk3j07BrNhvKSwb1y4zKY7smu
WIcwCU/0DgIRd5ONA+DAzBmK5lL0berc2rNZ+qd4XqOqMwQ9yVXRG8CjK2Qz9oZqbByu4Npw/n1Y
oBFMgyIFfmKaJ925vPewcESG4j8Vf8UZ/F8n5Q+dFCSAa9zEf0V2P7VSTj9e0uZfBLe//o3/tlEs
yKZUJa7FzpTgTLZMfxPceOP+YzuO5VFoImlkU/m3k9cFhsqG2GRNYjaAfYQNwt9NFNf6TxjSbGC4
RLeGjfv/KoCR5suHrcb6F+jjYA2mGGRD98GxUVhxN8Ji9K/p9Rknkjvm7oKUZ4AGdB80A731c1A4
uLRIJykfoKh74Tecl68pOvIHVxQO+MnG+cRucX4uhJFdoDCd6fnZRO+y6fbJbwoXGTZwMBc93DNy
YW1ME6W6R5PMCGNDtVE61UURZvIAjyfPrwVWYgBIXRnsGevWpyrWiOrysYsqbSXbuipd6vDA21M6
2PYuD8e7omWpW6Hu8WXptO2lHCnWtD91Zzvs1Q+++1/daoDTQo4yH+9GHMwWIHxfFWbkepXPIFe+
OASe83vpp+bI+2FkLpoQR7Nt3D03yriucyNmNEyka0pSYB9HfWgnE0HP7WhV096ThNxv7EzlN0aa
2s80UFZDdLvFodWSdZSa9xo7zv0wdiBbB/O5JMjqcfZmfTMTIsH3J3ye58DfTaaOYmeq7tzc6I7u
2NvXfVX1pxG0WGTmWXZZTcSAE5uQXYVG+RIOHRtBVKQ7D6XARUcU66FsjOmbLER80rHn7IvaKvmm
QARd8sB6XX2s5D3LvjmGdvY6jnZPyFI2f/asQNWbJMuJnKPCZpRdBl9te8TOIPI1E7l5rrLquTM4
NPRa9nmpmlDDG94OjAux70XG/r0VFSUpcYFrUMDkWRsnC6sHscyI9Jlttaf1iXzsJunvmREy4YAn
VxxxVHTZJhUCEzSI2i1xYBN0HubCGunlrEYyra3k3i2s4pZ44+UmVsRVpAvu4dSxqZYzc/Y4igOm
nq3/wc1LJIVwPrMHRcDgpYdA8TIFhXKF0Q1/VBqrWzZ+/b6Wcv4+BC48X5z1kHgLo30LERAScKVc
61CJXF0CXMmOs1fLyyEOEOjNvkp+kD6Ea4jd2RH7b51sNO6ECwt2WMOuWphUTqDs/T4E0N0TN0aA
ij+RlBggj3BmjQuJ6YWN6qfoID+YgkD2JJ3IGyPfoDAqYsWayg4vpqoCzjW0ZHBE8Fn6faj4aHSc
lOj89iwXLR/xBdUkpdHqemsg8e2CoAyJVij8y94zfvgL6WDkheVs6WGqI6ww6M7MRE5EDgXAXuRm
+IzHt9hMvbhoY+SDbNhScGOe+W3yrXJvQ+L6TvrScl7maiIPaEr9g1pl4kCx1Gc6Ns6tUcQC90EQ
7wkFDxN4o0pfEOPmDlEANfIcsOlrtxRR6U4jfb1Fntfslo5i3/dxA9HeQNHHSOuehDLvEJCK8YSC
qEGjWKNJzuPCAHmVZBdGyyjaq8KA+I+Qn0STBnuoTZsJF5RC6NNPemctU07LJNa7TAXL4zR3M03Y
ztqnnskEKtTcksGNr9Kg7m99kt8seLKfMqrh+9AZj33tLDdqNOHLzeKMcjNTcCLt+ZTFFageBPG3
SJgNZI2WBPDaBvqhkGV7BZzZ/mTb1GEM/7utQQw7lLVenQKdpfGpBlj9MOedHYUAgAhFMa+gyADE
atRd4nb9pc7bPGLxNK8Z0dckdtSgn6sM+qzZhdvEUSYRZNYP2iX+det29YnelH2q5OhvMktWEdNr
CPLc5AN5jOk2ztpPhmjJL9e2MzyATNKvldkCgDeEPpK04t4J3a3VhAUTDqtsSpq9VxzQpLXbLGYh
N+1luIAGPT/WpenuyRtNIj+Y/CuTSRSYRhaiEPfbNkYG8sVpzPTIBrOMyC7D5ucO2oB+5vlf+AjC
3A9D49XKO2NDJK0Tad8d3/LYaNhWZM297HwLQUi1AYliviRLRVC4VZI4SFmKJ1wafdSivf5CwOhw
2VflvYRxCG7YryOn79sLhCHD7VLD9FFE6dyaVhbeyLQnHG8YCc5zE78/VC5cKPQmwZYm2LQdReq+
0tCadsTwfh/h4kUFa2a5iQuVRj1D9svUgGrWtJ56bpEYR67VLvd4xsPt4DT+F2wpvBuO3yIgDZA2
ZcV8VaejwYKVoAsBe/+1KCckAKLLrq24rg+L2VgvqkpcqInLIzCgOLKVto/e5Ldk6RkxwqvMmtF7
LcGpCsv7xbROqyGCdoxj+bvCJIIXL7QXbkU23am2SJ6N2cOdMlZyo/06vc1LqeuN0SXqyUQ1cQ7J
CjgnQdoGrKBxeGTdRHYxmJeSbs39soy3Y5KheClRX6KRKyKPZ+9TTuTBKvPc8EqQshFaCLCWJD2F
gXFfwIJkb943pHc4cRIhvA6O2eyPJDHQpUBYWUVmEF8yKi0ODWqw0wo6pJuAUEe1iIZ4oQiJq1B6
JcNI7B64J3SrcXWZeD3Lt4rVC4Ei7cGgjr9YJim+W6Isv/WyNa492d9Jp/IeEIo/mtrFuE065aVS
xCf2xDsfglGMu84T0yObkfGMPuYlX/LhlOa4aroiW537EC/HpUR4SoktzxlUpp2bJe49Tfzmdlll
mf/D3pks141sWfZX6gMKz9A3ZmU5wO0bXraiSE5gpCihBxyOzoGvrwVGvEoFI1KRr3L6BhrIjCTu
BRzenLP32khZnYHC2S2iJPMZCdl4RiIxJPSMo+GrkabavpgH51yKNDuaqbOl+dSsKN3DErMflTba
oY7yepNWVhQS81A8EHcpdj16v2tEH8ZKtQIJbhN990F+ruAxJjtodTRj4YjtW6zx58S2x5OgnfI0
BMQHeu1QE2SDAsh2nfkHYv2HpKwqKjCZdw/u29l2Rt6t+HxIMDLramBW3YjEeIlalH1lbSPhFPW5
wKmD+kmdSXK1vxRNDu4UpePG1uSwoykTkIaTRy+ynxQ+3lS+wBwCSBX0Aawwczh4Y9ZvC7d9GQ3m
lYBciG0MeCpfGFBFn7xqvQODdAJD4PnZfAwCdP15XJA/eqIhZtOQIaH0Yhd4x/BPomzRveJLprnV
PZuq/FQ1Pku9Y6CqTsfcz67rujN2gReLC8qvbelaYucrXV6hysTEoBxtl2R2udUTMz57SOY30sz6
fQwDiiYW4uMb8HTqkNgFEEW/54iUZSSs2ONLazDXopd1xI5yznwtRi9b5Q4BqfUsq63jj+q19yOf
YKQG5WaUk+dCHHLcVKHLaWvt1LP6VuWJeHFxrepsc1/LOCBv0Ix/lH3ZbDOoY7QMKk1Sftf9VZnl
2p4gD6pm9E/KLDTsvLoSyoSumtsustqySVbot95Rs5moLuaRJc2l4e4EOsKyPLtm37vqyBbcjkgV
tnokWEHHiKM+8wDUQnabie/rxBNpOgJP3wm7qSB7s4OVULtdvMFZIglU7KlKF/mtg97bClt9AuQW
tTTtK5N+P4/6hbprvCdRLNp4VU+pBqhoDiC3b1cQSNt1Q/CljZ098p6aRJfB1ui9xRug33qEElHc
muLsYoyd8U0Jr7jGmsKEMBC6akW5uY2qGfvKva+iPgPuMPhJ/S3tywGPRFkVQfngqSTP7WMEyDw/
kfYZ1A/jNHDXaDsqTZvAwbNTDjOJ6p3g7YLSxqpCxLBGZp5zeqdHtdagzXdYdyf1nT5A8j4GfEL2
CM4Tv0NwMWpqIPqDILksUmQzDPi7EXWmx54qxVUj+Om6JZDR4s0j/1duuSKenwAcGaJ7c5d6jqjD
WKjqXUa6cVWnyj/QlZx5gznMXbzefZgROoeNdNx3uxBtRJ1pFie4E+MGrqe8k2VjhZlbSlixorzV
xyRByVFPIBWTsd/bBam6zAYErTSwLGubLYw5tmUYx2m+d2Vhb1BHmSe9atFn6ZItACq9DXhXtXbc
qbQITeB6ei5qoBuD/bVFiKPwfwhwk62h0Z8jpHKlc+fuRrxMq7TopufRia7jDDBIqBeBugeJG6+H
LIZy3xEHfjWJ2CTkvG3X0iIJI2wd3+1R5Aj/2mcVXnj0NGwwV7JHbkVVHlWZZQ+xX9CCX+J8JAze
y1TN8X3pzO3WX252RCDMTgs6Tl8OOacXLRpGiSxJEb9Ay+EwZW1zH0Wl3lFn5kd7MLmHvJXVXRcH
MqSW1DzKRBpPBprYp6qOH6PS08+2if4IOYxOmp0pkDVXAXy3ftBPXlCKe/Th7ZJEJyrvCjmUfVsl
zas3S3R3YlZENWmJToMA30i6SufYRpmKKuk6L6bia6YDpfWzMdr5ZkDDaOoNc8dRqPsCjm18H3BX
rAQ6QQRBsVjziaptJkHBrZUkTVm6nQOhs0FhSy5NY66hpIxvM7s+dvwaGV+yVtNNQ6plQkG7SO9k
jCJVb2ZU7OiIidHyNWNjepjU4GKnh2SeszMO3fRQWoF3QTHHAVa5DCZdeyv8ev6SxHAbQ/x5fDkQ
r/VGd/LpK+FLFJWMYdRXc+bN19pUwwwFGYBGcyju6PORHzczruSM/ccg9fkYmTlgTXa+qxRO4r7K
IgOBKU5azp/LRtZw5Nmx2FyjL150YzP0cZK06ea1eP6ap7ob/fLayLPWwt7hchhrDFYBxPeUslZ9
4gKvREzpzu/aVOnjjRHAenUTSEppNWjT146wOvUwjxoY51DrOPB26FNbyyPNrSfPVJA6ItV44pZI
H7NJ3CQApFujhrr6v4mwahMbOPCFVuQu0rzmoSCf4W9a9J+jU3V/kcYgmAH0CK3B+exfFo0as8Iy
xgu0JGetBWYCyhBhhCKumzZYFL+YpbUbMvNo5c5Ws+XWSYyN70VXop83bd1t+Kq7YM6wOqR/I5D4
rFT4+GwucCzs8/SXP9N5SmNoKj0yx4sQ8uIJ9orRniTEnwpgf6GG+auLgB5YlD5Es3qfb4CTdYpD
7zBeUhMWEf9crdhWXv2bGuHfJcm/KUma7POpIv7XJcnL9/F/PQOZ/bkq+fsv/V6V9Ix/+A5FHs/H
1P978fH3qqQX/MOjvAg4DXHQUn1EI/HPuqSDuIuBTXmGoijKK8y1/6xL6v/g9GY5gWER6vzBJfyP
//MHnFn76f+/YPzZPuAoGy+6BXco8N3PeDNjcJtB1+P6gGCc+SavYpigEvfKXIz+33AW3D9WQD+u
hRYNmqAf2GyfFjHGT2KLoUV00vhGdfCskTbdMBmXrLeCx4k7cG6afxVhsVwPiRgIezQ8ZvCniqvU
LGYpX+d6pUETbtQFTaxMoRvq1GLP6CLX2jDzGg+jm5oPP42Dv3gzP5V7l4tDVHCRcfH0QMd9+rKN
pgOxZeE8zLLr3smpAtFfsPU5T4hk7xRoFnpt+t9RO/7iFhMi7aMZok/se5892YhSMzn6HvmmpbFY
OZLufaCoQTJBirUj1qd/+YIgiHSdyzF6MdZ/noDonSthtjLYJ1pUnzzKM+wJF0q+b2kvFukiz7++
rZ/lfzbVe92CLIPskptrfmZJTBB45jhSAwQe1aD3JRXKvJ7nBj2cP9poaKY+NS5+gbvQm3Ljrhmc
6hFZhzeuEqQYlFy91rvrJkqtoRycfsCBkLRnQwXqaTL9vxkF+Bw+D3rPQfvOu4/BFDnZZw5ARfEs
zsqu3yM+im3CF0nTOrVxgWM+rlHYlw0Rn0cDFkARhx9Na97B6U4LCrk39cR1jx+2onIStHotSEMh
onfGUouV5lTOvgFtOimT40AIR7n5aIDjaeU+IBtD6dCbLepzTabLScGc/a1wlHHRpKfJTe/p9Ulo
E9EKkHZvIrQ7xVLSq503f7AEWmc5szEE2k+vF92CugGjTQxH6g95sM/0QYMJQwjVXYNtnSEXZY1F
NbpFGgiJd04Myt+Bq+gDcobP1FVnB4N9q6ppPFd6gjrDdZBDDQBoaPAvEwEpU7ynCgvJjTZ2GCXy
Bii6ihrx3Gd4S2epWwd3yGlWq2FYonSt4Qa5R12uAlJLF39SFmwyQzqvvuQYh1wO7QAZZuLZSjp1
pzWa8eB0i1VrTtEhENRMetQUqGcXY2q/oqWEU4NoGnXX25JvKnL2omXRckF6rDiicPigUfJH57Xo
uY/kSHPfpG089AEPjb5m8IiN2XnFIa7uSCQPNo010hWY6hQ1QaBoxofEf6i738ZqksW03xMLtuAV
Ba32HeE3ulXb4csSsg0xpR0HhAmanPKErIIoLQ95A+S5C11wNv2mQ/D9lWzJ4NEXzKfrLu/pOsPo
YZwMlWu/1q1PYAhnp5uYKO9zMMHuoz9L1wHDAyMDGKpGFDbJKVKfePyWqGEX9lQW1wM5p+xAzRa3
m0Ias/pNaTD0i5w2SEha7kmX5Awmlu862kGB9L+W+4/7b6vOWVmkQm4S3DcAvrSk5dAb6JePn+mi
qKLHpGfMG3OC338QtyBXhvUYB8GWjjMDOFleD7ejkr2nQxBFJ6MddLEa2rFnu8ZR9Q59qiGtkPw/
Atq6gk39BaNsi4TLL3NT3QsX0Arqi1pFwxadzxRyWucX0DEZ+mE0Om9Q5GtoKFVatDzabtL7jHRn
zJHRHcnlThEmtUOwGoXGLjqbczA9I3fk1AEcgfxZzFLpzThp5vi15fYnqCCIx2vNpELooOfYIv1B
w0ecY3ZyyJ+w4/ZBkLGyUSmmp4jMwW1gAcdIGnUYrcbeArCyLmRf418cxn0UUC3A0ace3LKneiOi
lMeuTRRxqWu0XmI8tbrZrAWtFqoPyrjW4CHejXT28ddFg/PS2ah9GF/tCIYySNVpILN3b5PVgZ9D
N/ET6fV8IW0ofqfJT+5HmXpHjDBUvPUqoJ6+YMiNiiJqyNhtayDXMRVKICrvQZrQdG81CpprBndw
tCFKgCFm4x+EiHijRwvbR7U2NPtLl8ScYmTzWhledsloOtj7ZrSYsg2PCPRQ6gNDasqh2CQG/wmZ
l9Udyxxj2YyAaO9dLWKVxny6Q10pnh2jCx7LKaGg6cV+6YTOMJCTCPL2USXsLXCsiWfqKAqRWT6+
kj8Yk0HjMmESRfwADC37msmZFyuYHIuKKVk9qWdZB18EcLuCIKrWLKP1g0uoAkEK1ZozvB1vDQtq
yREZGz2cuRXGSyk1bT7Mid37B6uUszWuDNGqrSWprx1dWtJvczw47gasybEIRHRGMx3fED6eHJC+
PmDPbh6LTr5OpVpm/9R4bMugX2c990kFGfM8qIX0GNTCfOm1qCdvORn1KxGM3j2dUiowePwPjtVr
9BTouax4L72THdXS32LHr65VjwedUGLzsUx8sa5VC+1iKGkj2JPZwBgqbGqvpRWhqPY0+60wLH5e
sGLJL04SmGg//TGFp4g8tt7OPhis0IzzHiZlm2tnGp09t64kMmHunPgJSkS9x57k4zy3dBoSHSlI
hqDSDRGhfa6Vz15EdKR3W+jNVrkx8FibALFGWrQ2k4VdxPIi/XY6oCbxLxqRe4+yrJFfaRRC3/UC
m40TwQALc3dm0Cy+BErJNJpipS1DqccmTnTHkgdlLvikBnxrG2YBf2cw+TRuBz27HXk0q6LAXI7q
LOMzefAbiO4FLofaqmIIKisOzm4h0nIdmyiwCznI/YSOvlwNTty2uwD+3TkQtCUzv+bKGYsJTT4P
H5qwuLyLcgiWxsQ6XksubEWz/TpPGRP+xxToJRh/N5622OUmYsGTm26sfBKpxGifx77XEaI5yGQo
tLfvlUXxExWmZESYFM1fvYL1sQXEgWAFLAm1VuIkFhGr47FjmDjX7H77WEbloNBrEnyqx0jTWL48
/IinppCE8kwo9buBvW9Jn4VGXoESyqTeSdJMP5W2ujLcGIccZcf6eTQbkZAFOvCp05J602ocZi5Z
SZLo75BPFy2rhUssShkWSdzg7Bt9ffA8nIO2e+zzlqJ92jjTPX0o59lNDCbWSWrZeRRS0fwoSL9g
yTDih9GbyX+o0eecbXRLKL58z7in0a4fRZ9oPzqJQTXpR/SufGZ2OR8aPpM2CTLhQrKSN5S4HizZ
sDzFkpSerfRsJHSxSpc7SuYS2VcOAJRVL3xcEvi/u+o+Wp5oRoH+de7LRYnY8hg1o+HU0JmzLgnx
oSuSbiAaRvqjoU22QzDLxNby3rXwLd/TBijglWHJjRP/rsghbLFUiWC2BEtjM6FQhR8aG18yn91y
TGpIh0LTYLtB/rOzSWHckfhWlOma9Gyy5V2Kn6UWsAdBqKEfc4BGF6vsBqwgCTCSZGrWCgrUschm
ccXjb+5q3P2HfEi0J0yheDQ7GGFUYlh6Jr/cx6jowkkRplH0o8P3AABDjSIJ8Xmc7KmNUCFYt5BK
0rUl435r6DEq89koQ6lUc6iHjsTXrjDuKpsphkiNRQkyyDQ0cnYknVvmP7TUdig11tEetg7dzq6h
k8IbOK6YFX5UErt+MV0HCt4s45qNQd/o1yA09GunnIY1rv6V207lXvVOs2FvHN3T65q2GYvoOmuS
caNsWAw6Si9FQtEtT5t1uVLFkZWv3Nnl0rnWUBb4wOrjoLjqMSLB006ma5166hdBHNGzrE3rUg/l
IgKPdTaQqtkVQYEhcrixSuOOnV+1MbVR/+EAvzha1mCnZPuYQQYvufJGO/L3WjZ/dxqXB2L3vMJb
cGNIqnHoFTUbbRwW8HQiVBlTPywzCJ5svLtJz2yI9vwER0BDCDM14qrNCwZpmTDbpPQfSP8ZQB+H
kSoQoU75mMEaZNv9N0dx+/OpxOcc5VkOhQWDEsTnYz/RT1nAiif2wvnY9A+K8qRcNr6/Pq796fTj
L6xccPsOx36Ie8t59acjfxAlNB3rTuwL2BCkoGHueWjaRfxtg889ufZydPmYDn993U++DpvLUhIE
QUpdc0E4L9//p+tyJC+sjATePek17munEe1HojxaZOqjzF91WU13rpswFzfDssv99dUXb8tPhq+P
qwcmp2JecD7EZ3ge+TlUTwy33lPh5wAy+xIQzjLrZh9S7y6mhRTqQnIsWXbexDAwuX98hH9X7P6m
YgcLnTH2XxfssLvU8vX9DzLC337nnypCHV8l6a9o/8Arg8b8SUWooxakpuQ6lHMCk6rzf9brkB4a
CAVxSmIk+mM+uouO0OA05npMAvBSgn/FjPkBdv5pbC3FM9/DruT5XM4OPteVIA8JUNeI/Ik6bjLa
gWQKTP2T5BhdyWOml0uaFQoRn+6NR4JO6pwtZNTjJgYQ43g0OOsJbtsRC4efW1eVhtEOJLDGHh3G
5LJ8og7scwrL0S73YfSkZ4emc5NA9cmzqN9HaHcD5AAOGp+Z9aAvaelAIyidac5Z8j3QNhDwVtrg
+jSlwJzyloFIA2SwZF0M+rNZwXEik6uTYrrPGqKiaaXZ8ejd+onqk+A6TbvNCHSEObP0Ta1cYTOg
slCQxUVHEushy2QM/Mn/91vz3wzSCZicf/XaXL2m1fefi9zGb7/x+0vjMsYtlwq2RRCBz2vAfPvP
Ijdvhk8BFpamsXgCf9Leev/AkLdgjKmL+fALEP/+s8Zt8aJ5VPo83QAuZAbev/LOfGqSUDIkA5Di
22Kp5QX9vBhMwJQt5FEzCXUbCqDOdIXW4ae78RfV3j9fgiRRrNu8bXxk5oc/rjfR2BdkUwbznkyr
MJ992K1IkVxu6f+bqv4/rrJ8ip9WNRkFBE8kXMWrXlrtpVbfKbL8zy7xacH20hpXxMAl+vnW02+n
dN3Mb7++xJ/XZorxzCpLd4OR8blGzbrfTV1gyn3XNcYOJxqt45g6wKUwQSPMk4l8sA9wyshSbn99
6T9vR5ZLA3jWYT0vE/Ufb2DgsOvgQEONasynjbAcNrQZdIyVp+lFE1pxgpctITfz15ddbtpPczb7
AS67+F6Wocgem4H+83Oz2oB85ZTLejDCjyiYv2AHn/exOytyLLLpX32Gy+UgOus2qGX/T0TyWDa6
ofkTl6Oe/NCYzc6LIrVpIk/f/fqLGZ9cyr99M8qk9FlQH/BA//jNgnn+/Vm6cz9+aycSLvMp6t9x
0KpQawvjKib8dOf6s/6aRPO87xCp/rbV+UNL6+cW1p/3ssvXZXl18fJi1v7UacmJbJuxOBLeDGLt
FghcciUwlf7NVf70hnNTeYRLLX8hZn/eydoqsnu7NKgB5DFqp2zR4lGfQ1gExufXd/WvvhC4B2ZY
4ClMKJ9e85z4PchnI+gOKghrc4Rq59cv/7NrfHrPU6fDpTUwRjCOXc3oNW14PL++xF8ODsafwcNh
eLAd/zQ4gswfpUlWNug6BgIFxyOp9hMnnDF9SjTSuIn/1aEbWsNacBI74ORTf/PYkI3/+e2j14gF
3TRZhpbn98eP0RaayOKBDGJHq+S3mpbsyFF7NDfeyDznRHlBIRlUoV700dFq9X6rWktt3EwBhVDD
uEuFlI9mQsgu6pQ2W8vOuzUdRIvrZFBoFQmA3dYR5QG8ccPWGCIIV7rZJ6FHbelhIs4i9DIPZI0L
qtGvxUtJJY6o6HYDX5hGFtgrJ0DcFWqB4a5zDNlXKN2nMG/6OnTJ2z65ss8OiV54J92f3Wet9GDG
JM6UXOlQxE5FXHBXsbFuEurMlIzZkoW56sCE9nl/hkIzf0k7/puIBEkRnEbXLL0j3QQ2XlSy18Bn
OTyb7RmCQ/eFDo19O0a9sdN6r9jUuDUOdrmkTveGvUXOi+VOCePK1/NyQ7lE4VxRwx0mXf5I7ndn
b86mDblO5hTCsjeuCCJj8c0Qqsd1n9xG2TB+C7pyuh1mC52bGylm4CHjeun8fazc6CkRMLHWiHLn
L+4IznI9zsZ3KRXgUKe1ux9aYyuAH1nRPWKrQD+vKDzdDoPOH1pusGMjE5sckDgliekrd3LcdSmi
7ly4kQVfd1FQRk7liRWfL18FTuet+iLTLllsf+9a5qhx6vr3bFZf7Nn8HlSB86xM4ECc9tOnjlDU
A2HG3BKZsIZVo/197mq80Ql74n3W6IQYF4KH4ERz94jHHrkdBM1Vprz8WAZO+5guqw6qLu8EDJkJ
q8TvaiGI3PXtmNwSZJod4or3IoC0igLR13c1hnGyLonyXgUI6Ta+on2ymgs/PjqQsfZLLA2ZqbO7
apqMzL7Sz/eZkw33eT33950gb25GEsbAYFd/W8TA41BZ5UcfkAyxVnW/GQIQkn7A7cQtYUTrEmbE
2mSjdsHNnmWHzHTLrSjQUYWqSUHO9TIy7sgui2+nONXvs4q0WHI6U+faLIxsl8Ajx/svo7cIBQIR
UKYWXcwxqKNVnnheH9pG1eM2iOxrsLnmemKtWGGVsI9ARZtzo3nGnVHOsB8J5r2JNAvo9uLc80gq
Po+2g/asmW8Je6e6pJxB3/cJ1d5DI7sipCxcqFWOE+CtUz0JtmKsgVBpvbarp8T/YWc5fvOYc0ir
teNJEpT0lmB63MR9Yxvhku+40douoHkULPcj0nN3Tef+vcA2ma3aQRVkBwh9T0DttCfq2TwXMf1d
XeXzJoJEOHAxx9gB/ZY7Bw3sk29Gw0sVOcmtXjb6nqpr4QKaBnqRIi+3wtI2/G9G3nZHomrLS2+p
8VVi9bmq+ji4VkgpH/DrYxxp0aRtFNTE02jG04015PM2FtK/yVJZvU6JM97KCb+xypLugsnXpbnt
TVdtEzinXFjVzmgc4tGnzr0XkwXyYmYv0oz0qlaObnKBBnRagq8s6m4lLLWKXlaUE5vtuiSMkYW3
HSJqYwC0uzJMijq5b+SQvTuz2xK+wiSEoaYlnMVw1op8zK2Y6GN2NRHb61ak7ZotrL3pdbs5FaM7
g0armwTkZkm+Ndpt/qYTJS75qR56fa+aj3za+MHEwXqciPw+QR2cVoUTkTqW0d8DCFhmwcHneLIF
suGuScgNDg4+uC1N7XojQJ3uJOSrki+AjnLlE3m75UjSbfRJyoMGtIGv0fjTNgI8sfGipSxvoshc
DREg2VChPQ7NirJ+VcjmDYxDxzQ25LfE/voIorGQdcwCL6j0YM5T7953JtAST6/mrUnq9smsYIaM
NE6wVEOafW3z2njrvKoltY5gyB9t0BePU6vGa7Qz+fHjx83Kde6B1SFnVnFJCcnxxusRasd160/d
ZvDzetowhmfubuevbSNGbPxxyRR9MrnMLYCvfjLJCLWKTn/L8679iluwXQ/OEq1gS0vbpKk7XVUi
zlaIBMw7u1LRc2Yn9SMly3IH0rTaOc6MD382dLbJlGZHGBMrXfX0tur+1Q+s7uCjbcqpAiAJ9qNc
X3bWVAEmOVwAqHL7qsTRNhLSwJWbq+HKoCQdhJNRq32tBcB0fEEjWZoWEdW6P5RH9Kwqh7Xhgi6H
IcuOETu8DHXlznskx+69oVr9qYP6cJvaLY9OlMSxOMKvOEosNcZZ9Fw2zaHzqpkoZczbA9rzRnsQ
qTuOYCd59D6gzHPtWVj9Cit5Dwx+Oi8y977EinKKjDrYxS7KW7Mh7Zq3X/N3HH3lwRJa/jgGabCr
qsa9BxKsbRxbQnvoumoXY61ckf4779vAaEMtIwdwdBFrApsOVnXQWmESobSw5GS/GiVpJ5VggLuR
nR+JiQJXodvdhmDz6jtJ3P3BbPX2Aarq/MhAim/cBDBxl/XBPTiCAbVCS9SBFNXOl5b71HH67QBM
mhgz4QhMK2JMgp0ZAZwk3nS+nTV9+D5Ukfal9AQ5L12XGWvkHL8/p5yCz48JqggVdmvc6rYwLjSW
tIc4yplk0GUfcWX1G81R6XPVt/5tUA9qq+m989XqJ/vrIBecqCOmCyuVu02aRFtPeDfWmrCTPSeQ
+mqONXlX46TYmBJntpZb6vJx1zunTOAr+P61metbvSINDKJHdsKiYsB6TupV1c8YxBiIW+XUyIqb
pNpUAVaTcuqsjWhKXB5St3mJvWA69sA/riPfiA9GmcD9/RjLaGXm20Cz0dyw9T7NfqouXlsBnik8
siPtbmhCx6nya73JygP8P/cpoF616yJ2t6Gfshjqs83jn5v5Km8JnTeaNljFY2AhuUegwRRoGHeJ
lr7JfFIXJoXpYGLxu/bkPKOndsDeTq2YHmHROg4enTHbzP3Ubj0jD85FgBm2z73sml4f5EHLzI92
XzqnbAT0DJ5A20RSKALSW5ZuL6m6ndfUGlGJkJzytYlNFqu9kUBoU8VwCGQ8wxqyW3FFKlhlrCqv
qh8QTVXbngmHPVDltSfIPB152fOwkj24UBI2SMIZDXFsInfcWiZNLtBSlfbQ6npNdE85sGMG2h4W
A9OGHre8mkiDs3CmF5mt/QGZfSOGatcZFVkJPcOpBJd5tILUeNNje7qyy6Zd2+Oov02BjwZLpbUV
anYLS7vlxSQExzzOapxvJbqRozva08bvJomrDwcBiupBNGEZuAg3QGwy01WtNd/qLnXDULMK2oYR
/3kAhR53Ie2H4dx3WraK+NGbzCJklVSuJtq3RmbvUt2aD5kfYa9E/bt8I7rWylyheU/gnqRmu+rT
8t5UOR0DP6vIrE+0XefUtL0sZzJfAEf4WKqq5t4aFiU2zb1THA03vZg82KE4TMZM++43wJWgXz5Z
fWGEBYkCZ75Gvqbnx8xJL1lufV+Om7qIzV0UpUMIi7yjie9I6JyN7m3YISZHMWM962B3myKt6b67
5Tev0r61s3OtzNba0v4sl31bc/ATzwy9OX0Ya+AT0tfiPbMVfijwDsYC/owjKitB7j9pFdlLIB2A
iaUt2Qz+GMcLCpfoKb/TDpUjCKL0BN+3Eg5kdjAYNjN2daUEEuqKyNV8iKuNmxa412pr6Hfo45OX
uIdkkSujIMyzR0GGSbC+F+hg6brGegMiw0xOdKTFTVXl4on+WQXUaCqfW03038TgufcIe2y1LnyR
H/phmrF9BfnOLpJ+ryVYK9bIze0b25fzTRa7ZJjg09gMZe/h7lUStM/suhuCCaJVJHF7kWWRbYcm
p/6nF+kxzoypD2GevAVyLk8o3639TFJzANe6xvkptj6Y/Rzs7hvbe+NZuZV/ZUBggqNkYpMdQApq
oVn34000T8BfJkJniLtrtx0BGmuzxPhJDV5LIGBInuJaRc4bcNFmXA3JPF3bRpfdVg5ZEj1RNc8u
TPo8VEZiXibQP8/INj2avWn1NQLcGgHS761HfVkhXaMUGMH9ZK+qqj8lqW9fJWXbfa06y9mrrhlh
x8fDCd9Z/q2D4Q1q3eDh1siXbgZPlO9l6+k0FA37FU1VbfKKCO9o5CZBox3FL8Cp0KunobI567Z2
TwpMZ3+xKkBLeeSAAk6HIbnU2vQd8Ib/ZEJ632DH8ldxXMyLLz8ju6ucQvZ4M0sh3b0+7DVFPsMk
mcmyIttn5PyEwvV0Hi+r7XHiVLGuE2sORwMVRyvmdZuWD1qRPimSI7HDYS6iSgzVKpg4FBviK3Hh
1jp3CwqHuu01/dphZ7yrA5eYtrysz91cmAcpI7ZStD2mKLZWdi78HncKxK1yz3HJ1b5PHQaMcJTO
wehd/7EjBCXk3OnT/fiAe6cQpC2tO7MoFjdsFbNXZVj1l6zJmyfRC+XtBORLI0xh0+Y7VJP4PvKc
LY2tddWtjS2hWrV4lV5y6WJK6OWYHQez/x6P/gjuG0ybIvfyZLGz/VYJ3V0Rb9KSY5hfwMPQRm4t
rdh1udesRh7VOR/EiDapEd0FDnJ8ydgMhZldZC0WdKe5krEbrVqZmXe8/+8dCkvShzpM8Jg1sKJE
HQbBuu1vYMtw7oiL5FHJFm3H5Bkbg6iGW0yS9ZuliRc7a8cXyMf3M+pRe+u5GJY1Sjg7ejXM7EKz
VrxqxT0wzbFbIWGSd44OR3oVuS1m/17fzsOAsZARv9f82t4lieudzdzFboVpxzskZcDZNDPjN2fC
g4PduQ6h6MZbP1beA0cd1pM4KF8Wb9Ga9OSvtsKeqQucP/wVc92opru3U/vdK3x5DSFzeotnJH5o
vXxSd6wpuwqCedxhseeOERG1a+IM55m2qLusyPvqDYn9kA4Y/LM+5YWVAQw82DpAB91g62jOrrMS
cE6B98iEnF8rMbvHBmlh2I2duxFFFb3WAYKSApnYXmus7EJOGuLihVcWmpiK9qp1GmLtxuqumtuY
Ha52W5Zld4AgWd6CkXZvvIZgMDdzYWwlg/XDiDGY1tkoNrJPsf+gObyGzJ6cCUyF/yGyAD/4NEda
/5zhBwfm2+6Ics02cP4xRYNluo2i3t0XI0mrNZyb3TRYxX3HjBv2mNU3QTDoO1n0DzEhxqHydPdo
kRW660b5kgSVt88wxq6I61JHJlJtj8NpOLOV846jXcaXFkkP+9+6+tF32ZAiNRJvVpOJZ5IKepTY
+H/yt1onW/RkkGlwguCVramWoDQDs/XQm2i5Vlh0nOCCXglrW1012OwsieV721Rq5miWyOBSTbJ4
+L/snceS3EiWRf9l9iiDFovZIBQyUjGZiuQGllRQDu2QXz8HyapuZkRMhnFm22bdVWbVzUIAcLh4
795zkU0XPh1FZD5JG60rSlgPtt7+GEfAH+rMVqWpjWavzsM3x+LUYAkd0qFlcUiiqgnnKEsv8sTT
NhwnAkXX0z3fv/XJye2nPGJvjHwlCtgVCpIn3G+tnnSEs0wL84P1FU5/0I32i8MRBJ7gldWod+yh
bCpnlImUztW+IXYdLs2SfE+7NiikZEVzG4Va0HtK+DMmBfGDpSr6XTt6P+vRVJ4iPr1HnApNjIaI
KB/fa8Zw3UKd8hV89DvQfd1GT8CV2CQE+m5BBeD9auxxFVR/NQjRMaY1gOPkbRUUZZKO18mlqGxS
vyN6DNB1VTImycIDE3mmMXCqWo5oaLGokIpgH6rewe6h/8XwG0wl1XK15S9JjppTRJVYv39jpy5F
650wawt4MlPf2xtTWxtb70hhfojd6IHAB5aMtNeuVdlnZ4rJp9pHEHf0RVKC8cY7eIZ4OtUJu1kT
FE3RXWVCLt5Q2jchg9evozHflbhgz3QDTt0fFDZCiV1037ge3t6flSAhUQgK+9V4wOnIKt1QsuNM
eq6TcqxbgceCbPSVrYzO4eBRZkz+c1UpaGWmGCu9CHEEKrWbXmQ6FU1B+eND9driEXN8DTf9XLH+
VOMD4SXNYkBMNIQPKvVTZAKuy6I2cHOaA2y6KGTUw+P74+X4QwDDZFHVpCPncZo4uIhpVZ2hlF4d
RNqS/VRK6PJaVl8R4ECsSOUVZ8bn8U1xPRxPWAAtHT2z/vb91ex03Kky6iAvcEua9nSHcNs583Uf
DxKDHjpxAVRbdAPW8tuLeJEmMbuLOkhk1BH0AXujrHpM+pQX3398J67ETWC5JGPSwjp2MByhIxBO
B/U4oNlJpKDSXhqT81A16dP71znxml49MxrvignrFaf1W68bRAcozAZY6Zyom0a8KK7A/lqgIA3P
UID142FvvLnUwbDn2GiH+cJF7XoIwGZhIgoeHCC+o9eDt+iL+XGymCItSpLNujYpuKlNHX622UVu
JGDZTUpDZqe3nGxzvNo5tdw521tuWu2lMQL7GuL5OiSn7SMcGcPvIgq4bHUkNEKZyr3Ti/FmKDuK
SlNnixUn3xTxZzKfudEFgHbQh15SIizGI6I01EMHDTkSOBQCjjueaRvLZy8v1BscaR8xBycv+dw5
e1I6aGmI8HMzgrwD6skxZgTZZeebxKJZotVVttK7RyIdipUEMUsm2cdqcK9JhgZhWRJP2GYDJYDE
cPywSQ0drhO88qbXnb2SKqAmzdIMaDcNayldHbwySVqcqp2rzETLkMIXWY10cNdEsK1mJxrXJnfo
8bR0ha0cMRNfYfEWZ1arE2ON5q6GgoMuNqvwMu//NtbCvK/RI0w8l1Rpr3qNxDfe+hhEOMnhT4XG
ELw/uJcR9VYQAOCHUFgEXMhevEMJRF2a+DuqHCaYKyGFJmW+IeoQGK9RwZZ1oe7EVEMezIRUyvev
fOLzZYIF+qWjxTneBjTR1CtxZxcBJ8/pU28P2hdkVLiiiFv78f6lTtwkPVdmI44f/PdwNqdVwRZw
6ooAkj2Fyl6jrk5xtl2Tp9NcwMZO3FVLz2vyB5062vsXP3GfKC0M/NfETrOoHQx1MCgdJ8GiCFrA
Ort6KB4iaJMLlLc5syk4vpKpMklpDgojxztyQHIsa0m3TkWgu+4zZPNhrbsj3kJhGH88TBEgIJhC
GMWGQD0U7VYLhSnqO4LttW5Yzza1ECO9HQbL3nIW/P6nDxC5LjemAyuksXO4bEWJgIAvam7Lyg2C
0qZiETZTZm2FkZ0LEz7+ALkYYgfEAhY9psPlq6ZdG9tdzp0p5kNsKM/17H5PR+MhGuwzqoTjPRyX
Yqdoc2tYMq2DlTI34gRMDL1RoyJilvKFR8IL9PYeKmzR76kcnNtVnb4iAZDI2JaP7nB5MStMMcsV
a63fZ171UkI5NRZaFhAGHGadfiZv/dSIRIqD+41dx4LhfzudWZjCbBk6WaB03R4oTWCa2W1iq2cu
c7yxWZJJFv0meQzHzlaCFcck4V8d9IquwD7DcVuNrIjvj8PjWYSraCqbDZf8ZZQkb29mVPQRLLOW
BQ1caJ/D10qk3U+nsO/SGidE55LCQELW+xfVj1dKrsrEgWQX4M+RLT7MZ+khBMsCD1WrPwjCQlZF
lc3Xo0fjbCZE128nT+i+UppZvIIPgkmwVZ2dHOvoQtDa2Q5si4jxrT96MKHXMOjZHCzbAgAz1iVK
FfvR0wc7iGRrnfn1J18M0nNGnIbT/vDwRZcwFhQbRUDBqNikk5fulZHSw/vP6OQoQ1fJKY8QkKMt
Z27WLCNRKYICMD94uj5QM9IlHXlu13K0VvIqPDTXLEE2lOeDAWCh5C+qumAigutNbzmML0ZbPRfS
cmoGwt7Lydilhn1kGJhTVR+jTsno57eQdRyWqdHq5AZ08dc+Nf98F42KDJkoSwbERAK83o5qkuiw
Mcd8olMWfl+eXZPYd3kTPr//jk59PIBlCO7hCXJjB89ubKGRziUfj0gs90M2aVS9Q+s79c9y20SW
+20QxE5xgG/PLFWn5jwUsYvt3Ttx6KGaocYGIcJBFOm3slBeMI7iKnwCO3/PTunM1U4NeI49OoMd
rdnRuVVwj45N/GRQ4azY5bbl3A16qqzff5ivto23uzZUeTxMneUIBMGhBNBbrJQWVbAA9rT6BGW2
3Coojgn0MHoCjVtneEw18mC6Uva39VRkN5ZwjF2MTX0zTxVeziiFUVtDwAOuQYu0I6L8zG7kmI+A
khs3nLF8mfh7Djc+DXAx0mhyVpvRpHIn6xdNLmg0bHQXieM+dyN6RYeQ4StRGMlTNvQtgeTll5gm
62xXcl8NUAPRlXqg1xQgPzH38f6DPPGt0WZiC0qIDRE+hwuicPgNych2eyjm79Wsya1aoW8KBS3l
6eX9a50YiNqr7M9aaifsut9+aLo2Qa9wJVv7UPuuIkHELqm+tJMoAscr0g3VK3lmh3Hio9M0iujs
aFixjiptfSOmsYlKbi+1PsUJ1medRjqlxWb2DX2qH+tmqNc0SPvgz+9V09A1o3Fkg3g4U5qKhwLI
bTHgItmqbcBekMvuKJAtntboaXKt6MxoO/Um2bJRBtA1Tr+HZhS+lUG2JvGoihoRJqD1NAoLQ95h
6SVc2+Yg/f4dnlhzuEH2UAYLG5vFg51NDmohTiChBmMfUUw0m2Gt1mW9NhCp/V8u5RHu7QKRofS2
zDm/nQkrx0xkXnBE07yy+GCRtuw3jrQvk07Tzkxfp8Yo+dYMT5Np5UgQ36NSKWArc1bJu4cuLn9Y
FrislveXRPUdcX/yjw9HTGCYLnTAREDTDj9AbaT8rbdzEcwQXjF/Dh8baI0VdYAzFzoxMSOyV8EL
oUXHxrG8z98f4kwMmBpyBARv/ByN486d64czQ8Lg33EwK7+5xsGYgFqWpSbA5gCNrebj1ITTbLXW
Rx00jB8K0hCSSIV0NjTVurXT6LEcGof+Pe2TzsWYPmgdAqWCMFgSqBClGJq2GdyJzF1DNvvZNOM7
3YvGVTH14ecQLsIub9FLcLqdiFKOwguil7AtqOP4wdLgdPgpHbWPs5ejfyi0NtuWedvs1L4OPQ5Q
Y3QL/4DdYYmltMiS5jYenXinNTjehYVqqjfi/LoHEBq4mfeQlGSh8ISzbU6tqPFjtDsBeqHcL4e5
2hC+baHfy4YrgJTJakjghb7/eE+NTVZxR2OcvPrh3r5BuyYkiiTYIkC591KP8gWr4i1Bs1sjLzeh
MpT/h8+OPTebPQT9WET0t9ez4qmoDTjBgazjpeZ0M+jZxSCLM5vX45KfSa2UWjO1TMp03sFlzDGL
gdd5RYCu866qkgYZj/utzh7pC13TI151lv4laoozRybj9HWp0vJEOVwfbsi8Kq/zarCoiZTT/Cke
MRS7jancoT1XxYY2NmecJfJlI7O+XosC3Y7SFUzkNThYC+EtxBzlwlA7ZatJk/xitFoMuGpHC4Km
kpd+tbSeg/qIOidz5miND96m9uLM60gL7wlfIlpntnAIytTMfDlX0Sbl96ylqH4gw9Y+pK4geWQc
yFSyNP55PlurGKzUxlEc/ak2rHOv4tScjkkXOBrGHF7I8sh+myMStbXIk+2LQJUvE06aBYawyzTZ
nxlZp+ai365zuDHqqz4XpUeMtGsJdVVQb1jlcbx5/3M5tSDa5MnRV8CBYx/SqVTy4cvabIoAG4pL
+Fnhcxh/LrMYmWs7nTGdnbwY9UrOLB7utsNDhN0wGRWk1yCJsXNOoqSEETiOKAt5o0zOPL5TEwGU
OioYi2XvaPMrpsmwU4QNQZM2d3rr2Cvgx8+laH7IhDZibJ95kocBgliLltMDR/6lTErT7WABhq8i
eL7s01Ks8BgvdG3vzuDddWrx69JQ4sCsarkaK8/4mAAxCKYInXFUJsW1G7nZFlD+9Oig0kcxHZIi
fOZ5nBq2vGeDMhL1W1xlb4ftMIatksVsc4a6+mF40VOs9/dkV5177ievAzwQ7Tl91KPNQQuKM66Q
yMBAEhXVHPlSTMqwLrvmzEJ6atv66i12OT94/OftDRmDh6gaOVQgkXHHLaqzobhrSmtPjMWtKOuH
XHhnChWnBvBvlzzcsKazKZDNqHmgDOMu6sofninQm9r7pjwHynwNBj3cJnAipUnG9pGz8MFRGBiq
CWvWyZlm9OmLjKufQ+LZq16AeaZ8G60U0B6rnBl5k9SL/FfRFrFUgw7H69tnk6LKc1i7bdDpiIgx
miD9j2VzT3J1uXYLIci5bt3t6Azuk2sxa/pQVNAwKO24nrOltFnqP9WBIAOndNfEEXxJQRfTHa82
ki0fTDVIY5ORbLp80u8rdJAs9rp1ZtSe+oq9xalLiYNxe2jJErCRyYSu2PlVcIvkrPlSNZ+tyrqk
ZvosEyA4fz4hLmYJetcOxdbDx16R8zJBdsyDpPYUpCpdU21f0ZJGtGAu2kUm+v4VT9wi6/riNoYO
yM59Gee/rSeeDelE6oYIMi8CKNRMNjkB7NCmtGyhPmlzgCro6/vXfHVwHowuGueEC71mnR7VCwGG
Qbh3RR4QRemtQErb92asgco2JusyLoV4qvTcXacmAqpX1bAbS/GUd7PcSJQ9O2UYELCe+VEnipj4
FKn6LLM2+Cr97ZOIRmuuwp4vup1D1GXgB7doxIwtuV/gi6Ai+IwUxEyW2HhRE5MS0WaIoU1t/f4P
MU7MYYsvHIPmAk4wD8v7KmZJO5dJjm8Z/JH/KjVODDHfIXcsrEtel3MBuNK6xPUAAF1QRNYUkJk+
jPz+w2AM6nYiYvJTbLLx1uWsfmJbXECBZkhhYsi26GyIMeniHxP6SKbsfmPaabxBvmeuG6WQQWzX
zmaMO2ftRpd6mRn3JC2Nt3y2+EImPoTn2CVCWajOZ3VJLHj/AZy6fzpgeNCB+fyiTfw+JCm3ERSx
xIs6IhvvY5QihM+PyXOiKfH2zy+FFhKtAW50lo2DVZOmU13ny7LklUa8rmp3MdiMVbb3YhE9v3+t
1/d2OOqX6q/B6ZVl8PD4Xyg2HKE84XDQW4RXSxrG+C9mgnyg5ffrwhHapVaq4Qc5wkHWdSW606Xi
rUxDVLsKNt/F6w/6D/TkDPQEM/3yzf0LJXCUnHbzo3/5TuXsRyETOV18/+//+vuP/AM9IYGeaHeq
p79S5lVW6n+i05Yp+x8qMWgUqooOkd/mK86BPcLfxAYDYDFsFGrZLsRdlCj2nxAb0G8xN/02tOj3
IEKyqU4YIBv0I7B1LE0C5ZvKuHbC1nmacPsBhNOUxrdmoYKYzWvYV1W5h8dSaz45jv0GLizpg8zC
O2SrNZQ4tdM/oUPObkpHkDFWj71hrvSqHq1115jTk9GbPV7OvFnLiC5PXE36uPJ6F6F1hS4D91oM
zrEbJu1jZ7Tl56IP+1s8lCFKRfSwHaCHxplxBzXDNslphDlNmmOKzBC/OviydrbHT/SrOB3hlUSl
ma6VyRg/mNPkUP0dUdsHzJYzKsMsVb+mHWkyvpiy7HvtKPVtEqFs9Adik28xz4B0hIbFvZNfsBQZ
RuIXLsqpMect7eCx2rWTzv9qtFal7zsXY2AdWxhQIvSFOGnzaVT2Lj+wxFgwK9QP6hzWl+6iAfSg
3n2c04yitViSYWHLrYc4J5QsbMt+l1IvCbDiFhjuzHKOiJ+BPdegdCf6wWxGWV0bmf4oq4rg7mo9
hGop6wD7H2jAPNQjw9m52GrQkzSJOqtIKvOmUEFNu+ONgfGYM65ElXBh/mLHk+gZI7Vc5EVFtklc
oYjxmcOA2Rof+wwDR0OdAlANwrge+1DdL2HES+Ca51dl1OBQBUIc+d1SbItW1muWcahNCq5FojYG
/MNyCTyuu96RVyCpe3CBNRjuMlDbQQsviaMTISqftl8GjkNpZ0ytmTxpnG1+ltuD6PdSdh0Bzdrf
ec1N2/bDnPvZoA+t9in6Fe48JpzNmu9yeA1+tn7FQP9nwnudos5NeCbz13sT3i1l4DfT3a8/8Pd0
56p/vfbe1EUNRT61wc7p7+nONf9CdEtNmxqzvRBCmAn/mf0IhER5YXsUjZaakcWc9c/s5/6FikdF
pgZdhD/OpvOAwf4ek/3o6AvfiUakxbZtkfIB8Xi7cQsHBddhYVkXYNmqcK2nc/YxFlW4Z1/f0+62
2mdvcbFWTTJvNY6ie0I/qs9eq46PVuFWn9n9tM8qAFaKrqq++e1Jfvg1Cf/O2zg8KPLrlk78orZl
e2kf7uY8qqahNpBwnPZm+YJ4ePxQq3FxhVh94W0y6ndepfaLChF/1vvXBrTxdmEwXfb24NTpyyBv
oMV9sL3n0xKV3SX1BcHgn/I6NFbd0CUecTFNaa/tysJpoLoFURST7VyOppc8ammTfBlnmk20daEd
VPNk7CPBapHZHRYL0ZC6CBTSRpnpVjiISNi5CIdcXmlI67emWplgsbuFHZ972srs2/w21idYxI7W
ayvVrWs0TCxo666bMb+wEVWAyWA/hhNi658jd7GdwXzFJecCSQfBumlK0X2MOSFuwXEVPfwtg5pF
BAo1xt4fp+R5m+qz0jQoBTPnoRtJS1mZcw04jlZncYM7KoIAqRAH1WC8CiYlx1WvzKTczLJDAe8M
2Bk5S8erKibZLtfH6VORLqxcBXPqlTWQB2Q3k3xGpOUsiY5iUH1Vi0eM66BeAhfH53aIhb0bISwQ
lcTU5tPuWvQMSkpXKUm0dcrM+VmUqr0uC0clCzsevc3QGU2y7QHrTyTlOTawe8SOfoh/Ary4GcsH
rSvjDbKBoSPjzBMEjeqF/DgmZLytNGMgvidBvrOF2s+usghlBj/TsitNIVpuNi4LmgrDEs2jD+Qd
eyAESE3htaaKGVg920xfmHbjDxaC/3RyN7FlFx9Q6JNEHtV6g/cmnnFAyxQYvDpqWzwLzbaRg/Vh
ErqyIx0GHDLlnG2mJltP9v2aL9W7YJuSf5zBckOcLrt0T74njkfIES+Qq6tgztV544lKBhPIjnkr
dRnBlcXXBpGhh4dNomTR7lxst5dot8c9DS4gyaneEXIYD5UvHCv+YQ5qf6uV2ohgHtfVD1SEcKRB
viKqtBKCJ8nAocY09bNl+LbT2Omab+8ewDLk6C5LOqCqKWrW4V5rctJQSY6C50TIaVhH4CdCuCFu
JbPvRRqHZHzLJt3pajl8J0g514Alx0RO+gSc9uoCDGiSFzJjRRV4RW/qt23bhPu5m40LoRpp/2lh
u3tXYDbKF5SlsiMiuxtJadVqRX4riJwS64bIVDIsZWkmG9k1hbIpQ3e6hlUOCAbBjNQ2Xa/Myf1E
GhM5iX0NvVUhfTkklajJo3XTgVn4YnoDYu2MvUzhw2wulno9ZvO5jmKWAllcNVCkqnWtGuVLi6/7
gk6MYKiP5KBPkIo/ag6TZjTG3H82J8Vtitz1Ru/K2lspusfVmuXepphQwCactWFTW23Y+nFvtpRF
7NT0m6Tn1yMiBJZQjnOQlAPel9CCjNsvPnvPosS8jgc+5E2rdqMCYXvsvtL27dRrGrOWeuOFAyy8
ihrxS9MKz1pXCq6516nc487jlZkSOSShwy5ZgLIH7a/PTwIj2OL4HIyZntUY6mht16wE2vRidV2j
Vnvy2lX+lkUAPBhHRPeaxBtp89B/KqJRJFjRFat46SaZM3Saub0sm9m+qVuNX9yXfalsh04mKc61
ptrVri5upwK2DXmfmGAp0qTjHZ4k/dYsSz6shKC224aWaL4qIrvE+D/1/cVYOlL31V7G+VVOwAAS
Zn4BYzevzIuCri5JdHVDvOpsWGG3LtrG+aL0xUDeaNJk3kpEc6GtS9cmyLWLJ5dmV+0Mn0uN1MrY
JgZx7dqocUOEpheRPuqbjPCvr60mHyFl2BfAS1Jrh9ZhuENDbYi1kpmYt93YrU1fc5O8x7CJuti0
0pAMNTW7Jsg9rHkyU3EVQ1t60DNMP74Td9Y3C3Y+KiBDi7flkG1SvVTwegHqvcJvVxJo38dXHQFW
+MFqwihHJLQWQJZGu8SzJy/Qo86OzwBSHojjYxaYDW9am16Nq0+rc0dfUedoXb/DKZ/6EyyICYaM
MTH79XbagACa2blGlrkdQyb8NjfaX0f3/5yUz20cUfWxo/jfT8rX+F5fvsVd+0PK9s0O8tef/Ad4
6P1FddGmyPg305Mt2j/AQ+MvC0IYm6Mlf8Z83Vz+s4PU/6J7QrGEP4bqhL7Nv3aQpI2jhKGN8+99
5x/sII8LToscGf0PYa8uxNGDyp/H3kch2KEK3ET8jMuIAiOMcj9xWTd/ezonNoOnrqQjoUFtBBXt
iDVHzEphzqPGlXRwA/iev1RFOfpDGHerP78S10DXhNrEJF/n7aY4kko4N1VWgZDLWGk69bYF4Uxn
dD5TQD5xS7iDwLwtpTr1qPHUU7XymB+rgACBn5nIfoZK8jPl7398P1zGWrpcnDSO3hHuCVwYFohi
uujexmMT6bfogVcZ+6A/f3SMVepz6NNRah7KZsAUkcYbc0c9xv+rUSWhDQGIe9UU6Zmb4nT0e9mG
MU3fnqoN3U8D+d/hycXpc1dhCq6CeOC0DLn74xSNCyr9qerPQqwPDyKvF+MEYmNkIGHtMHtI0azS
cLSS3UndumsHFkWQujUbByV5UV0StxMwNz7RqX+un+EuX+F8DjrdI/WA3ZSdLuICenadlPcdVlTf
8gDD4CAzznxfy1HvtzrYrweKUoHTKN0avuq3o37u0m7CHlKh5YZgl0OWYDVSw/s/H4uoIv91laWT
8FvPxKVo3ysd+zzFGwEWNeNTnw/F/pXT+/+70sHMNGR5XPYFV4pFR8DQmL7MJVC385+XtjyZN0+O
jimndQ11rU2Sz2EfKOrwH5sKolCJ6AdjNuklcqTPNxjmpzrB36wYFU7bNNa3VuNZK/w3Z5TLRKgd
/gZUarxCBqfjURY9VOKXYW65eVnlFMh1AoXVXsn8qaJ6Npv5tPGolK01r9G2Nb6SQIUQvibO0NsQ
BVPs+xpd7moocc26SJNXTVlgdo6TfOWkoXGxlCO2nZP9nChKXESz1l9XDienppqXjAivrMnS5v/C
ljbfqFSmVh2LVuCMdX5HCJD+nDl6eWGFafilz/tpTZnRCkJSav1yghtEto27zpyRElo7ddQLs4KI
yr6OzAspUZV3mSg29G2Ke/Aq5h4GxPCtDlloiJLitwOquJuoFl4Obtunq9gheHYzmYIqJ3AbtLL8
Hvbd5ksectNZL6stOfbVbaTP5Vpi06Iza4Qhub0d0ahgTaS3s8HfbGsVkmlaE+HEVlVZ5Sp3N1MM
9nPM2StHFvoqdJjf4iiBSwKMAO4NRzz6vSUHMDROezPvkx0nxvJSUyWt2xz2i+vlysoRSDWiuLcu
x0hLv0RuKZ7sIcM91BrV59rO9eeQe698B0DO5yo3u5nfBK3fj53KkyvDmJhuRttk905dVDy1A/Qv
V2nzO0VJ5JeQRwP1pK5u7S79qWq8047ywDP8qp9jO4T30p7Li2GZneO2LS85jJbZthE4YplePAJC
0sQeP1L5NS9YVOQq7PNk10fCoBhqJwuxrSv2SYTz1TeJ5bmJjMq7Te2o+GlDlrzRIDDuKHig9iHc
wHX91y9PtPD2ALy5V7HNI8sgVz4jKwMWaMbTKq+r6MGddW4pcpLsiweax89r4lUB2S0RGUB4ZrhM
jS12SaGr1bXW9ZW3tuOw/xSHleJtdK1vXYyCGZkbtlo0V5iZ52cK6NbDWGT5T92Jyz33OFERYPKm
wVAHZqp5TyUf94PB6TVd4cC3wIkQVZMhSI57wCmUYq4aHAGInjgQEXc0ZhaEwYroMXgyCnJb23tq
64bPzlRnZdWbrLIzzCHQDtVCp4CTED8hTY8o8btF+uLRmyczh++IWjD5uInXi91rVtdAwuanuZmz
Hd5hiXZPafRkm4IPnjcUATDyNG1EO8AeM+0rTpD2uz7zbZlKSCKXGKz2kVJz9TlKTevyNQ8mH0t+
bNMpxt5WzYSjwRKGQ0ahubfiKPtSR3qxH0PIOs3Y6qusSX/qLrE1oWYbe36ItoX3NtFMaIlginM7
voE8Nm66SCwYGt5QZ7D6YnMW5H437hpmdHhPUAdsmrga4x9F5VlBkdm9P9mxPV+ZWvepaqd+h6gP
oJPXMRDmwS0APyQ/W0h7Pgd6ddVqYgdW6gfneGcdt+N9UeuBLPuvHNeSfV7Y+qYLK/uS1di5izs+
Sq3gZ6ma6K972XibKOM7R40d+nrlZM+uVs2XkA+2+eyIVTSPlVzlA6d1QEopUdBSMKiZFccPFD+n
ddGl3q3BvnZbK3z1WSeIa+6r0DdacKNzw+yWD7LfacvSX5nct56nL0mrkJeMFPtFjEDLjF5qqC4G
7SE1Q2M/dowo7Lbhl44cjJUqpnLdowXdWO3MZ5S7tYd9YUEbK40g/5j8l1UM4/ROs0kINlXxYllM
lE3D/AGezbmbSXQHANJM69CpixCsSefeQZ9qrrQBqDWufYZh5zUkjqg5QU9TyiRGHWJtD1y6KclP
I+9PrgARD99ixHZVIShTUdplBFPKbRJxa1SQg+IBdGPc5tVtWy9b+5I4QKFVDKahJmfEzzUimgC9
cVr3yAiyO23zOusOcfJZZq72Qx2YrfpljFgqkZhZKJOb1BqjLUFmxGqR+7scjqUFEtXatqD4VvBS
9JVlzMyIshxX/WyXj8nIE5odArNG1WlWLLgDniwCwX2hkjAUsRo89FUUrly7KPbh3OV3bcfcoxCK
uB48PnoKTzxzr+y2RoowMSr65MYgGvOrp3XyslcstsRld+tmrQhaW6UfFSPPyb1IuZZNcmskRv9J
SdP2dhpjeR2m8zNcr+HZzSaXwgTmT3PWrGD2knlD7HR+C98g/CCyzw6h0OvEiH+W0cJylskj3/NT
06uksePXg+6Z1yupGshdp1bH4TQR2GObXxWr7HzdYdFbBCYXShKLJwhNxb4pmHHU3NUeElWrFjfF
gH/6dZIF1YfshXew5fhH0dIGeMu6XazgPI9dgM7HbHZF7Pm6FleDL1uP2uQkBJNZyjmzZoikXr7S
IjW7KAYgjBTxnEU/DCJ9TeVobnxRGUgZjKiWKgDNoV7AiPpjm+v5fqiNfE91hoJ16Xb13hBtt+40
dEZiHdbUbezLadDHfGbxIebq2s6dgVBHfYDdomYpzDMzITJsP6SeQVEIUmfv7s2+Kws/tDvDMVYc
BxB1+CStOz/bKY0hXfZZ/qOysB5oSeRcjC5p9athgurH7sZSN3U7Mq9P7iIZgJ8p5YfCdsBlpSZ0
ulXrRinCmLgx1xCCyZZg7mm/uJmakRsxivshNYh2q0inYocwhWbiV87U7wuRZuukUr+abhdUaUrw
5WTkvkkTcKvbfF9MHP2dZaXKtWYUSrqWTg6m3NSnHd+pbvhlSge2E64M9Brz11iHL1lsZZCi9Qwm
KMItQJLaJwQr403HGq35YwT3uTD1Tll5wphv+Fyjb5FwcFplWksl2hk9dreKcpGMlupunShnfjNt
pm8zYnfCgY14pwGeDNVAbjjIUFTkK3ey+t37O+9jFc6yIabTTugPBvCjU2CFzRxkSJcFcZ6b+44u
xs/SAIzkD3JoVbLuTbZWQggeW5xq8qanjEayE3rvSmNblTT5CwtXsXd1chknnaMO+fbEgImpsy5N
AG1XBdrQq8wm9VL2S/SW7EIriBYDtgEwuNyYBMXdg+UwXwwbKY/v8ZcdAevO3RRqTLfhNCKaJyv0
y+scWBRg/FfDnBHr/f6zOFaueOwjloQgunjkNZsHB552hjLctaoIajYTa1sf+mvAGaqDGps9E0jh
5GZCYhpTeWePtfSWKJni20TEExF35Z07Nx+J1pbfQ8EGxSsuaMobbw9gTgTJF2OXCMjthRc9XTYZ
68vgJC8FfaJwYsl//wkcHdQZDHRruJLG2QTZx9sLtmZv5dFQiaAn2e+WWn3IYk1UXVHE5aViArV7
/3pHPU13uaBDxrSLpwaWzcFBlu5LkZl2ttjkYQ0vTLtynbRFDwmdgSUhsmyylrFmW+7w4XUJHsB9
2rtYH7RtrBGzB6jdeoHe2O9GYLlnRsTROZsIAVShmH35QnguB88Dj8NgI7pMAo/z9s4iwfayModz
3+BRxYKrUKgATOAgaXYOCzFd0vWhXZTkWZrsXG0Mp7iKbbmqdY9Nvp2BwpxI2LyJM3ac778A/fg8
zP7AWOo/GMSOwS2TlplY0wZk0+0QhYEwS+9KCUPvS96xL23LwZpuPcXyngqkMZk3kdRWWcMGaQbY
c1mSwrlMdo30a9G5xiZC77HF/d0EbH69q7Qs2u91qIXyQglxnP2qYP2nXn2mXo0fwqSo8L/Xqx9+
jC/t73Xqv//E33VqbylGL9U4zWPWp/T87zo1n/9flGx1R0VjwGe5DPm/69SGTcQ8HwEEDZPZGKHw
v+rUuvUX+T5UlTEdufAF0Ef8QZ1aQx/xtkSCV3FhdiGhN/lBBtd6OxGpUlH6uiyJ46U1+9wrpuO3
Yvrmjrq4mTWlJtIAlPIIW+Yj0urrtq3oO/ZpjY1Yua/Vpt13HGL82nXma7PslIspNOwQHGMaf+iK
WnnpHKf0CWBROVa6IUBAKvdR+6FwrMm4M80k0/FOFEJzLmatcfUbFiW1fGwFjUj2D9lcGruKc0t1
7VaN6gC9ReoD+YovVOZQuELcZ1uWE9UhSXxomvpRuIW0iHwocqHtY2+0db/WQ09unFg1220sTB0u
kAlhg9jrIkNSx7l1IpgoydNZ2zvlpD+ZU9RiXMC7XVorycLs7lzdmayLDowwSFB2TU76EE6KQoC5
5ixmIZKKy5e0CN3vEQUvZz3rLfD3TROXam+v3NZJ1HtUBDiQJT+h3WVjqV8ioJ6h3NpefBn+D3vn
sSS5kW3bX3k/gDZoMQUQMiNSV4qawCpLQAMOh3Lg699CNbuNLN5LGud3RiNZFREQ7sfP2XvtwkBd
Ow8MSvcTI/Fpt7ZMz2O/LY512hIC3eCIDHEND0cOmf5uxr71zuoAEZbgHI4t+VO6CcxDNRbXzmza
Y2HOL0WbW4dimCnUqNmP5ZwyfO/qNHvNVT6nu2XKT2SmXltb3qCbHl/7tG7IYujvrVoBUG0m0ApT
6n6FTz1zZp7f18LpI5PBbalofKnyRU0D1XJgFGc8JR9p3sqdlZTj0+qPwCURux0gob9otBJCIEbz
geRkb++bEJuC4HFa8xe3Mn+0VT7crCyDIUvx7crsMarH4R3z3rme2uZYDsyXCfGJwS2bwB8454qt
vya79Z6jQhuWZvkidC1HW6i1u7KevtNPca+1uyb3ZB6Q2K4zEw5GdtreSuJyGQHaTmQNqHW6MwvL
5TA7qQibFkKPmQFjMlby6g9bUAkop5OHY3APJtEBqJpm0dp3/kc+mtOBIJL8w886dVZw/2FhO9pj
KhbQyEX6ncF/e+dow5Mz5BzY66U66IIpcJOLfGsBuOGY627I8N3RwsYZ94Pv2CfWhWwvpRnsU6I0
IifTggOsoO+tU9anIaNtlrB2hEB2sE0mKv9oLbuNJgeod5qSuB3odR+3LbV33wzYJFcN87s+Vci6
eyDVpno2nEaHkUPPvEpO60pgdt1DdnYG7dVB6h1aRGycs85hPC9oQlijIz+PqxdRmIZFOeNd66cO
GPG46OWlnsrxxnUH3vhR+tiB7VX7AdgN1tbEEMEJW8+HtSmLaV0iopa1I5jx8RG/8uw9VaBh78nI
rJtNyZnfCoYNe6vN/V3ioYyJDHJpn6EtDxwGjTU95GBzz2QyyBpJ/cCn8WCVa5jMw9ex6gCqJtN0
j1bQiCZOthzdsZiEvlLLt45OlL5LPRtA+YBq2hzmZQ5AvHJrIm0BahF1fNtNKzQPP4yug2+bzonY
Q7cesx9L0Qe8azNR93QeOoGi2nf6997haTHDzM7Qgk21fpM1QX2Yc19EWaeZB2K++WXlfPKWwj3Q
bGOVULRfW4IRdg7MZjLfNxew6KxdEqxkBaeAxE1/fVPwK168XKhbklG+8Eq9msDYwLWWLdGswxli
rn0LOKOMJXklN42Wf8MCI+McQvVLLQum3eix8itorckgZ3m1YrJkjXsCdT91lVn69O6s4CLsqj0b
wbDnJDldpjEXjwiVtSe8it4Xk3TjmO4Wuah1IAGkp9kGIlKmuUvaRu2XatGvbrK0uyEh3SAdhuG2
6mk28/egrdL05SC3txYxgPtAloi1TzoCf7WuyshXnu4BpeS7fOmPs6FnZggld9tLVj9cKNQemMm/
U6g6R3uqg6/S7B88ZWdz2JdIrix/eHOXApeCrms7EgxONmaiuBxBOYaDIYYfSUukNaY57YYjUrb3
p9Egb3cNdqIl8HhJ/XSf2Abrgb/c5rNf3m2M/uuSB0UICY5s70aZoQL+G00e6P3BNtNDFpC3g4/I
j4hkGTkDy8OipZI1eLgSputFqwUlOUBYHekEsp+G0saKNEsnTI35EVyOSQBMW+5asnJDflsAKEId
tKULTlKfErxQSkdiFtRfFzT8Ox1dTzQamhbD1+jiom5x7QBu75+DvAhiRGsLWtkqiPuhOwVQRUOp
iR+q8z4RJd/u1mAe9zqxH9vZf0VFZre7rFHZfhxrddbK7hvpJddqSMYbQ1XIw2aouRVjhTtOLvoF
0Vq7a/Sl2M/5oJ9W6FtHzfGCsBNI6qamycnSJmiatDPO7WVBNnldst517ud11ZewgZSxy8rhM530
8sYRCaecpalCiG5LKJbCuPAM9Ic+tzfwbfkD5UiwB/b7GY4IciP6GeTDLU5yRTqcmKj5WPrp+nzU
wphpFg7yPinNJMomo7+FqzqxuZuCLneKbMX5IYLuO32lal85FAyTsl9r1ExRXfaEvvtbqoe0ZUhM
0PBDjjbBTD3tC5tFNPT6ObuHS1U8BGYrTjrD9cuEZXc/e+XnsU70mMW0ZdXOp1d6XGwYg/WEE4aG
Ugp7rFA+67qbVx/o6kyaRxznCC9z98XkLVETaM2+L9b6AohrK/BXm2HL8tFnCXlNMB3COeA7zFlZ
wvbu/BcsrOt9iQKeCwob32XeAVCYC0aTNZyGsnjntS+H65Zf/tx5Dn/W0pcnFJMnt1IkgVZB+jD2
1Xzv0Bh894jZYLRFnEOVgrJu+6OFXt2KVFYI+q4JFzrLM/tT4JRbrg+Co2XwdzYeJjPqei/lTk/z
Eq8dUkswOigy09b85jSqceKF+0xz2WjvJmMdjjqOP0Zejv+ZtrL+jiDra0EK1N2qWxrg5CmbwJEP
FtnT7rQDO60aVlaB9dhh9hGYE1joxHF4IvT6sfMD53FedDqxrJpkeiSmoB1KBsmPXgKQ2F7UlHtK
06ENF5R5ByEMh1emQf3GISlYmfdw9iTmyMLft4xMq/QLx+XirUcf8NGk3ZnjWbLGRQtYv0utbyTe
O0+Nm5tfjbQgBnW13QAGVj6qE3FGNAhyjMW4B5xFfdUrv4pFO/ZP6yxRx7J4XskBp2PfuPer29wk
dAC9eGI7UEdDWwseZ/LIviWpV0cZhl5SuJ381RHSZoaTO7GsZxzpuSUi0YoVJV8HBL4drPZRWrbM
o4VLcatKBhOhnrTkmA9iTONV+kMdTwqzc4P45JAasiCTYx72yKbNneB7HQbpageiqZL60HlV/spq
Vr6yxY1v1az0J7Jnk6NeePlJd2Yq3qSDvQ27uAhzrQeUz1G9eknNvFjoDi8oItdMngPN5IXIdNRa
Iq+Cs0kmUZTVygCsbzeCaO9U3616Lx+GVQ2vxKiN3xwxQ1no2+CG4KDhjn6c/NQCJCR+pm/xf1gd
aWy1w8SP6mp9CeRQt8QNOf38nOKKCiLOSWMQM/Gx3NBmRDHt8oL34YahcF3v/KRyP82Jv7pvDKTy
NZ58tUV0jHbAi4hvAimei4rXpi9y6xL68T55JNhQrIxP1dowO+qzRrtWDYErDJKbvUz82o7rVVWn
cWx0IuSK1A85g2s+GrG5fmU2mjwQxNscVc3yKuvgCRUzHvSmGz+amlQVLfOKvTus6Y1sKEmrZuoI
bq+n+tnIoMtvcpjD7Ncl5/m+2y/1QCxL2lWR0NaqDx0Jqns2mvmhsh0pY8KBagLgt+iFwhgvdbOS
6WUWwCU9ld6bwkqWR98rZHun0gzXDRgNvXPLCKcgE8VvtciCZZPBjabJ0IxyM/eJSIF4P9tP7ZC6
JZPscWmxrfTHIoAaH84FytebStmMW/rC2FWraCSml4x1VPmVonRyreOQuc6rieZvjEmGFN5RlryL
HzSAkljXcCNe8mliqsUjLIsdcl/yCUzmlgio6fSG2HrbyzQgnxqRSj8Cm+csgKb1sDpuFk9EyZ47
aCInyTMZj4OVX0TBeDIxR+9HLVv7q06rC1xMjsT4QOwbET5Bkr8bhg1yACXrdeB9DH2akE7sEnrz
vfVFeoR/SAluDIzHu1x6L2sx6zsSmlZ7F/QVHkeILV90CusbxgoOw94Ke8rGTeKvPa9mN2wcCwFT
wq4f59lwzqvI58isbcH8z0BBbWRwqNKyH0IseVQH3aYmLRGwE23Q3tp2V8ewT+xPPVXkjvzOIEKQ
WexS9jqK827ZKVMOu7HyTppoprjl4P44pHmwl6VufnFg9B/rUoowKVmZqlb4IWmy2YGB9MRgy/Ev
DCiYB9Dlmz+qQJsOoBbvLJUF35gK3018k1AOuok+1lxgJVYdpdSYXkqOtMRsBva847np9gKJyq5b
tugXHko9NIo8281JnSG+ZhtPlFZ+7qnpwzbA7a3liRVrMztJMwOUJt966CNN10DAF5ZFbCMolSbw
tLvBWhdQthnk97K6qnJsUGASj0IFrlW7asmy70K4NlmGec5C26XHhCGRXfYs/KNglFFlVYRIv97J
cpjYdOblIRv04HZSKQrSJnePJWHcO0xaLJigPM+5btz7PrrUvu8V1DCRfukxyMZNuwwlhV3n35Za
JyNF9OLOqBKbTMHAek8DoPGI5Om813lWv2uif+8sD9HA5B9sR5HVBfr5GxlDPfI/fT0tNdJp0ksY
Ck4O+HzVpBX4Gti8hZdimVgZYgZWtpu4W4TZqDfhc4hI6fGvHTrx6q0vpu15G/V2Nw4NcnRlwb3H
ERpWeZCci7x3vpS9SsI6JcWCmtnQI60hnHEnEXOPqa26S+sWDU9L7x3IOPMiU9r5FphX3tN/0PV4
tNXo7yYUMrf9QL1d6BMxD1v7R/m9OAUdWVnImcnMLXydiEiOaAUpBMfahtE/a535UAweHQEhvw6Z
Aqlco2bWcU6ccfDEWbaIky/cjg1YK8/o+KeHtczSfZp3H5zXKMWWZhvDrwQ/NaOYsOtN/fI6DUjA
6fdcLatOXiilnnOt6yJPDt4NkP856tRK4dhmuEVWYm2yUZNxM42fA6O7zsZC3FdhvmCTLaNisu29
ANwezQwAXjNlMKzrZBPTmsfTzKDked1EAQ7TjptmyS651rwPKHpQIWZP0jV+WKykQCWpjppUoPhv
zXeLvvjJmhr7W+9UMtZTaSEpr18UU8YfQtQawYCN7w64EWeKbyXwmK9u/UiEnJ6GLTE48SB8BEBo
TqZQTUR4oa6fHzsDol5Y+UlC22mY573T2yRBF3VtcMZRzqEcreCRjAJnCFFBtNj1JlQ3DE+yQeNN
qHeuXkqS7Cgl1xzvx5KSJmnzc64lCWF3k2tTWBultjkbytwISQZCTjT5ldGTDJiJWxO2yol/4D/h
E/xhbvF0Rcvi4efZGXdReV4cNlfMIl+TUozdodTKdKfc0Q49j8myU6nzmnslr7rxItmSUG8PIhzN
rRcotiCNYPRCGvTT9k5Q5cFbOJgOlXDamywJrpLTfITQcPSmDinQelY88FHFcPFUMnlOAlIp1srp
0CJ5Z2FMw362Sm/nkUpzFg7tvy7Q+6ih1I+oTBEl2d1FptNDUPTf9DrniU8WZxeo5qGzRRPTmPFO
DemroacN2YGzCw3EtdbuZtPGJm73N0Oi4a0kajZC8IP3XYfcgzDQOKqCw5l0xv7UDKlO52LY8iic
b2JOgodR02nDJXMeZe3yuUwNOmfDYoH2lnlYDNZH4kzGEzqlEi3eMsuoGNv5u9N70xNrnxkircPP
oXfjWXY0o3SjAPui2deKVCn6LHmOIkEvwaS6zdUeqj5KVsseYzOfg3HnpUbthYWeAT1lfzSCtd2X
+UICIplE7yhjrXqTuq9fGfDhqTWWUvvSurW88/RKOxZseORseZ6ChMVc0Ss5IgEuKbIY28lZana6
s+pl+aDO4tVKRf0lLwz/rp2t5LoO2fhVy90fqTQYwgeZ1p872tAPK+yzyMk9snkEIcCffOWM96YJ
WeBWKr8lD8ir2wNd0BrcOEqheF0Dd2+0GJlit8xVLMwc9wkMfLHPBYNJW0+0WwN7B+mZbAZHXKnP
S+p8okJwnlDEtZi6luHIe7DsXNkbHK78l9l3WeGzxnxK9UpEfWbd+UafMF9ttKioEz8yPNMkY4VD
unYDHtu1wDXSWu2GKbuhhhgUKAfZRhJJ2Hi2G9af0GXAXxzSZFZbk6gi0YZeGDVN7RohGFDsZ9ZM
1krkua18kYL8za7z/Yn8TdIwMavQ41tEkUQL68K720K6vSXKVX+e+Avc2O/G9XUsiVblNU5oGtGg
zlBrLP3VGsV48Xh6ukgXM9GzXZNfViGEjNmwgnCQY0rFtMzkOJlDPbDNb5UQq8x7XbreZ1uS3BGW
YzEcBTpBxEaKKKYeZSXKF62aIkyB6skZBdKGRi8BaXIM87kTWvBSEV35DdFUgYkMHYeK6akhOi4n
LNekOue7tVNACbyeg7cy2aIpQWsRTxb8F8rrHSOCh0WjrEc1qZ9F6Q4xIq/5kJLq9KDSyXwltKpR
+G1YsFfpGPfIbYw8rDrA+b0j2U9Zy9p70PrTq2bn49nKOvoyYED8qyQ96xUdvn6r1/NyMAWzOQ6v
vfXQA294JCuG44s0kuBG0zLzY6ny8jz0/vRkmhbNUGWOvKVtw7JKFo7fEJbZZ1mcO33BSzlvwjHM
6QURnzJIi1s6/AP7SUACwU1hgEkiAHV2uNN1sUsGmRbYzPt7TPKYg9xFmDuLNtSzDmX/XNgslU2V
LT8qURvvicEEj52CoAM6HfI2C4KccNYi715H12kRwLHrpsSfstkjBeSwk+/AThUHga5QD2mN3khg
YqdpJtFP9G55QUHQ9FT2hn5p13b+hPduwF6k8jrGw2hHrrQTlpNBexBlJ26dhVilOjPSHTmf4oA8
wY4sUfKUaHIeroBWrDe6txqb2Cyedeq7i2y7eT8OVP+0M72f6WuPCJmmyA/SiaZ9W0Sp6OvrOARf
tQnGH4tTcnQzZ0BHtxrXYOLVwI0Hda6zTm1m+PeNctVpRolxdjUPd4ObVLGNfY+HJvAi+s3y3GM/
vGJ2Ki+IgD9wtBu7KVn0feEvX9KlziLTLjkZ+AVtRSNB9NHJ5UXLrQQzvJHthLlaO0QZ5MhOoo8m
uZgnkiXp2bRlQ5JY4K9xZikjRubsEbTYUsvqq3zPK3uJOCpAtZEEo7KREezley19YCOoqrhxzKl6
VE6Wg0pgsymcskXntk7lRfO6eHYY39BjNag02mxvlP5KTNZ6i0edf68nD72lljuoe/SBp/Il6M03
K2WxJkB9l9vWGtMp+RI00g1RYeXxPGdp3GvQBxpPa/cmk2ZShsgCT4vH1cdi1tqOEwWjvmLaXO8g
sFvEIHavou+Ke4bgOCDMI4XVcJjwcX7WFGMQ09LeNjz9Xl+pkFWn5QeBtSxU/vilDoruYR67B/xT
1RIiy2FrN7aDYFZpdxB5txBIMzt1jW5eELZ/szVvvLYmHD3J+h/mjMFo9AT2G57PMUxrdZmEUCdZ
df9ns/o3QuRvxtYmAm0kNf/72PpOfk/b5vdz69/+yG9za9RJ/6KZxVGG4bPFmJrh9H+BJPa/HBeu
E4MocPD8X/+dW9vuv0wXCBNye/hbFqPl/86t8VehvICftvFcMW3owT+ZW+Pq/+PYejODoaPCA79p
Kjjq/CJnKfsR6uYY5PdFiX8ziIAOKXTAaeneEalo2w+220FZaivOtntUFlAIwnnK3ahMpnZWt91P
iIVXbnS6IS8H6zH7N+nC8TEJ6JGLtC8kSBWC9tro8/1AEOg37FUzDi5Ca4nOYP1grTVHo02zsM0Y
p0yHNqAoqtmAznXRcGRIUfOEwTYp1EzWIWrY9Ewd1YFrT9dIAW5/RG6THNK1XWMrqPS7ssyxCzeW
O45MrSUzgrUSDA8o6zRoetqHDxUlplPBiAIkwi3ZgPkpJ4buokisPHmTM36eNxcrfdTADdFEZo/S
88ss7lu13E9EzwXs3HPNjFbwi2mHrXR3+64SHIUyKC0JNvgpR3KSzu5HPk/Dp35ys+LWMZVGMqTw
7nKCfudwyVWWR5W7MCD3MqRaSUBeD1NWKGZPnkMec8ydWN6YDTWhphPlEy5oqp8824LESjM7KSFe
ZdMpd5PsZp2VegMeyzHAtZV+4ug/7QI6UE1E0Vsj3MSwhfeefugray7+47QrYGnieDprfUPLV3N8
gvfqZEVuXM6chqyKgy92/ByPp6eynsYurk8Zu5W3vOPR79x7fompRyYSWBVTsak410dr1+usrLVW
ZD88WYEwI9v0yIhi3M8p7WOnI6wOA7330K1AAAjYLtPYXIb2oaR2Pi+tjYie4uoBLc+8a6jezont
LdoWRep+m0VgxIpD8S1I51WE2dLWGeF9COOxoTSauNgpIXhXvUENJ84AQ2cGiYHT0KfacSFsEeEQ
b8S9XXZZe1obDiehbuVLSnimn9OsH+vevswJ5Pk8xG7tk3Er0IVsjUuuHnMAUgZD7CreUy0aFKae
pgLxgu7UY/zb9hvcJ4DcK/WsrSNLqS0TE8FGey7aRAYXV6TZt7rzFoGs0iOWvvKXWrswA085ffiq
vUXwnV+mZshu3KSZmSBmLjFG/UyYKXLF5aTSJXOi/ud+oFWuDjmywGpxBLHJpHYwlgGlKlHVjA9k
7e2bNM/vwZUbK/PUCWl0KxPy7bGxe0jPxZIPDJaJgo1Egsftsq752GGwsK2ozbibMdzRDRLRaOC/
C60J0ntS6/M+kvVYe1fUBDMDS4dkxtKjU5ECv+WJs4nqLTzhx5Xm5bda21akWyYJRb2DjEbGdeXP
b2bet4chIHHibOv9I33tYn2AzvBVW4OGd0qjiI98hwHW7dBaPUiCLquHfUpL9U0lrc4weRmz53X1
zfZgJ0I2B/4lZikGRMNwZCVanuwuUO0JutvQRZAATBfdOpK8008PktUK+WPW7E/O6G7tPUTzT1Np
TuI4l+TOniSCztgXGrbovtcJiSrMB7uZN92wHRT1rkhZzZwRCG65dMVhVZZ/LpjllQQRa0pdlDGD
y7CgY8d8Unnw/aTfVUaa4CDiXnG0EmsRm6ttPRBQo097a8yq2A0K86Z1G3xUfoEBRcsF6eI2LZdn
sdp5rFuVyX0uKU8+GGoUXwpESJ8sWU3vSDQmCZuDXs1M24rY04ICrTZcbTjJNLWjyhrJW3WzPpU3
/A82eQpwI6vQMV1Buqnrr+ik7V5ziKNcbM8ROvPDCjiFGiFxcI6j78JEK7XQtYiJokdaYJSHeiat
unVQ4l3bhghaAiCT6tlgUvSC2ujV5hEmsLsnlCsMKGqOrj97D66TGwy8kyUezKw7gbP39F2zDuau
0hwk7a2a1WOT9PZthcNgCmvp1cZ1xmPA8Xh1i4PftdZbN6i3VClyYgcSx4zYyJPKR7qgDz1HlUKN
V4BTxu26GP1jXbScPFr2r/TBUFNCg4AA2mVdjrXFcMkpIjwvaXLuelaNW9svf1Ot/p8M8O/qKbzm
lDn/ez11+/1DfunLL3+oqP79h/6jBHT+hZbwZ+SYAxHyZ9n0n4pKh/4GnpMYEnJCLI+q6T+GdQuq
GwJpWNxe4P2kuv2/35BHhMf9A+EfjOJfCiiAoOT6cMigUHOhVfyieOZFQpux5bNbHJWn7LqW0jTp
ilh2V0BkmLzcXkR9yqck+05f1QdZnZfzs+NL99SvQ/JU1X6y0g+wzKs0CvfOlL17UUVAftNQaYKX
rcpgPlhS2zesyW92X9e30ve6IobXMQJ28fNbU/lWVDqS109MK/NJyLcRocTW7YDyCSuh3u31ya/v
y1Jv7mmFjo/MU9nQ2fDKF0lS7NnWpE9TXbrNm97NCertTEPx57fBY0X0x6M0hxfXL9cTaa/q4Bke
G0DnrI/YouSjSjkKWgFff00GZCmzNZBUi1JC0U6MsFGqHSnKG5+n7KrnMefc5Xk1MY99S9Cwvbqw
lzrR37uENL92dTmyebRI/Cw6F/sg8wwqoS57dJTLuFu3IdtpeqPoRM7mxe/6T3DTBjqxhJ7K0J4s
M9I5PT83w1iyCamPUikYF9ZU9kdAafmly5sC1Yhw+s95szIw7LiHn6qyqG99JGt7epcrY0cIoBQW
VhpXk49kC42jD5RGy+/hpJAoWqV3c1kUew8uXrxmLBsMwIOjPrfzBULLeGk0Aw20UbsAamicPC1D
N+5LFZTR4JbmnS8VbXGza65ep88Xu2+WI+hf60thW5QJgTE8IfWuFEoLrdw1JrybUGamf4JEMl5X
o9P3neFpMWts84CxzXoaFnt4J6uk+rGYvf5sIh6i26eau7p3tFsr9/apow9vXCvwUJ1qgns8bvUb
nKNpb/hb/3Yw9d2MDuww645GiIBU37q57+/oOreXAmBeFFjbyLHgwdk22CD4alnFKKNOGvTRADc1
VQTouoRc2mQPTT/p+OeDbtgthFGFtd5Oe7o/a4hV+8tkTv5NM+Jj5ZQibm1ppBED4RpLLSIDNie1
VwZW7h0xv8WFTc8mgEH4R4Sg1feiSYt7ivOGZ4rTeOkUAmSQk2hf/dby6zBJe7pU3Yx0I/Q9Z7xh
dOWxfmXZOS+ZJDEKKeJCq5y33Kj1V4gu6oIsQd9ldj9ec0/Q/G5FNz1ILV3fqeuBGGuVUDdIwdLn
wC6duw3JIpl5HqbJa+5zvR8ezSmD6OJYw6bugJfMM8n0wGnpOjKPZXbs9uBFw35utBmOhZucrKJI
TqQWyJNDD6wK/c5g6JqoDgGMS4n2wjIi7lH7rEekFTqCsNrZ5ZrQr+SvNvOBeS8Arw6dn8yW7q5O
6/ROZrYZu51rfa4QEeDT0STswSTDmUTjYXly3dJKIzw+ZIAVRnZ0CA49jytCJOp1TFPRpHXOtG8o
Ru4waRvQ+yEf1rcarasXz2g6zMNum4jI7rqElSQn7H6t228VLnbm4G6trtbqbbqW0iGXnGE30dFT
j6GmMBzgNZVGh9PKDRRha4H7cq9UB3cQ4qF6YLBovMo+aUYaXaYU3b6CzaOrq+H4PixCOrb1qMy9
nERaB/CTFk6DO2AQvf6UAI9c3E9IQcTwSPT5OB3hQ/K2M0Q2e9g3g1/USsT2ZJbzkyxU6n+10zLJ
GqzdlT47n+qpmEHswsHRyj25c0PxbfEYulO0cYskGxeb2//VAX9TB6Aq8a2/qgMu7YjO+kvzh0Lg
tz/1WyHg+xAO6ZIENqIkD44eO/NvhUBAHWAjhXU8cCH0XDbb1H8sAVQCbOI6Ggk4Z4hbfmcJ4C+E
LQJvBvAH5UJg/JPKwPrFiWNs5hSTPAgHNCMVsvlLYZAvch4Zt/BaN4kHMrvQjEcd/c0VyhWUgK7w
h9ARnv7Ra17y7GWBZMLdJGdN5sm5l+aEkd8zLkDpmgMyDIarkwFKmnOo9uwLdMlexkq0a/UhiAzQ
rHdGo43fC2kabD5p9WIjpdgJTPlRmtXJlRMR5/LG9BAxdJbcPJhyPgzMVrdXxH0am1H9s3wsroBt
b4RdLgPXlD7THy0RiO4lUC4hTgCl1L2b9NDolzFgcjdsv4vv/btH5O8ZPj8/D6wO5hAqQFrwm2vp
d/QPU6N3lZalOGFsB2CQVh8ps/YIzNffxd79YnPbPsmDEoQHyXeCzWj1x09aR9cAeuNWpzkhK9ks
CpSqCM8PvpXkT5NZ2Qda9snjP/55pNCBw3B5mHBTbJCO3/08BMr9XDc9oik3g5yrjciIkTR6UIDV
lj77zz+NYRDRFNBAXe9P2JHAn8H0FdXJYFksrzDs1r1ypTHfQbJ4/uvP+pVxsl1PkKR8iAdbfIOr
//GncR6sshpK4anLVGVFVpb0Vdx1GKp9QPfUYJm6G+VoXOa+nI5rhUYPF7j7d/Gt2xX8HWqFr+Fs
biDP1jkleH/KBGdq7y31aBWnboTvQntpoWeTJslz4IpW/5sL/OdnyNH5QCx67Fu2/WvnVXb4bFEQ
FidhrOtD68s+xkM0fheZKLPT0ufgjr0mQF3+1xf7f/qRBH7gnoP448Fl+OO1LtNizlOXuEQM2BOW
FO4mND+yIJoco9A/+iwbEa1u0/3Gn8oqqP96OLJzbTamLKCzanRpzAST0kfocrlJl9n69Nef9ct6
+/OzsAVzKfHDgvX+5Z0s6sHVpMYztC7rDIAv8epzlVvT36UAbEau3z0k//4cyyWXlEWGx9X84/VD
Wt1LGlL5KdGdiVnkXPCj7IWpZjJZzlOW50yGlRxaEPKSOfROxyR0/evf+suzs30HI/BZ6AwXf8qf
uvZQJ8u8wwlzSib0G8KANhmmq5ZeE2vBIp/6DhFh1vI36/nPS/jLT4fTyQ8HvcIe+isVC/cSlJQE
QWvmJ9arLNz6jBVuuRVFkx2kJRiNYoBFfLzlg3lRMo/LdEKupr4ZbtXJr2IK6nOZNMkx1bX6nORU
nQlZ5Q9/fXX+p++5uQU3WlFgB/qv6VSU3+gIPE076pbnfizLaEugpVXALarwxx6xzAsPh6rmeTsN
MOIVldZCYdkkyWksW/smGIKEOHPfug00t/f27pS1Rdxmgfd3Tto/P7U+2R4W3kWHisT99avqQTO0
KMrzUx3oSxmVqc/Av+n7YffX1+SXt54nhhETt4zgnS0X59e9MddMLgqmpVOLHfkBiAQkHCRwzk3V
287TX3/Wr8v5zw/zPJ/UXgej9J+yjhe/R2hFNuapayWRwX4yxchDRhKPvXKP3JyjB7LCG3Dv3rtW
N/AoWmc4/N2X+Jmx9sfH1bdQ+m7eeG70T2Po7zfMSgrN5M1Ijt44y+Xk/bTq0Ge2xCkdxfqgWa7+
4cCPjf4/e2e25LaRbe0nQkciMebl4UwWax6k0g2iSiVhnqcEnv7/QLf9S7KPHX2uOzpC4bZVRRIE
Mnfuvda34riHF8PZEK5WzOnQX7m5wEwcDsEJweF01w1K9ivmvBUn3azrY4YdOYaPqA1OUVzLhzmz
gu+D7rMXIvfm6zlrsHarunEfvVoj1ctBKA0YU6pF4SwfnD51H92oEofO9M1zhFe534gqXvKnx/ke
nZnVo2qOhtu8IU8sYxb/jgEwuG5pEDPk1kXwHUSdU50KkthoH8GPOcwtAqtdAvkTiYy3RPgZkKvR
mtTSfgOdY35F6mY9j9ZFlIFc0FijdrS/Z0Nng1bpNOLJFl3SNeOZ/GQ7LC1mM8RgcVi8Afc730PI
C3Jd5JSN6yIQkPXHWIU4YyLX3o+YuVpG57r98D0mZwWSsldM8o3/QDAR9xtPf5ju0lKhCUFUY9z7
smXtFG3vvc524KDrUOG1t/xs65S8DfpX9raOx5ZZYZwZT2SBTNfsM4BK6mm8vVzewB27rSwicV9Z
NQqtEgYPOkYzBDEkRR5dQ5PN+209L64MjMWsVr0JlwDtuLemk2V8AenEHVlCUEYYRwbvAecW125y
/GW6IUT0ZIOq+tQ3qLnWMqR/RkyAV2wSm98zYvG4drsK4UDtxe+NIJltFTQNkBU1qwyHm8OmkISW
9ewXA41mQ3Jtc0vG71mYy51Jk/4NXgy9dx4a0DxBnM/3DmMDfHppo+8IXNS38WSD9/dsM/6SEYl+
1LOZvRAJaxP9vtyH+VjCTu+TEUFgRCjzZkaXGW3MHH5zMdCjXHl5N19zVsb1FHD0mmCzDPM9808h
cKRR5/RRS08o4QO0MMjGOVi33GBbAcvgLRpDcSi1z93rpDaZCUGky0MfcWJARmM8uVHKBROhPV2j
c0pOqU8Sz2ykG93Y+hYuXr3rEs88hONcbmtYw2ukSs192EV4I/ymuBpDtDMxTTxGZAxYgJrMp74W
7oEmb/AUdt62BPjxVrtFes2sM10HgePdMojbQ+Oq1gCK9F7EifVKh4DkBzQbAvExrmfmVsLQ81py
5lubLjNsxkD5mmS7LF1zVeWLigcSKorplJhqF0W1BUIYkBfsB4aKRs/ELR9pI+V8rCz1mzVuogxU
DXop2TKh7Bz7tfFa6zrM41u8EP5qgBi+GaBgrNlwrB1jzmc3cPPt1FbyioyiNSJVZ111tG5SlZMf
MZvRKpphj6uKxk+sooc2mt5VJd+q3mjx3eXWZnLtAo3pII+G8D/XLu2RFdov9M+apMGgr+SX3IJ/
Bocf6xNNR5eJJH6Mp2EIrmCah587NDq0tiZ9irKcBdheaiQcVTdubFko+dv63oyz9mQMaCjn2T1j
X5j8amUDpGsVzdKa4eW3GtnaYYLA1sMzX7DDjHaSk1naIGQCI/TOvZPxhsoM0OpqmOT8jBbV2ukx
Iyy6o1991ZlmfUuhZEebkVRO2Hwie24YOj33UoyPU+lQP5RthUaKTvZ0Tfojfs7c9XZ22vkfSR43
R50haIrI5uVFqaKvm1A8+M444qzHOGzNfb9d9h84aijIydyr6vyOttsMcdCpM4BmhH2vZFoG62ai
FknR5Rdp4bZrV3gxSxEuXiAy7AheqDwAPBx9eu4/pL9TsVOzsPf9ODBBbiqZ3zKof/Gyud6YY7yg
oWcfhVZWwlSnyWsnOyeR+RXi9nRHz9m5E71ud67Xh5+6JByvrB6pXxyMp2TsRYdddVRfrEQDQHQK
2cbrgXXyWKgmOlnYaMOVBER4mAcAmquE2oEjQmbcZ1PjbfOp+VyUvrMTeTe89jZyY8Jn0mnlFqZ8
wn/qfdLjrOa9cIC0TT3yyqDsqccKXR8q5KE32qjd+4bwlrVVltXa6GoP1caoDkqjd2T63TffKsn8
vMK+cqo7Qm1yW1wrcmNw7gHjtx1VUMIU3r73MnWfBXWAnMEKLA7/SWTTpmjMJyM26D50eJv4UtUj
ulUo4FGQdfggBvurxtx072FaOSKebHHt1xJgNrcAwvsKN2vo7EfPyHau3w3k28b2czq15V3YtWDO
AjM5Bkktr7mC8cbKB4j1gbkf8DqdDFVck4kh1kGu5B1mIOfg1J51VmHYLrRJ5zFwanOT+2PJbHiu
dtnc+m/I7Io1C029HtoxttZ+V6JlTANnkboV4LSKEaxDSDLjSyE06Hrhl7diDij7lYUzqWqNpNii
CC7RayWQ+LK08F6d1KWJU9bhlUZugQs9sLPjZKjpW8dx/NxZY3/f2cAJGMyT2rc20oI9fYHHAyAc
nBtO7NU+zT2PA4BZnjJm/TxdXXU9Jnl2V7lOd+u3Wh+sGmHfOlaIENGKHUHhGavBDPyrstbBddIX
OC3CIX9Pi9pztwxs6k926NQ7103S78rJ42BdeVV5JLuVXlKSNS9eW33J+dVbcibsDEHFLLN1G8zD
G+kSycgi0BrHsCJ7jM1VQIQh/2MDdA1fbAAhi6HOlm883qa5/DoaqtrEfYUXjnFeuy3CcLr2VF++
02IeTuTVGBtfsQfWkTXvJ/z0G2ax3Z0phvY9aVLW7JrcM2ywqklDsJi2V6fOcyf6wmu/uuA6kHTY
uHS/R/iC113MJI0Huys4JnXG95pYpGvtVBLPstM/G2EwvGMI9F9DuHYFAeDKyKDBzT5RBM6UZ/gL
6YiQUupifAd4rpAoucMnZBbxjUhzDPT+YpFPauju8eKbp4oKb2hIe6TSYqi3ZB0cnTLTFu+q0we7
SMQ1xMRsk6Uje0YJPAMKVd+DS2VxipjJJzUeRxz5J7PJq36DcbpkOZvm8NFH4knChyP7o6Nw1qxN
ukPcl5li9Wln44m+v9iptOR7Y1PYW9hBTxXzw68VZyNOGAgMCiPnKjR+/CWQy61MR0lcwwCVxcqT
jT6QDB+8kIpgvRmyMr5Ltx/PhB6ET04xo58v+bXa1urZLGIGlAvZAMVYTDkpFAbX+JnCmADgwBXE
ttcPrvWCahLAxQJJIDORmyp/EQs+QfjGg4fQGR9PMa8hi+/gHiyaK5ALdgrRS1OcbDzEUbCdMFz4
nLFRbUFqUDp+TzNJ+95YOA79QnSYXMB32pC7HtBDB7F+z1neZj4FBSIlX3ARkp9ky1TUjAfs/LAi
/FDBqfelsfECbmeRaPNqcsBtzOYbgwOMwmXv7+USwUoAVbbHDK0fa1eihOj98DopBhhDgmQLQqBW
7jDIE/IugRgs0qeYAAckObQHpB4mnuem31cYqt7TjvEUZ3x2HQqhk92X9rZVcb3Lx64943lPzimD
1tRFFmdRcK05VLvIwvXt6AoTToJ2D05D2ILIB3yTdbWBZ4TxiVLwTputYHqcVDu/gxC/gDyqJVfX
dOMS7Kn6gqI73zUL/KOr6B2AfTkmY3vfW8Zb7NrYyfANi17dFAs2xKhfx3y+7dPg1JXuc9UE1yy5
NIwW1IjbzN+TOnwxYZB4sEgIy6nWuK3elIjHPdNwRGOdeqfz1mIrC/uNMkznGUpJsxWlfNcL7oRx
EIt8JI+Z23QbJdEd99WVjjwIoBBT8gF0irxQVByDEwGM0v7TbM1fNZo9F5HebrHfjnhhpvCTqFqC
CprGT092U0EGxVEfL+wWc94OdfwZUS7Zp110dupnAcngqfZrtY2AvngL/cUbmc429dB/NmTjbzW6
PdBiY3OGyGEcGBIuj/kkTg7D1M9uaxf7OK9dH4vr2Bzj2qU9OibLccJTkd6XI1kvglgIgndMAKXd
4BjNDjvvA0Ib/IIueraTUWU0dFB6t77Yy0GO1lXn522brIC66buMGRi/T9Zp8oaHykUxmCx4qhB6
n9p5uNebFV1NO+lWIslAqiJMg+JCPXTwrN4zbrq+82J0zeUCwlQ0Td125MiZKki0vQxefQZg0FFd
HkBelREDGYgcRKTPQWoDQpJjUcht329Klhf6TMtMYyr74LUPOSAERs0Zo4Qpl8QzelD2uBfg5dO1
YeOVkbFn4MyvXXGTGE48bDs1cezoPZalsU2sdWEupxMz1sO3ZJYjmN/JPAszhQESNukpSsfgNWQm
6WxC2zMfzNbptnh5OImE8yDe0fC4znUXDcuRV3XltI6cqv2EzZrSITNcsa9MqzlS2/OrDZfgk6jk
gL5xpnDeoWHgfDW63RcXZdEmbij/VnZU3TnNvE7NoTgWFfnjM1v+UaYtGynAG3wRDk2BlkO+33v0
CJZJzeX1hso2thPBIsfAxdnEOWHYC8/OP1/+igKU8CBcjv2lB7/Yc5z5IK0UE1HecQbTjaRLAFTz
dpwpewwOm8x65sJ9VCkXM24iZyWirt5dGsVVhqtVajiOfUrfOMvxc63iOCIfQfEW82hMT+7cFXs3
d9pPZdzxAeKE38g6Mt+3NF7unDgDANkLvvUiJcEyGHVzbPB43aUQNHezERFLk/bzta6miXhq1HpH
O6cXXjkc+xAQQgZlYF3vKdU42/f4aZvNkAZjuopnuiI0L1kMehQUgWjUpgTUVx/TQOQ59z8g47Mq
w+qN5l+8h81JR9Gfr1TTtCj/M9XRkqkDZPIFit5dl46jfc4ggt445ujgcp+ZkAHRuMqCOcW3yX1n
oOPYDQnfgDWTSJs1pLJGXYs/edBQq9kaquC7gbGBpgjHrPusX65J1jNlY9x+z3elsSEPXDaalGsb
ou+1LEyEhEsrru2L+dqbgvH2EvlbAn7euTZ3QGcDSlqpYfmFGTiIUJLkqjCwbqqspJ/voXzUyNk+
54IfSQu7OXrF8l/Ljqtlupob1rS86RomLvcOmYzOBqogCbGmQ8pi2qVqH7fc94CLzLPp0WfdXBpP
piGD7zPMtash4W6yZn5poo3yjVZiYW3Yzodn4J7mWZljcBqioHwLIqHvFqVStTIiHmHb6plNjl1w
CuBMvKVeS+BLrQ3Qfe2QCfK4ssB84HDAJ8SnSvsrwOdKBRyMxZ6Rvzxzbmk+dWq5vLnI0hMg1fl6
QJD6MML4oNLijcs2ReY659Vb7ce8tO7b4ZR1U3DsaLnmqx6u+Ns8hetQ0JHran6OtKb0isX3vXda
2AdmzNGjq74WgCfXimEeMGsijkTHt9NhbP1Ua57AoJ8UHQuI710zdNuwdKdrixb4dZUPwWszooUC
ZDubV1kozVt04YTQEasbrzpOPs4G8bHaC1Rl+GSbEdL0cheM+JzODjoQxJ1LYF3qd5wJcQRyl3iz
eEdgXL0xijTKNbNYnumycYINXFd31wvWR6zexT50QwNpahB894KKD4xci3uwERN3HiAXOOdwaKkD
pvmAu4P4B9/j2Ocj6P7mu5yT8Xub+nNbxvqLHnymUC0FeUMrFd9kRFnBzlgl9dlsh+KG0KYeaO/o
f1SDHXyP8b6dBifCW4IGfby14xEWguMh8IQP3hA1VAevieuQRQX5owk2HlbzYZNVcTn91n7+r9Dh
H4QOeCps84fG9Z8SbT+9tVFchHAnf5Q8/vvHfjCRQPSHJeP4aoEWMg76XfIo7X953MeLxoGW/+9y
R4XcEbCQ4o51kUouuZC/yx2df5E6YC6xJoxyGLX+RyKHn6cKZNcgo2CQyLwdtbb809wWt0VNi6qH
SDVkOaeKWPdLA6FzV3qs2y8/XJi/GO8vQ+D/386/vBijRAbgjIhJa7y0+3+Yf4eOtjOPQN17TnPV
a2GX8mmiL/+Ssr25K1eK6jVkv31TQ9Ic/g8vbQnKKBSk7p+UDLFBJd4BqLifScJ9pR2DHHuYRiIt
PKQATxZ+OVh6opHWchZmVfn7l//ZpLN8crCSEkEDwxS+uF+FFNKiQalI1LjPcgP7i28MqNhF18/V
KS6Xl9O575///jUl98gvl5sX5VaxAdq4JnKHn+ecRQVMN6yUvHfYTZ4KhlhHCQSw3mF1Ui9VBwjD
jpcVtKcv1O4jyswPt2rjPWUX16Emc21feWGiDzDnw2A7z7P9hp4RJzlmbWFeMbKADRMvYPFVWy39
ag2U0foHUcjPo9Lfrp1Lmxh9EJMBoMw/fwx/9GmxeZG8N3tstsD2bdqHfapRISKkz+KpvCJxof34
+6v385D436+qeDxQIfHC6pdhtGtA2ESUYd4n5mA+AfiANe8V0XeOlvh0zZkDgF2ZNw6nhHk1wbn/
h+nXnx9MGMwMaZnvM333f31WBqUKLFnavHcNojbi5YGBFKDvwqE2/2kq/Bc3imUS+IUmhRdEzPDz
FQ4m0kqE6M17O1b6wcAOnu6GGPwjrT+r/cBPhdJTuMvTSfVHQ2nkYTESau9LhsrfX/i/+uCWsFkt
ySaz/nTXShsAM9kq4r6nlqjXthdk5RmzNvVMXKTq//CQUB8uzyX/+7PIy6wSERvWIO+bFpMxvIts
XtuhLq96T5RXsAPto0VFhEM95i5nHmTecJrVjGkSEwGomRDfYriDfghrIgu2qSDNqksHtSVjhbiI
iKMnv5UieYVvWo8nhRUn2/39JftlXH65WT3J94cdx0Gp9SvSOsnCoPfhjt4TVINOfPYIPLjcN7rL
q9dmyYTApsO6N3EB6Y8SgBHPWUygjqJzPOW4OWLMeNl+Hpl7bsxAMAFshH74+/f5F6sg87mF2Is+
B9X9L0+ygY18cOEM3jvM9uPV5TKbVVO9miIwn+qs+ac7e9lBf1oC8RdwV7PnApxnQv/rK+ZdKBNB
e/l+rKzyyuly5w1z3vKHhbuoF2SgN5YL3AklQ0A/Y0gitA8QAh9jIkwrBAVT92GVHOITwQogDB6C
mFg9zLzcE5dLhJ+Izcvk6HZuB4+wHNPyz1TUsEtxVmNX6curv7+MfIJfPxafhO+ZTDFbInL6VcYx
+6lCLzyF99ixwMMxUG42iWckt7WVgXgowMmNuLYG0GHSwVm2JjUhiJDhh8BoMn63YOxUcQBNJGDF
vPN2w8VmFrltb3KiDwHGGIEDAU5YswLJGY3GMzyXsNsIj2SQ1XhxriEJo62HuIUnI1lsbWwBLvO2
hbdpI0a/p+kcXfltnpwZn5c3Q0IUCQOBRoCLlJnx2URORMbslH0VaUtCDXUA/a9pZiI46SH6mJxy
ck/dFBWbuGP/PqEUyOnSWUl1R9Izc0CgTVj07MWt53gkbK4GzzOql54AhnFjBZ73qFQdiVWdYIhd
cdKvsR85IQ44zLtTs3Y76b8zuwWHQ6esS8lYx7e0qnsUJ0dZT7FxDAiBPsuQ8yfzLI4tOAQep3Ew
weZhY2jusUrgPEycrnBomsoUriJBsdUdAQsZzCRlR8HGT0b1QsoC227KPeJN/UJZL0Et1xz1w+0l
bMszO6II8tJx3uCrUiYUPqsNJSAL8VCxC7TxxI9NHl3wTUBsBCxliCMrbeI/PIMYSnt2ZhNgQAUw
6+KatC4WStcq6zPmRoyV4W8uyyrW/hHwc3QzpKr76sPfBRArI7EMYZuNIlzgppE2YcQK7kMNc3kU
Yv5stn58QvKPl4464B2rJy2EuG736HSDHQiB8kuuWudzaRnOqnar6IMbRX8L+4De1hyFxUbQzwIH
G9DZaMLK2eSmN6y5sXJhhaug0AxMQElPK7/sPmzmxzTI47B6YsbCkXIo/Da1T0WRqfzJGzAOKm4A
knK8Te4x605X2CdQFKPmQqO+eHhMOUoH8gg6Nma08QTblvTW1FTVZyMaUNfnKk2w60/1lPs7gyzp
fTY7+gF4I1eacVZ5JUKfYogV3OYAPHqYYslrmiBMBdmzNlq+MWL92BSmiUTdwVOLa7FkrWA2XQJi
8k02U5vZq7XGY040etPyzaI+5UsF4Es8lCAfaFQjt1cRwq9CH8mSHduAKj1/7tYzk+O3gNkofTtB
vdplPqtRPjpvOpjVyyhl+9HOkX10F+ujYbMO0bJS27yJAEHVPKH+Os8tfv1UO7w5ThwkCngh/iCX
nkM65eVVWqTyqRYLYBCGpzp33cD6zHIGpjSzEX1sTLPj34QzLK8V6mfzRoqlcTJ74Bx2vsPFaSQ7
NS1ri7/RRGZyA9CEJQYhnH8OazKylFfqh3/7Nw1W1MsaSQ3nnwOHTdRLiBUMSh94v1oupWps86lt
+yWneHm3OQi2ZGXVqBdKyk656p14uiOYl39MMzhOtwXQt0MYDuYNTm7zZiA74moitOEJAifpXzKZ
HvqY44aVJfIpCSTbc6ercTMt1SN2G+eNJBo+FI8kr5RGQ/sRM8x+SJZ/Gui1MyZMqD5FOjhvfrZk
ZS7lUZWx29YqrF+TNKf61YgzHi6FwpzWyBLAj7lv2Lv8M+YQvtqaN6Oln3zYVsZUMvYsKB/1gmaJ
eKQxZYibFh51SX+N+eVaLu+2KGs2npZMJrQX+kEkgiK8JDN665hp9Qqgm918SqXRbIMlzM5tZ3oS
Az2U8li3De8ckDoVFN3WSZ9ro4HZdilwwG0RdzEn3cdvhx9rKX2mBE/sJnMm5oM2aFwGAJWLI5Qe
DOFsuYMWycOlumfb4Q1WUie4gYxiTFCrm8F7ZiBXpye5PEJm4CR6N+hmKYPYebAoj/e+PbYfmWr5
jqrAp7jj/ypw4822sB3WNtw/1pEA8HhvTiaFAbj+o8s3fVO0lnfk45RX1mC4D6BLmQ0YUca7xSjV
HMaRHRc8OnU5HP0bAasUeK7d85sBzuo720+m/roaQyMC6hJwBkRRwl3bR2RsbQE98GbI0UYECbaP
P01fwXSPvack9eG+dbWI9xYdQqg7EREgUT5yTTVYG44AyyKQZpZ+mGIs6ussJYbGRf90ROXAA+cu
L89gyF8ny1OfgWV+TaBPXamQb5Vyvz7UgcW3GktivJg2LtdhpASlURe8GNGk7/QUum9QTXle6S3n
W4kG0N2EZKqdabvyTi53IrIJEzJjzBLgmNToWxMmtkVNW4ftnSK0ezz65fIFJbXN0iTLoD7kjale
YnikeG85jrZbiDsURdJHSMU8KswfJ0FuGUYn80kaPmcAwCdsTdo3kR43XGRLQsFZsc6rDB6Cql7d
sKJ6r81R310+ITsRNXK7JGA2DOD3lwPvPBrV62xaPKIhR1TcVKlYjRxpn/qaf8kIhq8FWxwxlcAh
st8qxsu2Oc1YHOnRGtbR8iM+++xUxP5I31gxTso3Td9zklmuGiMkrTbJaJJVjvidh97lU6RxYKPO
6Xhei4jUEIb6PFbzBA/fs2ZrByTY9AnODlmO4pSHC0E/q2PUNqTdR9zyyGfSQD9EMaOC7Qgy4DDF
Drw5R5Fr+KCbETZXAR0e2l0jnDdbLysLf5tUEy04tma9fUzrkrmeQqifgfZnhLHN+kjWj6aQI7dI
kHKhcWOaN3FyWfu0TIx9GZos8pQi4XIkB3UGDSDnnrhcgN/WouXgPiSSdWFZWJvQY8e53LtgqXgm
dVc1B+3F0zvS/OD+cn/agP/2CY2A/VDUdnpNI3Npaoq+OdhOOpyicEJT+dsNAeDV/17Rah/WeTM0
B/QRCi5l5byFLr2Uy13BLIqHAiS1eYPwiQe5LkxC3ZZuQ9ouIfKEsJkF4quClWiaiUn0gHy0+8Zh
GLBCgM2pamQosoqJd1839sh/myiEmg3rPQmSNh+BW858ciK3HDdmFvJkeUHNDoORBZxmxU3TJyWr
PS61W8eTaGbJOXZXwjBhQXYji/ZlBUSUlOYXsXm+Bm23bN9dwlWyvJHHZtmAmHiH1jSuwf6wKJRh
MwS72kDXsCUIkHebMJ7TW6ueeF1smfohn+wG4QhHtRelJwo/BzgR/NgBTMoo7c5AedhoIKPUQvPj
QCa8PnT9UES3ZpuIkqEVPnekprwLBy0gsKIYptRGmOROP3VOTxESGikRb2MV74tKL5/XU+OdDVXw
sfd1fouX52tkBMY6BfN3cEC2rLyGlX3EPPA9BKCNPoCIS4tgCMy9pcUDrNkeE6be9XqK0Rd0tDwV
FcrkvqTJxHWOK77Q0hlnGO19Yu1E4U/DKqzLDt6nxh9dVck1w3Cshuya+ZGTvT4UwJCmdVZVKDZK
q/yudEa94ErNYkiRCVyjlUBXtG47caqXxf8EFJdGJNma1FS9XXKCyYrsaJSSLgxdth71bjAaj2Ei
+XoQVfBnrUwuEqF5DAMFIAeGcM3BapbFvx6ocfKlpKsjXz8gMqHCYyKy7okOvboclNOMVXa0FI+q
ipakRLEEPQazR7NJltQHdjDyTvVlMwki1u3ZicuUCAqCGhn6Vngilz3chOf7EvgBd9DlYBiKsKhO
TJUqlryONa0kbC+4op/WHAg/UGeEt/ZxrAhEDTVpR6bRLXmdBJ2AYLaPnMH4XheLt94B1+NuzUNW
qxkI99OwRERe1k2VpCyOig1zO9UFz0S21JtVoPxzji4k3wQV7atR29VrCgF9VXase03NI9QxJdjH
ARRSo3R27hLVsppnYMtrznbRQYLs+mYPrmih1fc8cZ0BZtVJa3U2fqswanokBjtzDhfTPnrMU7wj
BzbdHTDhgOBk3r4vu7bfZQQS+5xVOudNoJV88n2Tlp2jWJXo83BJPOAY9JoCyUkid9lY3GFynyI6
1rDVPevIAIfnYQ6X5eBSMjsi/+6GUhPbUORiFyKk8rfu1Mkdrxw9RU2vn/WSJ4pcMn6GBp4C/fEU
qzOnnZkkW7kwN1GIS9gYlXHXXAAllNPASqzG0gcZOsbXvrKcj0T18zf4sAO5LLql3B4zWG/uJK/M
qhVnk6Jsny0MlCVVqAGmuaBR6hrp9LYudY3MQMc3eJH9TZi48SdsreGjS42v131ObGi6AFcm35lu
lFUFzwR3pl/LeuI3oatBvQx8FU7LfGG2ZCIczYXVjiKDIFj39dJW+O+E5x8mPEsv5YcGzJ8GPP+T
vb2/5W8/Tnd++5Hfbaw2rlOGRIw0UPq7jFL+GO7gcGVEKunTENVCF37prP5uY3WY8Hi0h+m5ktyO
Xe2PCY8l/iWlTT4b8yLXodHzH014/uxPAaaxvAshLUl/95fmbmJW0m4t2zgw5oW3yIqOPl7Z7dMP
1+QvZjs/d9oceznHeSA7mCfhheGB/rmHPJst2SrzYBzamXNbWkIYtHrh3+bjQGb337/Wz33Ey2sp
zLmLOxf/Gy3Pn1+L74IAGlK5Fx2zuuWxIymUidmJvCyNdhIY9T+8IBOanzpuy0t6xPLRRKRXzDxf
LC30H0ZX8CqRlnpNcIinBt5FwLZ3LqGJlqvSoGMD25EGj0DmKneiDwcL7m+WTHtqExRVtUPCtjMM
sMKIq2CosiznqtQUBeSQErig4+ZcK9y1l+DycaY+zllicGjo4jQ1RJhnKYnKmdF0z/SVi5MaSCAn
ezi+CSbScgEIkaW9QNb2Uy3Yi8N22tZdm9+Df5q/KaqUlyi1mxevCq8FuYLb0cvItqoyJCJoWK5x
N7r+Okqs/l62ff4dbVZ5O1tj8ixpCME2CbId+I4CxR2SXGQC40GUATGmcy33/gB0rMHPsTUjXa2y
zmqv6GWVN03lEyGbpdabyELjgHOrJpbBGA/1lAEyQHkYkAdmyPIrDIv87M65vufQi26S4h75eOPb
O9FKKJOpoUbMCBFC/XoF4DUc21fSDZ2pxXlTAfAoPFS+Y8B9vqYvKCraHHnx3jd0XKid/U+JSuWD
CoWCki1a9ZEA8yYITDUewARSSRCVJDEbLSUaLRLfit7TKPMd9KJ2diugh1Rr1w7LM0akngydYsQl
NJMHHMTNRsqMey+BZ7qy48S5jS3kHjpGp7zUVFGt3G1riuY190BnlFp0O39waZBpEMMfTZ5H+6iI
vk5LIFpo4TIKlY843JydKN+2XJyII+p1zXj2k21J494q4vmMQNlvVwzA0qNbDMLYEFRNWJVBFJ0N
3J3UDWEfhrFot9YUp2eRhP0Hp6/uPTVhjG3nEPD/1uhideIStJsocL/WXbYezbG54ZzOqdbLPjh4
wRpN7avAgJHKcf5ZUbtzk1bZ3gCQu8LQpHEggTAupS3WZAu4tAq6q8RobPzbHQQxV/jJG9a2gL/s
fbEC/BwR2+dWe279EIyZPMOwukOhMZJN5Xs2tzZPD7LY4ZoqSIKbGL7p3DN2TmN016ks5vduEd3w
zTrvlU7T21gVcpPOXfeAoRJXU+c/1LWKt70zf0YQa93IGaIHXeX2BnjqvB2VOz6iDYZOYaqBaAn7
viCywiOfTB7iFHwM3J5wiKavBJ7AwQ6GfknFZuJIqg+GCpg7c5sMmzTMU2eLrAal9JTVVBuc4yZ9
RLYLcHUdhbUQqKlhj7zAfKNVvGB0SbzkQpT1htNAmzzZTeKHkIzNBG/O+ORNHeEBmJhD9G1RAzQ8
SGNQ7HRAFtlJUewhz7veZw1ymgRfGj7OkXEOze84MyafLJ02hmiCsNClKAId9zCkDn/TquIhvIED
iciuzJtivAtdI/StVYWBI7pSAY1O+n3B6LzKKlps6aIIDMIMGq3kS9KPhrOrNWvkB/hAvqiI5DXj
lE5V2DePaR5gYdubqk1f8bOlj2qgc9OIgmW4zD3nMAj0XB4Rgc06sCTRPmOPtcvRA1qYcR7GfkUs
sto7HMZPowyQwmjtHGTOCHaF/QG4MGAmGg8RnHhkssu/9gI3eMQWOn51JakMUKULMkDTpZOWaV4X
8wS11TIqpkgrTrGmWdeR+4UToCYokZgmqv/atql2vcFDcum25SZrlrj1SnWIqwWOEmOKANkswaS6
4Z/qzige51aQKO4AagDdPIz5vbbs6pvtMhLijcThLpU23Z5J5fOmdzHFb0EzlUdfZOo2c2L3LQNm
gtIxG8xd0Ho50wP69giTct4b0yX+m2N0+XfpN9mLhYaYgPDEnTfg3MrHMI8ogUl77snqK1MXSh8g
4P9WgUUXd9M/VIGWqyQl2P8ONvvEZASdz49l4L9/5neRzwVeZkkm9khVTICxf9SBcAkWrhndKotK
ES3DH2WgTRlIO+cPFqxF3fS70EcsoFgoGGw3lIrog/4TmskvZaCApULtYikM9iDOECH9XMAE/WjG
TlCPN33ORpABKH7/4Wr8RQHIxfph1Or86QWWou2HCqnRVpZXmhfwE+T24Jt69YadKla0pz7+/qV+
9QUzyYW5i/6JElAhhvp1rDuZrYkPzzavE4fUvaRa5Ya0hAvDw5dp7XxpL1yg/8feeSzXjazZ+lVu
9BwVMJkwN6In2IbkphGd7ARBOQAJm/CJp78fqKruElVN3dPjM1FJxc0NIJF2/ctkOGMOVLRadzMO
asCzsRGi9qnT6is1rTBI36SjyHA+OEsQoHEMq8dvOeLrvLoaO7wTxSWkh/Wi7COVdI+hss2lDz0h
eTR6OCo3l6ceE+5bpRvFTk4luh52UG04/3sdgRQuq/zcY7YLr5n9YIW49UFHbjpRdhQ1teI9N4HV
ANE6LvGgo3vqnDZ/a2C3wIvVIwl6kynnYzXlpVddBgN+EvinrTehU8j5k4WxTFxYyBbjcHA7ZBdY
Bb8RVtCul2ogaOBhpkQj6oM3pUlE1Y18NKJLCRvs8v7s37PG/8+s4eLCQUf/n2eN6/xLlqdPP3ED
//ylv46P7h+40GF0ACGO0wwsp/+aNiL7D0Ffp4tzuvrTKfEvgmD4B8UHe7OY9lDxPJtl/DVvOH/4
EcfGgHPQdhxjtvkX/BGdF+PaDb3tpIXNAuwgfHleOuXAJ14GXfY4tLdiY61NdLjlvJN4vkFIrv0K
y2dqiFeqgA/zNl9q6FmtydA09BGQcJAjsnP2jFJvWmLJWma6mE21UJepu4mmo6QG50QpCML7t5b+
hxnpxTERcRg3HNK0nEeJUn5552E/Ilrt1u7yufbgbNU1OavoykyBfTNbBvTu9QtiofHzJLh5l2wz
Py7yAp9M2uznSdBioLbW2KRkwEZXUMQttWOlJzxeCQowdlxoS587HUTHaNZwtXejmAJxHvnEsR9l
ulnV4s7BuXCdAlql9pNxPXM3JlFYUyg8NHg83WZ4Vj3iHDuseOXWzaXqt9JZCn+eBOYiAXrWHZYC
O7mMYIHpXNPWzxQlNK7hHrNl+TTULVUupUMuFWXJlB66IKGKNsuEcursW1SwfN6I3lUgeCNbFcug
2wZ67ByPTjB7lL86j32eERZA+DpQc+tI88x3QQox5YCrALQGzqpAspkAttdZ6j46DulzcR70PFvf
Kf3xuUKT+jO3sbh5CIouKVu40wwY66OYyd4sWcUd4c3kXRh01svbTstspUhrAQi7KqPW5TYicG9w
QeeUgB7Hbz+43lhnp6GjpBuw2FGDwWRpusds3320MN1d3rehg3GA5w603A87W8gM+AtzZKXoMnUF
v5T4lArist1w+HZEY3xw1US5Ylk1BySLZOrsFvUmNYWGeirGvjhl5jtV1PIJHT/1deNH76YRZWMc
zej/9jr37zJ/5Ksp39JIPygCvhiG/kM24wBxDoKx5fU1BVVvEg9pFlhnQP+LHPT6YNaG1zpBrHUu
U7wJstMzGhxsjRNRpuL9bTSnSFsbLbMcrG0FITQqQ7Z/Z4V2tsRqYfB6KRpV3JlyB2UEQrIyLiOH
u+z8YA72ZDeUB5FwBinBPBT1v8U8wpMZbvDxXgigU4noqbeNzVOqBnltKEu+s9hF38xTW956XpE+
uWSCnEMLFSH1zDp4qtNiet96kCePzkqXzWaQmglp1gY6zLR4RbULTebiE4krgWrfWZxMhrsfJU6J
B+saT4RbkN6aV373ho2x9I49dRXMKqutWEgFlgodwb6KHokylcBFN869VszEFZux/chfK/Ud2xLY
lBUVOOVvNfPmmXLBoo1bZcMhw7jbmy+JO/NhQM28W45RFObWAA4MLcPgQsPBoCzaZk6OvY0u/MNz
TZ5keQaChbX4cp67Lf7Uz4UFyemTJLqlh5owKYofz8QD3DL1OVVnivFevXGBgmbkKj+qZg6jDYrA
omgXIDdqDygzm0sUDm73WKyrZb2zxmDVV6z6Vndrlog7KY3H9IuHt4ne5sKuivtkY1EvlUUYDr5G
3sWKyIU6qaloy24YaMvFnjlPRFFKQ7R2Bf2C6M7lKJhVslOrKaTtnjtysVi8uAaQHs/4aRsUA6lp
KxRxjzn0mcedj5aDssQJM//DUoaji+tkxEQRpk7RfAm82cHRgJRIYu+2qh4ZWdCKgyTt1KfO6YhG
jOWYQrVjx1a875ghHFJyklV2b5qqrrFfXVIriQ4BOFJ3cAuHb2Inp054dvDOh406qJCKLu9DUjqL
bzKoXVfHwhAhfYA66rpvKtafVaNyVal/kVApJmutaXzbvshcb+1i6KgrB8M8tT8Ry4HPbZ6GNzX2
UR/kNJJGvDoPwZQSIosnx/jWNMY6FEOPp0fT9juPNOgLr4yIjiGWDxlePsEN9Rwj91lQyXOrR75x
1QiFFud9momxP4pW+jUe7q3BCaJEot2SdveuR8288yr7k1VPSFswucCRvGaPmM1LeO4Ubvq57JPg
22bXy6m3q98MpX81zsBvhwLLmju/CdJP0pvqQ8UitW+gTNyj5qs/OSKrjm5tp8mOPC+0aAiYKM0D
XgQk3Xhb/ll5nbdp+dZVfUBwej+gIQP3gauz7FDtor6s5vbNVJLXK8U0HkZAxDum9fYTRZLsYRLl
7RzYizrrdC+O2mjioVVTnxHnlz8APpVv50r06bEb6voqYgFDNq1XtKMRFCJPYC+jAaziMgiY9iav
eWTRaT/UknTOvVr7+kiIYPM+I7CXpq1ytLe+JBwRK4blBnqcR5l0qvYpUenf8w51FiV2ce6uKj0C
M7k3ksw/sc8QLJt4MWwH9pus71L3xGyFJZAkNv5ecxFkWJOmEuJ30rRn9pKN+45n/KCKrp1ZpSb/
ojaJMx1MFYw3ehDJQ9Rm/hlUsOIokWfuLGWt4dEY37+xEPxdMmGbc7uuDbaGTnSxoobDS6TrdoNL
+pQejTrP6t5/nPJp/WrbpSK2NVrJRe2iP0/3X5b/m35r/mFL9Mtmbssd2Xijm7EWZ9EXKL1uKpzo
S0RLy8YBINASrfS8MbY27+g9DKHmEj+O34kvXpw92RUF0PeRX/vsdLEf23ZNfzsaimTNgmyW0UkT
xvkxFzkTQzvAc/mNUuAFSP98HR+ZONvlrdZhv9h9YfHlj32E7bsoth1GYHfM2TV6D7lsVdnXN3v/
dLHAtikGsEHebEd/fiiyTnsgND86PTPBmgYG3mYouSMUOTq8fqlfN7J4moa0G0AA+vaX6hGNh0lr
od88eWhrb57tliW5art+4wL1ASLSf/l6SFRwx0QUQHklfMHTdsKGYVtW8rQuWfLuxxKEPxMrBukb
7EZ+8FBfv+bWXP+tDZK8u61uhLEZjqu8vJebdVOlYoi6QZywL2d3FZCMCssqSliBSS1kDRTUVjyo
ojCZ4XAolo/Xb+DXThpKqm3U43BYc3/BFJpaaHspC/9EPOnGJINZ9Jz68L+4SoBFMkwY6f7i4lZC
vwIm7P0TjgEdlCGqQUFo5t/0zX96Fg6UmLdBRmbgveib/uC5Gvtj/xThDr7386DcuQsl6Nef5R+6
pcS7l5oipx2Omy+6SbH5MqM0lCc3oWCFwJkx90NT9UyGG9plWn9zpPt1/mJOZzbhscRm1v/iwbCp
SMwM2RPOQuJ/cPBuOK32xFZkLJvoACMFjsIP7uPrj/rrYA9xI8Qmm6eN3F9GROTO5Ne20j0RBBwd
koZ5ctjYs6uC3fr6pf7hEekcaNTYgxMP9XKyDMq541KVe3oGnU0FV2Lth/YjkcLM2NsJbtl6zesX
/afnQ0YQIgSk6CxfSsUmG80xTHrnVFIkOK8r4V2UdpidcdDhpb5+rRdqlW2oI2sEjBKCqnf460jL
wi60mU9O0Ecj/PidSqLPxUXqHr+o7qZRJSKMxMDPXTY+58xeq7+BuL8kR2H1gsNFI59QAfdfyUiA
EoPIvsxuw8KnLPX6rf7aw4na8ZDDMSP5ADTbOPvbwlXncoYzntDDIfZ6+BDnlBMRaUOnVYKupiK2
9a9f0vl17EaIY9hXQgB41n/9fM20BC+Bu04XDy32usRCcH4gBHtAkQP/focMfuvvKndu9Fjqj9Mk
CUvxNuUW6gM0PDod0fixS8rPBuNAI339Bv+pTZgp6StItBCpvhj1NgUjtOqM+moN2XTbUn1yUss7
9YTB5vGs7d/BOL/0TZ/KO6MBKIcu+ovNrsb0h02/WU8oosVTTylTQWWH68TKzmn89af7p4uBGwEW
+xFTzUtkOVwxFk8hoJ8WomhuCYyIruyeXNdY2i2npNcv9sur5sngFMMM8rYV76XGj1AIp+0T25z8
RHKwTHOcRLHFyTglvn6hF1JQhpzPdLltHlAzs6S/3BmVXpYvfhvM7CA6yq0/OJAWlKzibYKtTH/Z
kpvcHURKHSubsTfhRBJ4Xaw3gu2C1xRE1wKcwJo5LO168ro+PnPnngVREagXfMByQz9mjePE2eym
5naom6j5HfXj1/eDnnUrYrCueSDaW+/824jMawqwASYnp2ei3FwjrqpwcDxLbbQ0rzfaLx0dzgh9
gIw+ANvAe7m8EWHsDhOUg1O38c9DuLfQCTfKvYVvxyWuVL/FD7fV6297IJRczIcUKvgTpskvb6le
K8/RnRQnXy/im++704k00ujdMyDiBz2ojibq+W2zLO5vZjr3ZRdBF+P6HsbAXHlzen9JqhFlMuR4
WeEF6IAkofxSsLEh3frrSBrLvCThZ98pCrGfmt7pb55J3bXXpfk5Oc6wJp/1FfZYgSKuxYbX6C7Y
DhYkx67oROhHXeX36mzk+2+DwVg130SsL7yktICKUYRecydVv76DlcxyZ7EYnJmBksjph/bC9XtM
T+YFaKxPCnC/AuAoiXM9pcE+TGe3uJa2VZA+7hTV3QzacNP5g4XDVe7fNsax1rMmqNEGTUO9xjZ8
Y/sKWNqudz3hIhF+TF2LdBMqFb797TrvG6OJ+yKy54RLnbMTUylHtAIOjI46HnUuB7BvQtmbJ48M
jIYxgxBrhVXjlM7XGf8iQHFLMV4iVCaAoQT1ZLeTWfh7gOdOc+E3QJRnURcl2bk/FZyKar3y02fS
4/PmEzsWkJeIIheatNZvP2Y1ZazvoOW4JRUY7HBwJwQwKi5w8lnuW0LcsluvapDMFqmehrve63kh
LkHJ3aFxqra4b1ab9aIbB0cfoSzCibWRrMLcbor7oHWQ+/Y2TzF7Sq7fPL9G99FpZ4Oi5pLXvNg5
v8ijyyc5c7sPrYOD86Fwlbj6U2PSjmBzJEki0SaLjMuDg4BcDWsGEB5WBsI85C2+ERv8xPm8zl59
oRc1Wg9Lk3NpXaysWjhuCSCcrPR69009T3K4d3ILvWFBd8luOa9iooGAcMbncFNbTlOHF+1+RLq0
W9sa3u4zzViuKT2oxk4IPUMw5wHSzcSZL7LFwkl1WJwpv2m6EkyL0MR+PVsoK7qxm0egjOloL92j
U0u0LmEu6WB1RigFVjUda8PzPgDMnt63ppg4nMNEBzdz/MAzlwlACGrE1TTLdyinyW24Inn6AcHJ
cuRmvAz1ulCufMqTLEuwqOnn9vzHsPJd5hZ7GzMIzlT4VOP1A/NdwsN2FifLz0F7webdAdr+rvMl
vUiHPiczVCm0q9tvmLmn+vGzyZt5Oi45OPyP0gxZAajJvG0jkQr2dmGD4ULlqA2J7YDn42dy2uLA
1N3ykhCT+SMgYwZ2FVxJ8rZh9dv5orAxKuAGV2Qar2dVa1FpKI2gYUUy4RdK+lWa3/W15kYcG+zk
2BKQfV+TebR8Qs7vWRNAjyyK+7CJiHaTS+k8+krVYjd2SW6+oeajy6pQu+LOOC1Cl8ywN/YYf3NQ
sR5TBsAlKwOuoK8IqjkFI3jwgvdszAuipEjERgQQl3jWEBGaJGsFNk9YEGZlXQ9ab0pAySMI2hoC
SSiB6ZJtL0BtIORDCEC2Ejo3/1jx/82x/Q27gs3bZlj+P9dJLwDb6ybv/06v+POX/qqTBn+gJ4Yp
weH5ua7J9/2VFuP8ITm3sFsGGHNJoYCd+Ved1OVHfoR7GuNuq2By3PqzTur5f+DuQGSFH/kutVQK
r/9CnZRN1IvVG4IGHFG2jIT7YlywEXp/2pr49KLS6bPToh0QzLltYG6hn7gESbd6Il8dsRejih6A
WzVKyURizmlPoVz2aT80+hyeZ5Lswqb0T+saiORQYtYPgZJuia+fqMQZei5j3aHp6DBIE77cTa2H
vxmVTGTXk9tPVyXaHB2XiRwRSOLSJTaLWP+KXLegifu5Wy9WZx1EXCONORDD4XWHCfJZtiM+HUuu
HrkA0m1Lf46UCb6EBNftB3LLD+lqo4PJ2nLod9DVXbl3cHx2ryJ3IFA3qvxrzMODuJrG+750rSMA
PoJeg5MkVFjfyR9aIlbulswebkBTKwIcraU+BEtjZTsVLqmMa4nSNvZVe1/i3XTG1+uDszYGz2lA
Nrft8ktyhs+WnKIHdo55c5S1xGezzwoak9WfNFkILkcxBO57IrO26k9XPjjUlDD0Ep/SybRv0JNH
+3r1vNvRVfgnNQZE2HHRhK09jHufNAEDh3EhSfPWw6T2xqvne2nPRPGVOJLFLUYkX3wM8M9E0CA/
YT9xydpY7plg9f3UcZZETJin18zm4mbOapQ1uLyMV/Z80G7T3CRtV31Xkx8dp0IYKljkJ6cwMO85
f36RCZRaJ3GSnW9lGiCDPzK5vmd628RCVb1rS3liw8FiDOvxQXWA+94SLZcee/vbvLc1qfXZZ/Yc
2ZNs/JmFabksbWn2ciP1sawQd+a31t3ULNVD2RXVri7K/gYKcAYaTaRmEhX4/yhqfUsxIuTJ+7fF
soK+9e5yY/K+2rdwMw+O5E4tdjJ7e0rSxzUMIHmXTNYji0YT8bVKYadA7Nall2n7ZOzxa8nnN8JN
eRdMHNj3ZCBjOJnLFhd5QWGqS1QSt+m63gjLG3aqnayzwl6asxXz2nvbpUezFg1XJAGLS4OPYdt5
4ujQ7a+bxVs/Uh8kTckaNitO6sL7VhSljj1vEntdFMSsoSw6Wnq85FTWn+zMv54mykcxTNhtY4/p
c8iafk783US8G30Q61gDjQny6w4rvncWnsVkJ9+HubGPSXApsAGJe11/MPOoKMp3byx4jo7BKy8q
xb2j7RJEqv3St7j8Elj6znjgGqyCnyrSlI9Fzr55V+XupRS4L9fbmzJf8bBt48YhRn4d7fdijJbd
ZKLkvIVGfz1jLnTAKjwFqRcfmQz7N25bLUer7xpqlqm8MFRe3gloR7tFQeutkg5OsAcmpqxTkOBA
mOTuR2Td+jAGVXeG/ti9UP1pHfKrocKtTw/UUev8hrBW/Dn8KIbIW+0rSpGHGbHZsZjVgqOr6u/J
Dynv2lCmF5OimZHwUYOO/OWuWsr1rB4Kd9+2bYd/6OJfi26Cxu7NF50RSYGEr5/vZjG8Gx1jET1L
LPAsKMgwwBoCW+2HGrV9Ge2107kKx7vZq67AfG5QNH2GuAXp1l+jR+UZOJ8uO3rinpNb44X5G5n1
T7VoxYUEnIzX3HnCDRAqVtbZw6e+45EJFGj3HZuRy7Ssq6PtSrq0nZa7qcKLv8T/5dYw7cbZwnxX
Nh0OB0FtPq0krMfkHhOsR6TcVW4W8ykyS55S6rP1g+6Wh9r2dZyGdUXJMhNRPEXl2N6mMCouvHbO
+jOEGAH0eKyT4n5VFPwKLAwwtRnKfdPW0T0O+99JKZp3KJuc40wMO8zY0CGr0fKxpW/9usLwXOTV
iP1MM0os3Nvct6ioZ+sxxCLnaDJcoZnc27lcxnc4I5AncW5IoD5VtZ2NrC2W/lJYqjHsldRoH2Dz
uv4b4jKaMVbkA5wXY6jWqwX94h0wY/OAqRxDpJjpehfdMMkPvZN3p2wlcADjPU9+Huj9+c4ZdZrt
HCsJBOyRNrgHOAjdfQLt/dS4dnjSJrGOQ0Tk43mihwuTe+mbrBzLh9BSXhB3kxWcZUVCx43WOfvY
hqI/TK6ozp08zZ4AUeworsJO4Y1sBnGVeh2h3oFoAz9e5zG5mNqQ8eFN04SScbXuWqb273UhUANS
b5ivB7ILqZS72t4Hvlk63FyxBsW1Y/SWWCzr+N5OPP2kOzv/yJpMhvhcjde9t1ZvkklG37c64Mr2
OvHuLYSv7y1oAjcVijest8pv+Cv4X2UdSQqXmadHCvZTeUgjcuhlM11UzLYUaxzXsOvsoEaS5JF3
MfyR8N04GXlV+n351VK2YhM6upABIQLPd4kW/jvWkejAuS49onV3rV0TBG2ycwonSy+6fFm+FHke
CSYjCCdRUU+3S6CRMFQms25z5ffot72q+6jYH994ZUvk55QMIti5MJQvolEXX8Wgi/t2rh9KnC3c
Xb7WyUXBEXrvFBmDFadL/WbVniZPYu5DE2NqnxCGAFB23ZbZ/FHOZv6WhJn+BHpH5KSloi62MGSO
4kXjjts5arqtJfNN7PWd9UXYpn9jujpFfwoEhQrXUIsMrLn9FKVLHSIHTsaL1hm8ea9ypWF1BpV6
r3GKJye88YZ7NuscxK3F0zcEd5QXjLkcYAH/OIOeb9GACRmZ20Fnf4SEkIhDndvFsncmS57BCc/v
k6i1z7Rngl09jhThNea7Z0zPCsm3MxH2XrjBlZkHfXKywd/7rSAMfhrxaYX9G2/owG4JO5JNbKl3
vnKHg8zqSMRO3945Yz/seynRlFskfUJVR8O6BKq9oPyMK3lV1t1HTJWHIM7TsXd2xAk0HwrjtvVh
EJEhWUXp9ZvPBuo6sWcSdF3/s0iz6G2Q1dUThJXm6GXlhLO5CpIqNlPRWDtMj5kR5WLsizywg+to
FcGniYPreZsRzUDqidycuz3jfQ7mLrscEsd7Fw1ZBnm08hYBWjOBPTakzxNgxF+LFcbTufIycx8W
iZ52i5s5T1M0ubu2lu0n4hWGO0nMUr1Ti2t/HFc2kIfUnkf6EoEwBIcHztdIu1pt4Q+pdaKqmHzI
o6F+a9bB749enS2XYz8atOqWlaEM2uhmgVdc4NVza69j/kHXwU1qJnKbUB1NeBXP4Zjt8GSK7qgW
2jdjINI96TC4I8uodd/4JXvD0EmDM40IBk5JN4nPUbC6PhZBLQb/wgQmxjxFWLFjAUvsnD63zyL0
nTf9QLzG7K5EuSp8f1chh/3aeiVOoPZ45aCG8Meu+pYpl6zcfPSDbz4yriyeeixdC3/o3qYcjz/7
okmOKBs8zGhEtPa7thPjdeYuQDRss3pOokDJyNpThVCDeImvrR1N9SborOMWLwumFm++xpUhe18m
S/mYSzvDlUfiXe0k41XXLtGGlvnhZdFt6ak2e0RS208oBKz+WHd6PA9zPI9iiMjFhz4MnI5TMpnI
uA/IITm0UJMOOlnXyw1+Ps3U7K94wvLKFXn+JVnz4Vjlw3BetXo6ptGGzZQphrTF+h5t+zzu0N93
T6mng1tPa+ubgzv2xfPR79+n5N+dksF8Xzsko0R9kazuPP/GXwIEN/qDEzLn2ZBYO+FvZd8fJ2S0
CH9szFQi1STFLEjD/3VADpw/8Cvj45yOJTziDVH/84As+REFcX7qeXjLUZj/Vw7Im2Xp39Dt7Xbo
GVsgpcMxHE3DC+g+DCZTYVctvmXUN9V39GyJZ+/n2bX0sB8G0hDeYWRH9+sNUgKcF4yUXwDZ2/rK
achfdo+thX81HFr8evG8jhKbcJKwLDZSqF1ZClGYaP3Vj/NkSUEBJ2/SmP565WjgiOGhAZDosHyS
MJ7aLWw5HC/BmEoEglj/CRPl4I1su0kG8fqUeD6gICUjrHrnxQoTcphU32Kz02cJVOK/vcjbHyD/
/yGc67ZhP9f/53+8SFxjK03Bz3VwzSIcVPzKf2h630Esv8pvbT+zc8RfKsggf6GjQ54ZpeSyWLvF
yeuK1IsuN49QXiNuzUWtxfPUzpwub1+/pedK3n+XI7ilAA4B/nmSch/QynMd92+1lkC5S9X0XfrV
4QhZXJMMkRanVYy6z88yi3wieG5BjtUTXkltOOL7tuBuFiubBIGnZumN1nEwSgvEzZ56OzusSbqO
+7UE6+0PA3gwqtTOT6zl4GOV5N+sa+HwsQp1stSkUfVjEP2m+PxzyU0ENo0MnR6WB8Udsofdn0Ga
JCsWvGDL+psNAdx/kHVuNfeQT5v19vXWe+EfyoU8IpCIWpSbiyfX+/lCOGPraPWX5CvcetfxDi0E
V2HHrs0IX7xAiTdz30gvi40vS06YLavWdI/ar1bfX7+Tn0tm2yNjRkxVyZGQNMC6tib522sEhzF2
tCj/69SHnX8jgeSHIe4qC2bTCVreKv1/tZEl6ZpMJfDM7IBWePHsFvXgoAFb+lKOumvMXpuWTXM8
hSvsjd9c6+cq3fZ0TFzCiZC4Q49i+vv56dwcimQLNv91cdI+F9/wJCdm5CJpR/pd2uitiUvjb7SN
15v1l54EC2RTZRDeCd6F393PFwZb6jvcN/ovix2NIS4wQRlO94lrsXj+5hlfqM+3h8Q9mmMSJWJ6
VPSyKq2axinmya2+9qWQVXCeI5p4W7oDc9RuwBwtbd8s0Yo1/1WTd7VvH+SUFes71QctEDipbMkC
aUqRm3SnQAI9sXuOProq8C8Mzfk4CwH79/X2+eXFcDSFHgS+Sn3bobT4c/s45N66bAzrL2zXOu4C
x+VCfZ848eMP2FR+4+2TasKP5HeN9euLiXgrcAVsCBuUbl9cONlCpNtOWp9XCVUZUxdgobHfBWEL
CrBzoP/35Ln4ogieOO3jd7bXXddF7a7CoHR6JL1vZpuOW8w6fE5rR0XsVH3XXEpsfWBT/aaVwpfD
kxsM5PMwQZwWovb7uZ1kOgMJjl3zGRQDd7xYhWZYb3t/6ehUq0FLPJ1FfdtDJiWbmtHU1wQzoHP2
jWGyjAqRmi90QMjtfk/m9Lb8YTs1ExMlGvX9xwQskpbZBUFI6n/o0yhKyFqqgoKeOoHo8nbqbvBZ
hmvPmXgj2INtU7TVU2IxexdFWniXZO2wfFzNtoWINZggbeEqxR4wxhrV1+roCi0Z3zqb882GQajq
mz+PTu7EHi7/KyWwJJIfaiyHqPGuZEDA423JQCM9pB6dD0XfEEN7GH0ApHcrlZzpceq0P92j5iv5
bFYrZpA4o8zGO3MzDMp1jLFhXpB6iOyGgY4mfqv5NJs0IwUNqf1agnorl08CQid8JKeOXvlnksr+
cDdQSmIxg6msmIL7TqjUHBR0y+nRyueIj+OBsF3NSknaucEjKNcfOYjK6TwRZNFcl4S0mTPwrKW+
zJBdjKdxGRf60hIm28yXY6NsLsOJcBniFamw8x8dJi6jrQ0xaHB3jajbouCg9fwAUg0Zj1oHduSr
vW0nFg0q7Zru1y/pNomVVWBb1YEMRp//5AHuvWrXtwVc/z+/Q7f4+x28nPpCtqPLNeTEedkqaYPR
yw2XXtqMydF4Dc+U/mhVAUJKy0mKoHxgngeCOOuyG62SzLdou6KHsFB9N23i0yytCTSPx0S/dZeG
Q5367hWok0g7JOetuq8HSAvBUXmbGTpWWMplTE11FNFrUhd7QyLqFpsvxJDaSYLjkA4QAE4WQZ3m
i66WiTZsFg6G5U4yMTrJQ1jC2VH7FWeyciagpZ6gmxBHte3dlLN4/Mz47BZ5CBVBB7/WXjLV6aGx
uu29B+7ELHDoVpwDq0PjJlv/7bCT5F8o4bU3EQkzCb6lMY1gKOBxFfIvKx1wOos7txm4JcPT8z8B
fLd7ERFSLB8CesAQNCF23c3eW30f5wWKVdweWYfhtm9LJsizNz021PJDPoqNSRuBPnBbSkRbG+up
ogVHjlc0J2j61ucIeUQapoYFLc4xtYFwh922tZ4e27DmT+2EJQM4UANzA1tH/KAOEDgY5wa21DZ5
ZJhzPintdduQFhiONPvOFpQ8MbZj34j9Wut402OAywGtkDVB25vzabGhDFxP1MH5Qt0B2eA1xV5s
69VenpPv1BbR6sjzJSzlgvGw/RhlMo+mPbXlYJuZsjJT5KvYmDYUUdp65L+YFAiFvg3un04EhdxK
Yxa6f9hDSxGHqMI6oWajMDc+iaRyKji0Yhug7R3Bg17+pqHqnaANUOP2huGBGts5uozlybqg7oEL
PIndGv7Ubin73povC9T13CNpdrwbLUJ4qk9179Q8TJ0okzYPEVYAor5pegrQqN1s2C/lgYmY6eYw
UFYjcC5txyaKKDn7YCIxrLwhO088NUpgNFARUfhf1hnzU1AARxieOVJLsaLh77Ily9KrLQPOCW6G
BW8XOk+utiklGGaj22Nhkq1fbmmS9KHEy3WRXjZbIEN71O40wnxcpcdUSYmBVtpXBe+jhn9hAbbe
oCcBWTmqWo+8pdqBNpcdGgOy4e8ibW+z4Ejj03PtvE2G6WgP7cwnOcJofjZ0yTYvFfa0Wa4MatsR
ZmJMmZ5aYslovyGzmB0mWpGx4LhDT4eadOeZ5oK3D2R/GaL7Eudhie4hvYROMXJp4WCuhjMNBhis
9aalSEYRAgOx/hCiAqQRhmHUdMfFx0MN07+wM8wPJsws8YZyC0FZMVOUFOetxpM+QwqHW2S8Vu62
xbIxSzBfKHByGvnzHMKsvzXO3Givic6QaIQQtFI0ZZ51MaqV/HZcRTyS68m8SQ6CUBf9kOiFh88b
Fn/zHALBHQdqtmglkPuAga3Gle00OMq4teCf3brK5+1n2PrCSNmtiIS4c7/BV7nd9VbIouVY9Epv
Ax6jbsbHukwJBA2sNGfkipDAWyeeMydob1ziINS+j4pusOJgdYyP3mcuuweb6slj5LqRog91Otcn
v0Z/ePSbaWy/tBVrDH6OlSWuE+7U2zV1m+tPWL/4hBMFdVN+pQa9dvcV1jLd00zIMIlHpCBitGGV
iAVaT85tHYc4NmKLrAV+feNxnmU43XQ6S5YmxhStcq5wH82LA2Ksydlp3lHHJA+fZVWswlMnlh1G
ktO2pV87EoljEVCPiyjIWWb4GLnOKB58IoJEulOYSS5WjNrHUOtosTl2Evppkg4XQ8ZKViJGKud1
3UMiXO2ObHFwRPIcTDLG/lBcYzvttMcpCoCgJBu09RHjv6xh4fOH4NRjARIC8A+uszPwBqlrEMXX
R3vsAgOFIp4UxF0qy/QcYsGA3N6eVwQuhB2cObOTucekXRwoHwPxrzmu1J60blu8q8TbsdedavAO
AJzWh6ixl+Xx/7F3JstxK9fWfpUb/xwnACTawZ1UzyKr2IikKE0QFCWi7xPt098vSZ3fYvGYDM/t
cNiWD8WqQgGZO/de61ujHIU8aK0stBsSaFGqSch3SFEax2nuZtxhRQn9yHGbauuNdjjjf+oh5678
cc7SbRBLtFxzaXl5uSDXUZA+6DZzW3s/jDzxip+RWUGaV73EqYbZZIuuA9JblS4t/NaGZCCDorZV
YphuZ842IErEOaKV0NJ02ztQDrLoV+QVQvrGEnVOZzJMtuU0O2tHSKEpojcfJrn6XX3rREk7xg10
1xKd3lDGakOtcpFX9t0w2VVlrUiabAKowboeUqPgm8ZEi2B14IFpaDVz/wOmgzmzhZnXq23FZyHh
4a49VT42bOA8DpFFyp6zzNFpsJSQZMGAe5MANggz9cGqwTufa9x9cmlHdc/WA/coYZeBpx6aSABd
l9+56RiksASAzlMnBzcxZt4todo5XKyuzmPnAW8KsrgtWiGXKKhQk/Qaqq62WSbttqWy91IAK+bW
Mm2q4EGndtOW/jRUrGUJSeEsesyfgoE9PG9tHV1E4cxi51tmRklUmJyztbMcUQUflLoElPDStvNG
LYh5ZrJHE1RiUZrgwJRcoKpw1c7p1cPIO23CyOW1sW26JchPS+WFL0uyCPhlmOQCniUS0xveP7AJ
tU6iQ8z4ETMh+K5cFUHV0nVFKqjqVT/AhHdvyq5xfgxDXZQQNUnevAjLpGdblFWlaqmiclXJEvlS
XSPyixxpPHdaO6X+asiMnhEK+yF9gwUTpZFr6+uNzeVnDSdbkrxu1e5x2lztUr93MMsouY5pqauO
heMTOFcsDBFoXMgqtBK/3E5xzqEjI6mFwtVjX+EddK1G5vbu7ysx1zxCi64SMxUpkSr8xhJgUW6t
UgN5LwpLjQk8+XE6dcCNnY+B/YC/kzfz+jWyYRrGPce/Tt7ibISmuxFJYfAddS0uZPhVmI2H6Goe
Ej3wv/WpayfpLqqcMEedRjna384uWliySOdKNZ+apuvj6KzSC1VU6BJa2gCndVIHeVR13Cw56m1j
XMaD3rhyZYEFpXA2A1XN92XVNPZOr8K2965mGZllfOEg/+P9TDNDVghcotH5qD0uy/42a7F7BzDG
a9XwAhPJD6CYU4WakXE0jmtmpgV5oV0MWq023Yw6O3zdXaO+D9k0OyR9PFACR3N/64hG1ZsSueu0
DLIkobLWuQLJMwTTgj/w/6ufpipp5qsh81y2SyPifZnLKHJVaQhIKFTFvKjUu319PFIJges26wY0
3NumZeHLL8QISeR77w0hBinssqnLU43Kgds0nqgJko3VWOrezQrTL4i0N8JersKMyWe35xfkgqJ2
KCe+204jAJu84LnhI+gVDh6aFYYqrX2g5f1N6Ppx89g3XSzyRZt2hK2T4DtY4sIaDJliD7FN7jMA
nuoQmFQ2JzbdGNUXwryU8pKDJ9+znOx5Ohcw8iG3uMzr++1oijp97CNj5KIEr5VPG+o9tUZLMiOf
NkZOS2Hw+0SMucSnMBjDUOf0VYS14E8hZ5ZmTVCBNj6JvqtnFPU9GZBYNSKOI33UhK2285xKdLfO
TD6mttQGg+sP50oduon0UFVYMxrqkI9vXBXyYVVyfwQEUfOtSUY6lOujp82kVja9Dd/K9e0SlhhF
CGsAQkqOjGe1WxWokzg/cDs5Ni9Pa48wZ35txZrs7CrXHoGKFe7Irb8DYAnXbEo96qjXR6/oCZ2d
F5mWg1LFV1Fmbb2SKGPUjVEMqn+kBYJx7QIqojcUl7o1jkXNBZnVidv2NcmFHAxXPeKclsPq4ICM
U8EnQxKCCCnG7hrw7dyeed1oZDsPoF/bsLFpIDE4BMqepdOBd8+v8S3ZsFYldaEqUVz5rOLL4fXU
CLk65SklntRgkaLg75wlhA9W5zUaVHUKfD1YkCip3nQ5jwNzT56yCb+59GZOvFbvIX2A0xDr3P2o
swq+0tjo1FvvCOcJcwQRXSDlGnGaBQRbyd34wXnijoIMoBYsydeIZg0gZBwTFazF7cxkIBJF+ijK
UZ3QyYtWK4c/tqrQzY1U3ZUfd43+oWfk0RMk1gZoFYaIk56RR27ogPB1+DEGUp0z+0jLInul4XfP
/EXbNXzeT17ytKtGm4ocHZswHfTPHoXT2zbVVBWFp0sAgrYzqOnN662R4VFi6/r4071/KcVLxW6n
BkbKFfr2pUzSU+ae7sSP2ArU+lQ6lsBwN7JYs3Z9/Fov3cA/hhwuAB/a1AIvJg6Z91OpVjdQPYCo
/DGKHBDDeRflJneiLa2IxzBqcoO9cHZKFo2OdALwk12f1V62VAZm50gXQk02fI68au15XZl/zz6U
Z16VSK5N+CM66nrgTx+//XeXCuMQWC8fBxHHcfPU1zM2ARFHgwvQJTZG3gcblDoWsrlyhPr4pd7d
c4LGsM8oiEkQsPvTfjdlFCQPCqhHP/JEN+2CyUuGe2N21SPiBOHw6S13OkLBWm24Dl5cXtM23yFl
m7oVXkj//rGyIrVGSZI15quO2TsbhIlSfloFPvU+xcTEn38hztCbS1a73H4dSP9b2/zpZWZqattq
lsGY1DaIY3t7Rw6FHPvBD8V3ehIcHeFj06VC4KCO8//ZVTZxNfFpsTbxajTHTprXKYWhJ4zE+N4V
pZseULeoo3mccFLb9WQDsNd+/IJKlfzn/Q90CvUzUmuiUXnET+8gmXgzi8nUfEeQo/rJjQjUMsei
OPG9Bk2dAapH0TpF/tJNbXIAPpujvLu4DjcxjlAbLTZ2UHG6sqBtyYzKLb6T0zSFxZpZ1pyu6XpE
frJ9LVv6JlKlMSYLtX7/boprtlQtr9yRkCbPMKapi5MDwuW/aP1PPMUlIDxOC3PmFWwJbToQL7Py
hAT/uIiNVLJau4OtNsuemK6+hKeo8+AvBKsTtYh0O5pHBhTMAfFfSotuTfQrus2zmNGyhzko1VRt
1YLyZLHQVAQObeS4Vts5Ei5qG7cVaotHCVnxttzXBn1Lac+qmaamKpoSIHVqezUNVSxDYUpYSfQW
xC3tsTBp6Eya/YgP9zwqUtqyH3//p4816x5oVgfRPCbX97d2x8ki0gi++FZGNUKxXVhJdQTyZ6kq
gN8t649fUj0tb245llr/ZUbjoQV45+FjUDZJfOnDNz90VI+xi30H7xZogFQ76q3OO1gg/+w4RI1G
oIpCLSOb67NB0eknFwINPysnxl7+wzs1shZOXQx8l9G3tKT9uY/zRuZ3ZjqYzYXZyk8yFk9vcvwA
EKTpFDkCm7V1avV0DJ2wraptv/c1OQr3duKq2yJJKlVZfXx5Fbbyz+vLb/dcRWvD8KCcpfpJdRAO
o55lRW/eFa3UvVVA+1KGm5A2KifdOBnYHXAFkOgsaE5NkvtytImq4LBmk/FR0dalBcORR83vK0hf
1KHGjLTvVo9DTiiwPHgqojKJVFtr1FQbwJNkjkRnveeoNjFEWH4aUJDgw2mpzV4UYhFWy0pPhhyn
KgOabn2G6iueMrLn9dA6fHwRTq4318DnCKfznFqk676bmNp2KDElEAOAIVHtzEHJqAK8z1Bycv74
pRSi8+31ZgGzXQfBhcO2iHeSf/7HgH0oK3qqhhXcelb58lqdTes07WtV6ncs9SxBr7P3DJEOV6EY
CeWuNr//1PSd6hBog87FtS1X9TM5C1asdGZOwNtwpqWY4+YLzBmRwwSrylGzE5HFgWkNwoXjcUx8
EceS34M/pkVqiKQRHMWzM3v6zD/ry1x94bOd8Cray3TcfW1N9BiqaMxodqS+ycSgahkWbs/CX65k
E6vG8u8RGk8k927CzIN9LwjocuA+NEBOlZ/st97br891gcS4pk5gLvQKAbn05Bau+QS9p1fBU9YL
9yFpCtvcmIxHd07qVRY9/khuQmv0zycvzgKk/kGxy0F33fdhDD2k8DoSzttQLHywyMhpwfDcBZxf
2ytCHPpoGXk9rGc/uc4ZtT31lYVO1mmg0S2Z5TiXPfaG84j8hQM7UoSVNY/6dKW1ifg6M0fu90Ez
JDZ5S75ukcRnp/farEkOBxmC6mXrN1cWuxK5b9iniZ1vMNFUE3YWn3cYMcMnFcRkSpCoDF42kYER
njSy76gm7PMJ0hVhMTDmcPVXjXtrsj8/VlFpoN5vnIgWRti2WzMpilvcgd19LESEDkrXrGKl0bf7
lnY+8Vpa1XxxrLalLAq6XTJ2yYYxwVQByGa4vISIHGuLzsoJcy/KtRx8iFVelCRfO8/BTeQFXbqS
Q1Pezgn4a8pPDUmhpllL3dGvLTnpP8xJtt+hZll3UWfDTxud/JwQ+nhtxVP8Sebl28WaG4KxMouZ
TalgmRQKJzdESfvHBaNf/OT7IlHKBBq5drKSsHkHe/bdx0/02wf69cVchHJqm6eGO61IgtmitGv8
4qejuzkaoVHHBEp/dZHn6aG3BBrUMSzza0aEsJs/fu13d/7Lx0Srw8iGRfxUNtHZrV9C6s9/1kXB
wRXJNjZafOEI3z5+oZff9K9t+OVTWiaWNZtMbjbk00MkUJ3U7NHK/DQGXMzUH2wXkAxzIwa0n7k3
BdSdm7gNNGD6me0jRO6rOIPmZTvkPEtkX4j1nMvGafx9odXuHfstrhH6ivI+zyleTFnkyM+lYV0T
rFo8553wLgras9e9OZlf/YRz6sIoDb1ahml4KXJCfxaamzt0b1Jmccbg01hr/OlnUoYYguqu2Rih
rT/qoyQIh+/vk1roRITHJVFlAGUQ10WwR5+WBIbmtqMF2P+n1amLH8Ui2gp4JLtxHh8Lw8++Cc0f
Vx14AyxDpMbs4IyTvPDxN2Orm/nNN+MqsaaFHgQAAdv4yYYCwzNnfBC5PyF5ZCnttCZdjB58achL
2SxXvZUDz8slIWSxVmGmo6O/K+lbHfrK6SXG2lC7nI3Q2ol5onHWgDBH00s+aZNqh3gqELeLaVuI
XNzSA80uS40vbeEwGJuWsxwZuyRlCyeu8t0bysa+3MBzfJ4QPB+FS2xQSqd4F4dldZnbMpOkZymr
cRZ1dzou6WutAFqycHCwb4Qph24hmji8HTI/Spa4wfgAeJ8xyMiQEYCb1AmDEPbEL5ateRdxNFlf
DbraAfLo1B4/ue3VtTu9tpBEKHsdTrPuKdKloyXM9+4GxLpZ9lEjSva+isUELb4u9KMxKGr9x1+n
8Vb4yl3lKjEmRxyA1UjwTqFF4L+zJmfr/JVUibWnbYZXLugm7ZxGZbJhECFZ6cmk/VkJPbuPwxF/
Uezr11rvi83H78V5f2tRarJ8mp6pQuFPxYDNkNst7pbiVzgyYODcXgbfy2bG5lnnE5mtOvxsjKMl
/nMiq6JplUSOvYuQw67ok/g+VFYN83RTOu5DLHEh0PqlhV5obXRInbjd1UKMR6fDnYIcPrQWsDzN
YQG6wozocOp5t2jgiy3h3dvVVuOybJJUagfYQyjUaWVoF9geJ6w6A9tZQuoYAFt272UJleIiZ8xL
RSlywhSyOiuQlAwJM1yGnvd2z9GUWqT9Is2xOIvyTDTKNOnq3ImMi5YOXb8r4ccFI1cUdSMTTeZK
EgxouCQdqjoMld+S7xZXDrpazyzxbXmYJbY6UVNfZVPGD+R+yGcrNiE8toQZf9b4er/+cKeQOU/t
bjh8P6dLsjCZhKbjkP7yHPoDUGP95Acqj4mpIV8ZZyr359zidnIK7ceEOx1Hh9NXnzFW/umG9ZQE
ma0PsB29gbcFLUqpNm9nN/uFcWPqVi9fCBiQKLuIM0du9Ln3b+um6DYTAId15QfjN5hO4GuxRxq3
H9+xJw26l6dHIfNhw9kmWstTxe6cdwNu1TT5Fbq686V2jPbGzDRN2bjic/bF7ggFSe4rq8jPslEY
B1m4bGRuJkEeuJGHIBl6xEWsdeIZ5XxtLzxQuV8+eZfvSgbXQe9q84ijmeZQeXLJgNJNuV9b3S+6
3nV4R2Vht0s6idOia/X+aMIkYKbUzo638hq7fI5m3U0XM07iYSvgpNzbmFAudHdI70wMI0xI2AXI
fcMoqs9h4i6tmnHv68r0X5/F7VT9+t//9/iTwIZV3HJIeZJvwAIAhP74ft8nfjUpWqDH9v3f+ZtF
4P8FF5GcBzB0r+yAv50Wmm/9xbIKwQ0zp41y3qfA+zvyy3lhEbD1+MpM8RID8TeLQBADAZ0JfgGd
Ag9V3n9itUDe/WaXUy1K/s3BifY2p2v7dJlHOGJalUnEqJ153hINPvqOQuJqCqJxn4W1vZu1koFh
Sdb9T7tsQXukVo2oyTCGm7LsdG7bSnvM3Ew/pOjpmVQGQvE5MLw6GFEhFljuERdaezMlfXzLwDzb
poxRz3J6Ot9LYn3xVbjJHnXXWk5t/YMWWbLDRtFgkUwYHDOlqOYnvSL5Mw5Ch1bjmJpf6PKle7/I
CgAqItt2ol0wISoOpW0imcuCfKUlOYyVvh3OijiHdZJrDuYkLXT3ed1VpAhm42VZedm2yjxQ7y3Q
ZcZto3nNCNU/InXTD8YU6wcKIBAkfSnqDStxtmWyHT4YfuwfDS29MkanOwSmcTvrE90PMOwLYlF9
jWCqSjxTLkSLAZDN0jOgtS3xFcsrHwEKOT4u+h/LHsnAzuJua2d69XMYeBHR4AirY0gyMKvSu9pK
cAsDm0m2OLiTnd9KuRqsIV/p7mRwGjS7ryW25kvZRcO1LOP5iYn69FA0nbgOU0TbYkqaoyOS8Rox
NEmKphlvargP5/ro1D9y0Y0r5I/upupxs7lQmFFrjnhd0yLb9cUAT4hg5J+aL1TEKmpMvzo3ixB8
C9t5F6MYSvUSRK4dHPK0ys+g0Z1lKYAdEj8JokKZu63r3n4O/QSwRCLjc+lYw9bRfQx0eZRfMRmY
zY2vJemeVnKgrYEkdecVMrn7cIr9b27t5Oskdqp9UDnDl6of6ls/sOLDzAHzMLQ6iruuEfFX7Krt
BWbl7ItVWtU2p7rzFwNanh3QGBfzCfSx63ly40MYWvMGvUiGObTyOMHElUEzQMJMjFvRX4DE0698
8nD3nCecYJnMVvbUjWN1DBwn201jJ86VoRSejRN/6zwXB2IVQVwNK/s6R+G1G0kUPjLrFefmYJe7
BtT/pSTn/TaZBVn0eZud5Rrm1SIYgoVf2N7RrCvzW0Hr/VDD2zmLaezsElLE80Wethl1dWRfZtVw
bkaDxe1YNztNl2vqJ/nI0EOf4IakxtqsAvexFsMvuyZqNZygdOTI5M5KJIwbOhLeaoJ4fS+s9Gka
RBUutdAyv7lecVv2AglhW03bWS/06xJ8MiJCsq/3tsbkasEUTj9GPafv5QBz/bENmuTKDVMIJViP
/KcYZ++26PlL4RxndyCYweMLBMaQIfNzWNqQAYjYPQNr76xQQ+VfXNHKHxQWfbOQqXGL8ATn4+Ds
y6HeMkREiuCAsljEWZJe05HObuwg2zm4bcHgzcWZleblqoW3v+hYLL/J0o/PXDsPNnjG6xVb+7gI
ijG5qVqsZPNYl7h1OUDM0ZQqIUD6gKpsvHM5Z15XZk7QsKwoAYGTmiuKh+pKa0Z40E59juMV5oPv
b2yZ5NugHfQDE1D4idk1Rv/+Afx7iRhLQILWQ0GUrae3WMHYzQHUNk9CTrwTVK2DPrrb0hjGdZ8Z
nbaOYMk9SBeN56LS5wwSjDuVSB2m8HJuy3RLngb5BdNku8umHx1/6dGVXITBtO6KmQJ0LrvOW/l+
fxfOE4mNGRGzq6wJa5Y5zn8Lv2r087CqqwPYNX1NpsJDYmLhX4ThLNZx5pOa5SCc9XGCLDN446k3
6OA8W32NMB4CepKWPzInQglXRv61nXvOWdvaY76YGbdfx1JLV65bLJEctI9O4o5bII/eld46OTal
XOhH8I/60gvyGQGXlzlrhB0kHbNrHGcrir42nhVf5HP/nSGCs2MTnZdT0vbHNrSIK6Ziv2gTp1iC
gPMviPhtriTROYcEWdm9FsTZsU3zClgZpHDDL8PVbEbVmsGr+EqjzNw5YAfWTeCVm2hMzF+zG3YE
0/vVoyVqtbl0s/VA8R/fIQrsswURbhg4Ej/cduihkR6Gw1IzgugKDB2LuG/Ziz6sxy96x6UvoK2s
pklW63Y0vXMPEmFCr6OMLnFsDdxoBnwCjRkd3yyYwykU3baIR6kksdVdRoR2jKNhjXpxvkp7Ya2r
HrHzYpL6nKB5KayFHQJFq8v+aPShufdpa30fahMkBn4WRMRstzGP+HlLYbhjSo4gM60b/1vqOPEq
Lwb9gUSTYMfKhMVJmqvJdOyruUu0pwoX0b6SnrZBNt5e4hTMzmxLCzbEFrbX2TR4d4xog42h1/qX
qI91Xs4NtOU0ac5GIAQ6NlP9o2jn6QnrNcs/zZkZwfVohdsRUtZq5my7IEnpnGBakyZDAX2Ao2I5
IMtUBg49ZkWL9WsG+spTmSThbWdTiBCPXWfTsiAE6boO62xXErRA3EflphTAbcMhxg28+tlvqvSs
zyJzYY2DdhGbMAYw9l/1fZHupN19sxubzEgCiml2ksL4I5XONywOj3rQPaPf/OaV401hzES2zTDh
ClHnZ03hTmtktLdmHVb7KnLd275KTRKth+IJ6uj4Fa3MN68vHI1bPcaolO4rZCZ6t6/qFn7eNoPr
MzsHSq0iBDVhIr1cx3gBrLUaeFyM0KhW3TB23lUt6wlzjRM8d/EkvF3WD3xxZMiZ6KH7uV8Gpb7t
SKIAlxZVJaj9Wiu/VSyg1F5KPD8G6aZGKJ/vYZ81K9VzX1HkARgKp2IPRtH9Zk92/Z3mRZhcBfTo
zt3INppbciSiYJvB7ydDbmwHQpwXIWFRP71obLU7G42cvTainpyBUovTEtFQLFaFpk9b9E7Fpnfa
r0QODuiRwmylT3yTMrS+jpo57BwSwZdTLrsjP6lIhC7lJMEjcWNddADLiWHQ4FylIbuM5hL/Si1y
V8xRto444e7ZQbQvEaEKF+RJGkvsVNOxJxnx2PBtgp2BbhXFw6OVQlxtfEdDvaV1W6MYJ/KwVLkl
ZrNbgAJtzuP4jBMR6qcJbmQgEZ5jY8MLjGISjivODOs6n8EDErEQns0WAmOymIN9k5vxXurhhWNk
wO5do7og7FKuptCtv3cCYDtS3WkLRTLe4KSA7hnqwbqJs3I9BFZFlyDCiyDRXy6xT3m7Tq+Iv8jM
fGsTXv1sdZgJlhUWxJEkHUb3Px2PuIqvrd5xDH3qLLdO7TtIHqqDyWA4Bl33cjT57yHuk0McpA11
rPn3SLmbqPz563/O2uyx+PnnSe73X/x9lMP/jm4G1zXtjpOjHP+I9oeaEf+O0fr7IGeZf/E36Is4
r3nPJtOK3wc5i19HIB2ZXYI8r//kEPc6p/1Xq1JJrbAmwJ/mPXiKmK0OeX/MFesm7CA8+OWOtjSS
4ynCs5Ji+sSvRJQ507CHIe/7A5OemEW2eshCWzvTB/doEiaTLnkaoLe0Vn5NIGdxlXX6vR0whmZs
heqgtAbw5Z3Csho0Aq1Jw61F123hte6xUggsIERALgdUxyI/OEN2ENqwDWQVMBW0/WVHK3GR9ejv
+yZ+7vQuPuZcx6VSJC5Qr9SsDIy4R5v2H/D089LXr2jeMJJrhsdyxJRmp2goLcq2RsbPLeXgKser
vCbP4OiKcYuVqUJWXDyDtTkMBt7a0Y5I2O02FiROPP1XVjKd6yE/1SQaNW38OFWyXJX1/GTLdE/w
1lPpOg/11G7KjKSLJo/EVx7FXdx4zmIgBnhNl3tmquUdoc08pH326AJH3ZCzfqM36UFdAVJDYQOk
2XNSoXJuQ5lsRMaZUORMlTtM+rQg+9tQDDdeMXIgNB24PJn/NASI0I1ITb6nc6XFP5tV3pA2oCDT
kYpadrzHvG+iJBxvHSgrQ0XdItJ9OGaPTZ08lrN9dCPUvQvGKmuLD6R68KWcrpgquptJyE3tV7Ch
rBdTPqp7hE8K+kFiU8mFMiNMG3ClUSKqES5lkFSyW8D1VTytGeRzLaP8EQTXsNDBdy0k0tylei2M
/tMaQO0Vh7AraUJOo1Y0vJCdtdfP8fSAVkijZ4EGc20b8SFNx3OTL2cHypMBMmTSRWlN93OAZAM7
BHA8XxBQ3PJCfewlq8i35guk5vtywghq1ZjT7PE21+3VOBUD9jHE/0EZP1Iq4nc0xyevnM97eKLL
JGriY1rTeh71H14tLv0BMK8Dx3My5W62u2ZXj8i76W/EcYWFoBG7MOc70nQUe6mkbOm6+dwpJ6Ry
g5L/C2LDfZc7AbevXNRmTiZuq98XofHki0EuciVxl2G2N1AYk597a40ZsmPWfN2B69Pl460IjGiR
xpKBvqmgirD7lhSX9CvUdcdEcKSL9FDWRUItZh8rRvwbqf4enxPMGEChQTgPsdtMO3gB80IziLMx
NVJ1Ag3NVUITvtGC/lo43HbZSH7PVFv2EpdBv6vdqd9DROvPMLV6Z2OvaZdpNGXrmgiBy0Krpo1O
l2aPcahdmlomnqTRfp/6xrkwvLQCwQRyt7ZWDQQHtNd5jbUC7/Bj4JaQdMLKxGeSWHVxj87gPh81
Imdnq6V8Y1ddcoo8WkX6HVNYv0zHDPGsw/xIxKtKTs26tkYofHhjHFLnxwZCzcu41q2PmRZdFaXF
DqtZ9yW4AIS8tr3uO/txLKbmqSCOi6cyidac0xaeOyWLavYduDR5hxu5DK4MCdQtLLj958R8Ko2S
WNyaYWPUYxgcTRwBbsn3pnxL3cxtWEMiW43IGi8t3e0QgXPTTan74GrOsTNr/KR986wNzbnlfCaw
ejtwUqs4Gl3FEefRd2nInQzzYHAB/RzScmf1NHAF7rdl4I1HyvzDHBifCULfzslfXw19JpNy8OGG
9zL/+WPP8K2hwxjuFjvkLthGjHRPODmzOPGpSvdtx/vllRRYwuXF6MqThPN2dxpcdxRJUJU7U6aP
fsBqqJbjxBjoJZFMXp7xv/RPxldvFaG/X5PJFSIqJqP899vXDEWB+LRF6zFJO+JMiHMEtdJSQxxJ
RDXOTj5vlhGd1LK6/VE7XL1uu38CWoTgd7/djRmHgPPANEYz5N0Ur0oJ0Us4kezavCFlrsw9yITI
cVguzpMShwmQjaehHXsgiX2/T/qW59YvUPmjuI8cppnFfN6FKjREAD33c23JAHxtesP54HTBArC0
cv1wr5bJoXCaTY77ZczDex0/1MoZrSPGZ7zEJT5H2yZHKUQ3i62Q5eHjT/oPtxBqDt20mQ8yczkd
gptZ7OelaRW7yCSlrNSvdH++yuem/uSKvhDlT6+oZYAKcW0mPO9SashE9Eb+IfcqvMyzlryFyYit
tZ6xCBeOj0HSQwEbGvl11k9XrtRz0sbYQ605fK6V3UyVKggvcWia43motbTchu6WCK6jaPotGh+5
sKs4X4Yh+Vz1aI4PoW1O25w4rzU+8/i80xuY1Ol4PzZs+50ZW3sZe3S0HLySVhE/B4gdFiBSlVfD
K7ejhq0GD4YXdhsEkmzeldhFEwPSqMCMDtFoIaoREQyaOrObr2gCcWY2+d2+p31vbESirkGN9fEX
9g8rDPQT8gUZO7nvw2lg65fY2EWxmwfjpZwYWdlsMF/I3cTu49eiwn73FGDUQ2KIB8AHR/L2CcRB
SJiQNRU7O+1vkHvs8/KzBfNlvHhyXzBNM4mH4T85Q568RhwhnMt0vdiVfl9t2ng0l0SIPamVPp7R
LWBe3qcmqamaecQGEa3dIttrY/CVEcMPz4GjZuY0H70sETuGpGyyPqsToISDYYTPszOItUtI3y4T
DhJMWwyLTp/biyx21r1X3aFlVD5Dj174FE9LePtwKgyItAS2VhuzYZAt4Nptu7GSC92MnwmUU619
pEFjuk/tEM+Vk1CgGsTF2QatiCLCoqHLm7Iwo7Ul5k+0UdY/PLG/x8asw9Y7cWlhVnLE+13sjIyD
Qh9BOo8lDVRTS/nMEVeAFn+yyibvmNsOGuMWLOxs5JcSOZ8XpMVag/O/GQKEfxIO1aqL9IchqcSK
sCx4771zDDrMXl1gHyPfJIW6YSUiALPEiDndY8J6mlt9Ebvxl1FQHUKfw/Gojds00u+x38hFBT1k
K7Jh61fDTWg70EYb7k+rYuFrHZRndNUSnOKYf0x7vqfF2X8iCP2Hh4Q9Q/3LEIzfCFN/c5gawpqJ
8NAXu8ErVpQ448IdeDs4whdBFX7yjZDv/v45QUrEkI9ZnEnqysnuWFtiQsnWFbvGbIu14bTlyguS
fcBO5Rt8P3PJLTlPHJB61UyDyvMQh9nBSSkAO7KtFmWBkDbOe8zHzpzTLWemjTvyR5saF1rvXWY4
QfF2Uu2PBfpSUbVPeTLfjNl0njNFpnk/n4cifQwGVaXC9Uxm/VB3aCrG0lxSrq57tP8bKOTHl+Pl
bI0w0mx+0KcJ5miSvwF0eFMFHYIifI1no0fogToE0X4vV4NMy33RDbex5CDppWG3nGuOevY83DZk
pxDH6jNc6G8Bc1/VWkwriGrNcLsV/BfMhvwPDcTgIsC5vITW1G8Mq2nX6jFqR/tYusMt1g4OEDYT
Qpx02jKrqZb0IDmMdeqt3IqfbtCy1glO9kIG9YVvj0+NGqN1CvWfxQcgsznhG5Ti5E0/JFF/M6Bd
XYrSZgKW77U+2c/4MBcNKZgLKbM9h+ItzGSGE2HPjcnT4QzykBn296gdin1q2Me+7VfCbHDocTAa
Z4LPBhhXtIrtYyatBxM22yf7sfMPjze1DsRQ9LfcUafaApJdE8a5dr5r3empaLFg6+x7PceswOax
VvXXy1EbQgnm3xdigXrmCzSy09AC5En4a3UuVimYFoBB/spTpPJVJkMyJEyvWJPAMO1g12sc0FLA
yTTq13WRhU9YKvxD1fjQOUP2RZBt/gWUAap8VxxNjTUmkdN9Lyi39EZUiqLRoY2UKTBwKmuY1ib7
YSRKvpCQMttNulvZs4I2prxpPI6kfpcd+q67sewu3oK+H9dxk4pVjVE/j4ZbmFWgL8huWdjl9ES0
G87zSt6AGUl2aewcezYRDpndrXDGK1XNS/fv/fW/HbZPOmxs8BT9/77BBl2i+PUk46dO/tlfe/1r
/2qvUZkgZwKw4AiMRqy7v1MbXPEX1QoHB/E7qZ5q/1+pDTrVvsmp6W85xP9vsOl/IZJwYNnZHKbI
bTD+kyYbmXOnCzU2Kw7iHP0MF535/7F3Ht1xG9sW/it3vTm0kMPgTYBGJ8ZuUhSpCRZFisixEAr4
9e8D5SDpPlvLc0987WuT6kaoOnXO3t/+udqlHqQvCPtgX3PmhyqV0rnG8osBsH+c7fyLi3TVb+ql
D4le94I8s4Uv5ZwfXS1vArV3793RzY/QNfIrCUV1dAnHXh9EHViKX6gK441s9IJ5MCVzi2rZmsT7
bphHGDDGWm/beAqtAnwTAUq5UwMqaKMCmIQM5Oah1jrSj9k+ACqrY5AhQw5UJjgbwHOPY+ExYklr
v21Y0m0r+2IrjbopiFnyc42JQz063aEZu0dimRs8UaPhZzijwjJyHrAbnDND+zJ2/PEYhx+Lmu5S
3Bt0BJw0wJd3Im5BYMLl+9iN7EO1ax9tcGjAYxzw2Apfr4rXGhi2+AZ+96Hr3ENc4Z6NBJdm9MAB
95TyS5a/4eyRvm1zKfFYi43a8ksLwiuQI8Qf+QpcBtU9lKkQm6jjvxpVPgOyfKapEbrrAVf9PjO7
hkYeIwobui8tKPMEDrgP15+ECO36qTdkjGjWUfXMJWgKAy5zry2nuC5OHlkUYSH4IwtcmReWSWVe
TYYeDi0fyGjsfIPQ6mMugPpHMKY2zDve5qqtUTR2emBFM0M6KM1kubMuRgWJDH3n3eM86UMiA0DA
AB0LIFdwg3vXXYOhEIYQEHgfUWFdth56Ayxgy7Yhf4kihKtnCP7QyXIOrqbcvz8kaTszyTdbsWkc
ngNtNk7l6FJLqd79hNYkYDMdAzplpzHlQ8VZbh6YxXtbDef+po5LeXS8Xg/HZn2Kev5bssauU6Hl
sE+EHjojClw7siWXiQdrKEqod5Z1zfP8hut9Pavw0Ysp/cKBg3u/8E9ZhAZ31IjrmnoXjB7Ag6As
1+gDDdmB7jTLFZmAXoCp+/H9fpcw8MHK8Vj1E98XGI+3Wty59S2ju8F2i6NKHc5LzlPNtATXAU+n
6/Co1Ou7ELf9/LFI+EeYBl8MjQ/Cm0ebuYGhNXC5EFHezwt3fiLX2necKTpO6EmvEob+0P7Eo0M3
CyoXd9gdeJhc3sb3i1E1vBSTwn/a5OWXsp70MFKd9ggR0CLxnoe2yEV0nJFrnEuRNQHqvMyfOtpb
BlCNLRgiPezAX2zKzuSSqiOfIU7EhSsodhExAc5pozQgRUEPc4eXEjHGZTplFdOsmqeM6FeMF1V+
5eq8qIbKQuCOzMqY+hUhKUlvajGmpzEhD2F9vQwARntVG/RQmgXcl9plHDWgt0FGKzYmLIFjnKjV
TjIlDMGV8BrmaGvf7y3S2tW5X13aY7QuITwCtMs8cl64Nu9P+UKnbwu9wtsxmM+Jsy68LcaeYgMq
qAneH4D1CecVP6XmUu3o8nmBN/J+m4u37N9vcz+QyNR3PEaotygpMy16hsap7K2Er4pRntJs0JR9
RCUYoOb9wmiUW6DlbyhMGAUYvD1kCKZBafReoFdadFS7obp0UlVeW9LauVP2BYDSjC9gqi6jXM9D
RpDIIxdV2ccW7yl9cu1ydhJv69g8ZFVpVJcKLcpgAZvF2lsi9WNx0MCfp9Lc4dQWTCYkv0ybxsAU
hh3QWjA2UDwEDWDRHSYOfxunolMj01Ldq7VlhApk4sCJNRa3iVv3jpiJBv2UIDKHxVDNu6ZnMYHI
MQZWy9eORj7CNGi8RSB89iV64n3p0Eh4X5t0TxKisr60Y2qPqHWUe353cmt1PBIkAJ70OZt3oHEB
0qOAYduhMAdTyHGYiWyQ14W6QUlfXUrblGDQ8zeEDFyamTfg/VrbnpVvciI9bgeN+2pWdh6ashcb
BQeuD0UU9EqhRLc6A/MN7nYCzqL2rXX4v8shA+IHPT1OWU9MpUi3Wte9YDCy0HnTrK1b56Fc27c5
fVxlGq6dtbFrTITxzqnkRKKQJKBt7GFWQ/yUtYrh7b1zXCyfc6soR9+mIiCVx10rThhd2Red8IkN
0gnPAvui31txXtD9ATRwNcdiOAJe4RYaakTDOoqJ3g4ztYVFVaf9LTFmuM/BOxaI3SCVjOQh5T3R
FrPHCQFBSsOEAFD5kZPMs9LX9avwxheTKPnBjw2ZvzFHUIBGQ9qA1s7yP+37qqu3XplD9gJb2hpB
k3W88xkd3E3MVrQBWxBdweVZlC2pp5O4zvXEdQ5EAIhyD3GpVx4B3o1BQr+vuIwSz4DKQcgc07E5
b9NrawQoGsZ6FSnnaqB8gDp2/10p9v/0K/+rPeusNjz8QyjFsez/7GEqaI4sZt0NeyedmfMvyRuc
TJclyL2HcQckseetM9NfAhX+65y9/rl0nlUdM7nzbaj5fQN6NnUmE82w16b3xY530Ejz12qi+Q0e
+u3vv+V/HY3WP402EWpbssr/i7JMWKJiElgx7IuZB2StBDxCRJhuCfXbKezfQ8AvDgGMoP9WK735
WjxPz93X708A337m9xOA9UE1vfXYajL8YAJMmf/7CcD6gOWfWh4LNh505uW/HwAM7wOPLqcDuM4c
EZil/zFhN1xQ9siaoX1aEJ9psvyTAwC0j58OAOupGuk1hiso3aTA/dSpyTNqIm3x2v1sz8ljn/VV
s7EbA9eSXJAPSqcr+23TzrdFDZsuIBGNCtzxoEiqeFfGlPiQxVi0xygdShySVW4HmHemr7K3lXV3
J1YqQvpbxP1tBS3F74bis0l65cYYMLdUsSfw8qpx2EnPnn0uYrqPqMnusp4Nj9jn5brILIQyLk3K
vQP31VwZAd2R5j1plzWbu+IUELoSGvTML7oLCbkOjB/JY4q0st3EhyMMsrObg7Ok0QEean+uvNg8
Irb+nDmt8pgWJftPW9GQa2W1Q9cTh816QGlc0dwskkWilOJELM4rqfJ8SeCDPvi8E+96vvW8nDAv
y1D8jOp/ByrurUG3y1TZYxpf4T4O6cIvW71lRNou/OnJqJ9sQ64dw/6K5DtYlTpFhubeR+NwpQHo
Yy5a3U3tol1KNgEkkNWI1HBa/wLjei4vTbd5hH0Ch1Hr5ZH66TMF9mFV1vmrHJihwOfWovZz6voO
uO/yBPNd3TQ4ZTc4iIftoFLUQfAJeATvpRGFkZPZfh7Z60cAFmzxq71WGjuAbeqNkSukFxG0chcL
r3ioOcw9aARE7d4r/zaOjC2kA4nUGBNwopZv9Clu6aIvYIKVYw+W57k2UWo1zGxxFUZkwhpNQZqJ
3twWE5RSd3F91yJoZ4Yd9Wjm7r0t0npXS/pLmphRL0W5Ey54T4j+tN2wK9yPxdIoLX2+6SNZLPHR
hNXvUKKI8qR70fCiqFh0AqdVjVPPDPC6TFvGsRPcZA4nSbuEpKzfGQybQ1z6XbLRa+Msit7bCjeq
NniKwWPx5jDPH1OCjxQCWErZejsiZxHqxY2mUSDMNYZxy4WvNNr1ta7J4QKnf08vmdbcRwfS0oVZ
2upnky++EXNPoZdmOmktXMt6q7ldRCgQJMELkKhWf6hRmvr0tPr5TamsRdm55G9Fb7PnTFeF3jHI
jOEyUQES7eez4SNHzbRvVp5/F/pfLPRspDqb+V+3ez6iOP9+lf/tB35b5rHqf8CovyZx4YTC3kKj
5bdlHqXUB9ZVHdcNOwGIGYAV3zV6NA0hq8Pa/7sXxvmAAEZFUklHhixPtoV/kMv5E0qATwTjxaAT
T0i3CaHhZ0M1eXEpEHN3vvKqRVnygKpynrelPXm4lE3jkEuQvcEYx82FsEzxqs1zSsok7cT3kPmu
BYYBmJPe9wr3KuEsnRPE27dlowmVI2shkcgz2J/UYeRUVNpmNJ0VZwaSFoCPRWH2EbCqVzb7odRZ
mONp5BisFpFy45XwK481Li/OzwjOavfNADiaDvuJObQcD7EDPj06RA6DR2Qqbjvik+Ai3ynQgdbT
RqKbYZwR63nBtTSNG6DEMgBUt3opG5VI+VKP13buMtNuLU0il6civSZ7Odm1jr4YwNXs6L4q9eR+
6WuD0B+mPwWysC+EwKf3Lj2XlpcsyU6ytuAYd+1hsdJ4m9QU09jgUp8s3Qh9R97RRVIzsq7rkQQG
uu4wFqtjFmMXd2J/yScOPBPi+fZCd5ay0siJRAWRgGpUDnKqJwy4OdjgO2XWONtt2EWyeIsAE3DX
Tk/Bsu3GSCWKbA9JhfQ0AlJWwIY82wX5Q1cNGVoVd6G0dGZ/32gU/64Iv1gRmJRRDP31gvC7te4/
9dt/groYyi/p8/cLxLef/70MJG0XaL0H/eZbH5gX/vcy0PnAGsD8GljNt0rwj/WBYg9xlLfa4jTI
c0g+/1wm3A+E/kGOQltjObrOv/oHy8RaUP4w2KZRZ6G1ZOkyLTrV6zf/Xmw5axWRerNU90DcgzJ+
K7DQyzk6ZK67qSboIql6FCiD2VoftZxaxxDfThh/CRlbm+v/9RE4r2k0pD2WKm39998dnWoL7obr
xuq+7mb1OjIfZ6+5FGMeklMZ5zoYhr4dNh6SSPBI0VXTxNkOg3sVTvqTSbdxSWjxKPGVuih+WjPb
85h6O9p1u6pPTGv0OWBvlDFm9WleTPweILBRaqKOyz9ndAfXv51NE4nl/FEsgDBLdDxKOFve3uTN
Y0nJ7UuaXtXsL2rP8VnphGFsVIJiZ6N6mHn/Op6JPaIOHyWnb+rGRTxM5NxlC8QQECtuQZfWVa7Y
4jnO94YIRX6J4vtELTKEsooZWWMTsL0nzVBCETvPGGLoV2eaz8oecBQEOOr5apKEQ11sRmIVuyE/
SyW6z9qpC3NRMtZsPlPBqru0GG5j4SBJqr4sjCf7LA9adKw7iJyuPzHv842qeimlqe5yUjf8WZ1e
qjVQzh7EZSUm5K2gKRpb8IctBNobN3GZxcH7K/Pv4vKLxQXdzwpK+uvVZc+xMk2/X09++5HfCw7L
ZAFgzYBgwpQdk+MfC4pmqx+ANOJc51z3fnz8Y0HR9Q/wPcAxoOMy3727fywoGmsNvCE6FyCZ/vFk
yfrxbabOMVyMsXwsqJIEX77nvnz3NmN7KpYMgvUd5ruGpNalFDN9dAqjYClK77Ix4+7EuKl7wQmj
3ydJrpx1rwXLQZg9nejUtYJCSKYZKgyojWLjCvUUnFBybJ6EqvJ7bCVmHoHQL73NOporuB4t41An
Mt8OIE7ChmnNpa4AzEm8aiIBLZ93NUe285IZy97DJ+QnmjJ8XQsj8hbMybxRZJrcyKpgg01EPz0T
3zA/E1Qxp3S+uGxBEo/gibq8W7aYg9ujNSvNl0FPsmdAlPOtks9M0WAOP83d0gUsVrkTGHTEvo5d
rPl6g9IrBml5QpJ10nolTamghP5xILU1/8WC+t7j+lNI9H4LbARk3FWV3hBs2x8X1BJoWaZEwr5b
OsM7WMZghY0uO9snCmPVYnIiZXHSS+8W/IN+iSmWr9bYbk0XkmiE3ZIAlwBNVB+8ZRiRa1rJtT6Y
9SssCuUTLHZBKYhd1koz9D6MmnAmJWRAF0Xk7uKEcdUgjPrGdbuPfYHoz2qmS3w2+r2e6Ds61q9Z
i1X3u5fk/+n7vcfM//ClUbCuDzCF+KoF+hne0GBaiGlNQFOpy+hJW+9+TH7UI4IreatAyCQXwegI
pJ5o5CeUfn4JKn0rGDYwwERX3eQal8GzJnmznraOU21Yd9HM37VgDb5SC2uI7fTpJhlsBh6Y524t
N3oAx6XvvDQt0ArTWLfzQt2n7JxExXUEeY+GvZnrrg8XteSZNnp1vFAX47Wyh8up07V9j7poPzMd
7H0zQorCTCqU6FFCtfGSrZU+FY0HwtespxcKenrYvTG9NGS7HAgf6PYd0y4/SujONOOwJWhHnnkp
82s8SbxMIk/3ufGqcvrs4Nx0ttjkjEKRbaAQoX6XyFLedetO5u3UhdmanjJbcKpKninkUSEDmcyu
MBC0lyDK9U8zbaKvbtESaltNnbA5tdJCoujVgAELsfdkk16AgVSvIqqKW7fSxisrb/lyusHYLWyT
JdvPHbOxAK+SfiY1TN6IXuOCEg6xBejGkNBa300lXxgCTuKTmWCj9yAlXZpm5wUqbu5fQAp/WrMY
f2Odpm8Ed9SgsgKg9OMLo6N6ieLRUc4JjsVT70FRU+DjPuALISzHYUbNYYtnp6uXl0l3l0Cwq8+B
Oc3Ja8YZ6bohYv7Y9mr7yWlNXKtJQc4urRrprfOywS4/4tJnnDF2VuFnIx2Ugnt/WUckOap9vIQC
gySjqFo/SxwYpg88bZ2dK/OVuU6UWK7mLfR89OHNgvKws5peY8ir6CGmPTzLmRzlNSO65fT+2BKl
Cz47teerrmVMpDV0E+rCVR9dpRQQqDTxqVKWlhFpStOsbBLYNoZRpV8qNd+1aOA5MUlvQPE3DPbO
xCbhhLmbuDeuSv5R+Pevrr7WmH++uuvlp9HpgjqxaX0irV7Bjt9tGVPLPCReuuisdw3Nw56Dsz93
rXKXLR7fQMt01O2tUO6zOeWEZ8nGa64wKCRy5wKrm32Dd3Dw9aKNjm4+Ns8o9zrik9sJR3ijddFT
Z858GYBE2qFNB2X7z78ARR0fy6Yti7jjp+enWnLREUztnAubrh/UHXndEjm9bQlmgvhQsc5E7cR6
oQPORqCEFoEBcIOFU7UutAnvJO8ec080/s+GdDQc+0gqcVAO0bYt3OiewHpAaEkVU8H9/Wf/KYft
/eKTgQowAzaUtx4Cfrr4ZZd2izlZZ5LVLfQNQkRvPM2Ru2eyXQA6TperTAp5UzhjtetLl2+gV5V9
cJt0PCIHZ9zn6d2hsKbuUNNWvSfTwNt5k0nXq0N5d7O4Agy0zvefSgJR/F5M4o1+X8MtSs0vIpqG
g7osLmaKdpG3gznl1c5Bw8H8ycJJpdPh7Ych+kQSc7YHyOAeYc0yw6bHvi2EEW/J45ZPnV0tu24a
o0M6J124VA6Z2r2uy6+AA1mv9NKkmScaXQsXo8EcXecEkHR7AcScFnLeNIfCHKOnyuFVpyaQt++v
XuQp8WsXKckYwnfn41V5dFxkp58Zn0MJKjMmu57eJq9qI5ZthojliSdv/AoTYF1B1ktDYPVxSKvl
yuSMkvomSuxzkyJGnfUyJwdAXzg1IO54dMrsxahLrKpxIg8wWUXQdTqDUrPQL0l+ExvLKeQ1jXv2
kr9/ECgSf34NGTpQM4Bjsd7LwZ/KBtZqxut0F85wiXvcryovmP++NhME2+5mopkDB4JC6mO8jbeU
Ys2zrffLadFYk8K4FIcEHh5N06w4tig3J38u1TQPRiVLS2z61ZbI9fV11Rz1ywwA7OMaGvlFn8zx
65A6prJBAFU6G5G4NY55yrGrkUC1EJbVzHNgVvT2CwNL27bQcBX7HpCkvRsrcjMvjXOQZvmRlopm
8CnFjD1CJzKktZUTpMN52gi8eq9EKLFE5kRXd3TI9lJbxM7krd07yKApOdf72kxp/0nIfE/Tf5yx
z6RL6BnzJ61paBDX2MH5PHjORMYLwUCBhzXThRkAknde4KCVm46MoGOtZep+8QgVwYaytLulJcAH
b11kegGYh+SBfSB9EEoGtmNpJoP2dEreu6CxRy5B3trxPqFukWgEWA18QcbCq4IY/qyM01rgdLI+
qi5zCwUP1KZbICWTd4c8pJcJ03Qx5Cx5BTFfKlGAHX8f9QOvAcbsJUJZKkyTjpdW3cdxLw6RarLr
LFpmfEmIW5wDxFdNfqH0+O9aw5tPcU9uVbjErfqlLMgUD/oWheLMyq4GSsXAIram/DjzILjgzOr6
Aih/UgcWp/5HrV5S4u1BB5wy4ovJPXQyee6oLfe9wkjGF6S4vekwTslKWJSQlkvOYNqONGzW3TKF
qAvARSABSAK7ixyfLjtPYQoovfZl3G16pv4KnodI3aTGUryhjTkzX8EzYVG2Rv5ERhQIi7y8dpwy
udVRCgdsBh5XxpuX0/uL9O/J9hcnW4MVhcPgX59s7+qhT/6zec7r/vn78+1vP/jb+dazmXPiL7bo
fcFw4qX583yrrg114KBQjkELvh+kOTf2yf/+j2l9YNaqc/pEePIDYgrTModQPGg2YbK2yoH5n/TL
OBP/tEoi6iR5Ec6UrdFNoVf/437pqWznUUQeGdPa8cRZmJgEs7MOJSCC0GmQtqjLqJ+Nwh53bm0u
oTbOHlI3lwTAvJ7u5xxcrCH0MtDa3kXMq44AbrOsCipWDASIVRLmfXxmDrk3c+ZmkdnhUzarh2nI
byfd7P18it1AQXvha3YmsTWskvOyItfIzNXYb9ks7vqKxlXT6A7GxLi8NqdR3MOiSHzh9OZmHrri
VVUGEuiMj7i43oyGCZ4TDafZo2We1ba1I7bB5MCSDeWZRtZwhC7VXiA4QrYv25LoLWNJN1lRyct5
sh0AWBKuUbb0RxPu5rYXgxFAXFlsci9V9bqzFV36kzlHtK8k7D5Htsy12GTm/aJ2KscdE6Wg1VqX
agdFomAdVjWHA5OnQWLSLqpIloj4PdQrLlI/iPCz35Ipuu3Vpgx4YOqQHazz2xjiXDoRYpgbXcDN
Ki+W3sy3jqXAysJwAJAiKn0IBWDW9VhWe0n6qxVYQsYhKIm71qraDZX9A2Qr/SNub5udxRmfKq3W
aQ60HqgIo46um27W1RBISkqp3iqJpl6M0MKWuwrkVT6EKdR95SUnRwAvCW1kZdkOtuAchklcLIFq
1eaIi7lvyWGzsvkM4tG99mJPVRiQtob00d+16PKRZu2Rycsd9CDIj6lmOjdoT3uGLT05e3MKmBK0
+ALpCcdual06OXm/1KAk2XGI4sDfjx74hWww82sFmlCjYEGQBNnsUMEtXXcF6TVVksLPa3YwgmON
UTDob0ZZLdXRiare7p5IDrVYstkbc98j1wO+Ff51ZjjTKerzcodi1HWA2TrLOE5bL0pWUIy5NIy9
PTGjNv7IoEiod8o4c1APFS+jGRTocTlIfQtnx5W0Xsg4Y/5zNaXV3LRbZv7VEMCG0UCCNfJEEYIj
ZCb7cYVia1kdMDmRm1SzvChQ4NgQajOPykOSW2m+0RennLH1lPKKdHWwL5XXvlpsYMQXtHp0rgqS
HgNgdfCKsrxJHiKrYoNQslnXgrKZ1ZtlnOxxi+l8ioKhTTDWan1VHedMS1BNF0qY4gaIA8S4810X
JYx70KTKTzkooty3Wtsg2cHUN0VcxjdtMrc3dpu6YT82iDQTrZroEDQq2C9EmCX7Kn1gSFtQaptb
W3TVgydbQLdOq5mLDz1MFD4Axu6gZ1l0SNgcKcAdBeOJ6J0c7om0Npqi9aRFapXDLV/ycjV59bMP
YVQPE1X052F0qlvOpfGOYyo9sNG68bIxvic+Vl40RaNDQuUk9vTvhlj1aT//YkMElLECCv96QzxU
r7j5f9gLf/uZ3/ZC1/yAwW1l59Kc/bar/TY7ct0Pqoupi4kNE6QfNESgOBxrNSav8HC6wetk+M8R
s8O/WH+M0RIyo3+EW8SY+ONeyDbNeIrf5lkGsjcdeuMPB/dBF0m6JFI5sOzJjdEWxbOV0UrxB9SM
uNLZCEd/FjMNExAMU5DHND1swoWuFjsiTVNj+oQUOR1fGfiWN0skq88ekAGwYGSRpbASlXIjod5s
S5aiz6VF14sxvH7TpZONeww7zxVZnzRk8qyMyxCRir1LbffO6fLi3MlhvFHH57Lu6PKKJH/oR5WV
LE9HJVjGguNirjbyGfVHKX2CEDlkKAb5dhuJf1my9cCDCxu7zb8kSs5gx+hKVJ6z3hHlqc9weXhD
BeRFb7iKZ4kYBsryYuISxNvJxuASVEoDliFO5mbGrvU4Nq0IuuTSyJzRDUlCTh1fqQpGPLmS1y8N
HfOnmhbU9SBmNRiMQlygk5pe3HKsnjhPY/VGjDRfkKzVnuYmi5/pqOrMmfTap8G0HQcUyfZAu0Sm
7kSOrqxvLWOu4Qa6yKM4jk3OjsF9fu0aBOCahYEufwYKhG2dmnmgdmCoNVYDzUJz3k166txqiNx1
xn7li0TdimoFA7iNvRMOV9bfGTitmJcKSB3TbOzJINMKEAZ5dbT62Nlk6NUvXGJkosMitPY4EoRM
yEtsUfRDAnAuXbXUKzyTc/FAAOdwxx7VsVNpE3bAfNTAQ+TRY6808tBMVhtWladcTgt6AvqSmAWX
2Qwm4BGXS6wNn0jXblpKgbK7nEjwuUhcd4Sv5RHfGpP3kYNyNpOb0ayKEEk4SbTV5LWs6jAuoMnI
bp22DflzO2dFGAvZWjukwHUJOW4Sn4EXAlKaopb9Im+NGFWbV2l7+lzpOWly4xN7WXryFos/jT51
d6c1OolUbAEXmk4+pZ8MdbJXjD4W/lw32NfGdj/N8F1isG2BXWbySani7og83vs6dZPTESVdxsA1
kRiniP5b7+xlNlo80cc18LvYsG8TE1uhP7pkUbItL/mLSZoeyc0JgvFYRePs0Z4P2pJzHvcx/zhp
Irl1ZCauhDYnR4fmghdqIAqhQ1Um0xY4XBse1/reNVr1JmaLRzvd8u+1Ojav2tEcahKzy+Y6q5w6
JT+15C1/lJWWrci+mAkvlweInNocPWhr/E9daTGMEemNc2afBanTanFJFK0kgBauWo94ZBomDJGL
Gp3naTTmY2Il2b6d7FvNhY4D4m0JYC3GTGk7707SThlDgenoKYo8treCWNCNM5ieCPJGr4OqFNbd
QDQDBLpU64NVhxZgVFevTZijl71lJzsT+ySwBgEdBREd023GzcR78SjyvpwjIcFQp+NYfJTRZJSX
9tCr4CHJ4Sq8jdksg3pnLmIqOzjudmWhAGuV/TR0D2YBtlTJXS/fyM6YDhjyj+Tj2ld103S7sofG
WMhi2TVDOZ8omXSmEkWLO8iKD+4sitPUGd25mCjrzTxLt5HhFZwquJFICPwyImhAa5Nr7DbQyvu1
eZxeYuekLOM3GUq7G5wI62yqP9lRgqYsU45ZpvsD2FCfQRFeDFuZAtkK8yEhW+uAJboONC4LKYuu
uElV88kbmngzwfUMSXVTrrJFi/bxulrPg/qp0voGKXrETZ5fOzFeAMsryJOEBZHq/RwQ9aFuVZF8
lEZSEVteP4Ax4XDgNi9gxEClpPqZuGtvEzEvio3uxp6y7LZvq0dz9duQV4luW92Wan03pmRgltIh
CVGdS1+d8nGjVyuhaZCNu3cSLQ9mm1PPgCXUIfUd1GiqiWNniAvIivF29txxB8Xf3GgC+TlzeUfd
OKg2j6BQcXrWU7M8gYoTV4jfza09MafjMbqwuduXatzp+CWG6qzC2twpVqWsfXCeprlergGsZBhl
a2Yvbmo1p3aevbOxgJPZEA5RnLB9TTe21706daIe8zTWLhY42aEicOxwypHausy2APFdHr97plPx
hllvvWnhRoULHHKm8fF8XUjQCvOoEbO8Oo0VhFrXupeeLOT5vBJ5EtBqEtdll6MIKIGQjkUUnSw9
Qs0w0Nm3anXeGNwmj/TiTa4TKlfI6DkRanvSG2e61aUnL1L0DGc79ao7ck/LoDfso+CwEZCdwsqv
qJ8skbS+pfCXJJMRrj0+qZ47L5MEhOzSlAqWQc5b5p3eFuFD8WZTul/TuBHDwpirN2ncdYMwr1lj
lEuguQ4Y3qRszxaTkk3rVPkF4BoDt5ne7AiQTF7MouDd8mqB8yofzjyEBSQ+tbjNrMjy7cp2wtRe
xEbT1FvHFOam1zMGNIth3BauQRD2MDc31qR9tmD+hC1s47sSiBjyf0f/1NdmuxUTpjKejCQH+T+q
dsC5qgK2qgMAQimz05ouvVBG2ztaYpr3lZvKg92zRSKbsw8Kpgbt29z238bRL+tkAin+tk6up5+K
5Pcf+L1hpH7QLMehcv6hQqaPZJv6apFwNEKVfmgWGSuQHPGlCY53LZD/rJBN9QN5j2v7m8YTuqt/
1i2CWfdjhYxQCyIRiv61s647hvHTdAWCZD9WTuoe1baUF0omGtyUOtIdwpNey2pcDhOcZ/TLhRXH
rKlRfm0QR/dEnwLdUOQI5VYjACD2k2Yeb02jjx7yhdf7ok2lfEn6NIuBIeO+g07A+h+0com3A1Ly
MAIS/TCjoD8NXWPA5cboFh2TzC1ex3G2Lsd2cB8SWdOQWIrOLdEya/q8qWrERYyYD9DK0sNojUWY
Mf0llb7yLGZXpWG/0r0rvlaqc4iBDl1nnhw/9dC0zlhQhmUzjE301htLeQOL6SovBjaCmSny0xIZ
7TOS7fGTjNsy0GeRvCngEbCWxtaKI5DObWPTq4CHZgje9FheLU4HTsRjfvfmlIpyqqsMNbxDnNr1
qOgo380GI3xM1DK84dowL1Fk5FmgsmB4vpyG5HlBN7Yv7EiE1hglT3hLYxkYbunuhGMZDo0zu7ib
tSS5oWI4WDVo6306FfEuXjz3iGxu3Km1hAmyoHG9KxNw0LulIigIlHFCS6vWIN74SU6Vs6nM2nud
NVU2ARN9Rw1gkA0X7AN9oEd5exyiHI+Z0ACt6HUNpbglymvt3LNRs5XhHGjca5N6nY1/dIbz6JTt
ngjKep8rquAUErmQA1Ia8MCA7OauLaBHa46rBLUuuTheQZyN0lTFjeYQxe278ZLdMAWuhyC2nPER
FuLs24PZuxdaUsOHS5ZZ4vsldpqy045IrS6nDLtw1d1UydAF0D1b5jV205IeLBMcmKnoj3CjV7ZW
IuNbt2/eBL9l2Kv90qbY7Iz6bcLGZqIMXgo6cebSv9ARszFDRm7xEA0yOzAAb0Nmu5kBMtwenxuo
V7f2RF5Y3VQW8HSjI77CaI2tVnscvGSqTTdLL+LsoVWR+o6nRXHTmqgk4sf6naON6XmiNXlb6jTt
ilfuLkMlXMldyrVlcJQo4pIR61z/H3tnst02km7rJ0IuBBDopgRAiqRI9bLkCZYlOwEE+r55+vtB
t1wrK+89Z1XNa3JqcmynKDAQ//73/nZ61aFwR9d40/GKTdETsh/fJ2tiobnpfbHLvxHRBa2QAuWm
CU5f8iAWBSAqUSmg2m76YbkpiSMItNOyqYtdARVcw2DiY/aA3ogG6WxqJAmhKqTasSAcK6K92lRL
dDvW9puS2cZmEeSIm8amclab3jlX8hE3+Q3Abet23TTRZVNH500nhcnL576B24vduCmppdvyBMqy
0a8anAg76DbV1dz0VyTb/mQULcBMxQXMnL3pdtgU22nTbhtrAG9SFWtztrtmOBmbyosXFME33bRf
W236otc9rAlfzAyBmKa9FzxTOzt3s5/EE2SgbChgVaq6Z20w8is7Qge5FdU5hf7zRFCYU8vdVGlv
06f1L6V606zVpl6Pm449ImibCNvepnDHK19sDS+2QvwG1p6ExaaHR/SB+epLJGf+ZCm92gWhWzR0
TaGm4+lIAn1T2J1Na4fbh+puKOPR3pR4jicCvps6j0u8CG32njOu8G64WNxTw2ZWiNeFtX4z6SRk
+QpVBOptTmAvYTYaeucZjQV4/2TnM4dUx5nCNYWzMrUiDV70DH8vyeL1Ts/49qYlfOJ15GzMYi6o
FTasmwGh83YStGcxUcLAjowVR2YJTH7C8uHHadZcC/ojDsSt3HPWGj8w0FGeEqd0r0Ma32Gv6cOi
G3V8W3woDxMDdBitBHB8O875tA0U+haWugezPl14ibjmCH0aOvfss6wtb1Mr6e4UqdKfo47xAKw0
JOYe6Vp32Wcq6QzER93ijWnEvU96jG8E7Mv+TbnW3rAG7Wplc3knxiENljzWn0FX5X92i+zfHaq2
nhyiUw8k3ONwEY2+z2s5XMa1h02gy478F8pGSJFHzqGbpMNTKs3q5Cad+cPseKRNs5mgSTflxRV1
R1GGJe6Asmf+jOeXb9W0PAFC24y1mkivCNnczBnWbundiG70xFL+qLosqKTLkZnHd8Lr1E3KjhpH
3uC4MJxcx4858wNT4QVgB5qsJz2vk32BZHRNjTx6Scp1SjDBWN13rn/o26s2prfGmHU3nRE1kOnF
/AEKOmOVUq/P5mgafh0pp91BNu1jJNrupcHedguOerpdp2praSIUwPPWJI9An8QTDiODMiNVB8tE
zN+3lz75Vjd1d2+uJC6SrtqivNtpzxt9/pFQQwAnc2MR4DWbCRCYGQtLufqKp/Jktf1DPyydYj43
BcAOvbG3y+3CCJPpb4sW50DESPCl37AMod/7fWUPvIky3VV3a0UObVeaQxHSkNoEJNPZ3NT6vP50
+9EOo2xhDMYV4uwSgHkjCV5KHeJkGQ6TXjxPM16AlBVUyEOKCE2vYzCUZf5gbkqSVTqnIdbqoLFJ
RvxXR/53dGQDMy33xv9ZR77/VZYYGsYf5b8GEf7xB/9xT3Zo6IEqR7U41tCtakf8c7Hq6n9YLA9Y
aGLbRczdUgK/F6sYhyHBYKo0TEKkpsUN97ea7P0BEpLNKsIBCctNaP4Pkgj4g//1riy5j0vkbBCM
mx3J/ko0/cUGBv6wo5xXX24sBsIlGESVisDKJ4hL0QxhFgIb3o6iSNtiP/V24yEftVh1XKoU92tD
NSn3LR12LHbD3AoSTMqA1Zmbg9b7rMc+uptsG0wYF7QAnPIsdmvhWoKjBflSiUUGq50jW2tmJ7TQ
WRcAbkYSCdgXKllxBBrVa9stLRsgJJgtWhs6hOdfIkMzMfXkDi3ink4PAvpY8xRnLbtFHXieGwjk
pB+Yj2l/yESVgAQhr0VQtEYmYgEWAZ4rb1Jiqr80UH2fEyahy8yfebOWShF9oH3pFpGQwJFwIKzv
KKxnHTTgsg4rbbLuPTfOzyNS8x3Rhv6Ca1I7iEitfqRHMt9V/TiHLmTmvXJiBaiBD8WfuR2TZABG
kn9hTTzcE+BLLPPFbfmY6YRkMMbgrJ9KOx7CkurlG8No4hCztkdWQorTtHrFfa+ZNm1ya/FA6UdF
Wsxt75LIlQYwm00GdsB7UrYe+dmUOHteHnrvM25cSt4eerg4Nmdvm9EI6JeW/k04Tn87VPKNt2P/
JLqudAlDRl4eGJqK6x1U6uywlQG9znlm7NVgurTWxMhl4xpFF4m4z4GmQwGvsFtZFvqEY1cuZ7Ed
WSdI3vqfHdC/UBbi0Rnv8aPR9TPJ5iBj/V4OQ1rRiWeYlCF1A7NCHb+0hTnf0eJk+UwKCDjcwK0C
t4mT9AU52Dk/eXkb3Xq1Kh8svZeXTBrf0knaAcCULFjAQexLorJPy4CAbWtWccMx6usVymSWKfUY
DQitg9Y5QTTL6RjbFbEM0w0LOU2QFPQqiNaqwJkM/v9GeZHFGrkAfDFNn8x5GkRzGVU7/NfikYcc
Mw0H9LFbBb0muWeG2L1QfoDyBQiVDxVPmw/3/VzpWE8Lt7EDLene1iK1duvsaPuEkXpnLS7/lV1i
+fEAekKQxgMrnmhvkprgI267Tbmp68uCUePkuNttmQ7hsBXz6OeyTa7m2PDc8NiCgrQX41AvCURi
eJABt4IoI1yCJ90V1ozg229NJClFAQdbFkssXtyIFcW+8wSNPjuLCm7oy2pK4sR9nOw5h5tHg4o7
PBlGZk1PVmfD1GLfmiXiVUiehVC3VHq2W9156F3WLd9muRYQsIXKzX3p0QXB6xmGN2Ch9Oq5WyWr
WaOP5nRAjz7OatyDUlQw9mbPLNVxqmhiwUm1Kn4apdOSe2hJk48olKmcnvosHTZqSMz1/5qZcLPe
s6xv1zJgsCvZ/ScWtKiltr01GDtj5mQb0jh+p3A2zkF7i5Tfj1YVPJ6QyDeABxWmWDvSmR/fZayJ
g5zQoBuCsuuzGAawK9+HikrGTyfzREYbCDn+gQD40Fcn6k5NLrlllPWssEg5ZlzEKov1ABv5nsxj
NgCr1rG0277Rtyy7jC0L/d839b/zpkbzM3ir/s9v6vP/26/3f//Iby1L/oHviaFCxzgkPUPwtv2d
JtZpX7CkgTDF3pWEA1eC3+9o3qS/38nEDT0dNxGv66+Whv8IE8e6+F/fyehXsIgcXHy2ZQLy/jsl
ool6cLLxbJ8Lo3aFv10GpsAWE9dYf+i0enMN4Sdkf5PRhhRdq3LBS9NaOnSuYO25Pz7lVaNrxanr
bLOdQw3rrKTJJ+LuyYZzBD7kNET6r1mCF8zZF+3IwXft9SzFfboYDnO85MjuYyxFIN5uR9l0n0Cp
H3qZOpxlhkZJZGI71Mp73rLvmjjAT0ug1l1xJQLwhBvUeECiaIDiBrEeDNF2+m05i9zyVacj9zoQ
IbqbvHGH5p7gTPbUNpH33uWrib7OeCy4Do+qPtvwAlj9Lt4b7zxZ8U8s9hrOeJrTQ83iHbfUUhYh
1Ef3LgMr8d6wVA00r5q+p3S13q+oz/tqWIjZtBsEX43GzBRuJuCO+kqrD9la5Ec15Ml3u7OaN6Mz
WexyDfI+K8/9zOfl6uqtoms6K5Yj/ycCIWmbd6mV6pC1HRH2aqtjY4PI/w+wXpq6S4rZ9WXR6TQn
kwx51vEKYFoVw4uMAG9MwhpvyAIU94MYuleso/TYtct0WFdnefA6Yzkxwm674xSJaRcxWt1g8E1/
8jxYDyobRzMcK0O7Swpe1bNlY6iuZsECti+fk9VBLHOH6p5h2PHHOcYSKrFvXYhlGt80IlByZzeG
eVdJrmlejbBVOI5zHFOxEiOxljFIB7BHwiAniQXbgL8XzXsTuMcNHYJEVnElr9+1paj3bpprB4qX
1iPxcCoWC8M5Jp2on+gyjK6D1lS3lRYPBa4kbbmbh9UehdjPo+xxnu5+/y8bOjkmF80ySK8BZSoc
hulm9GTZnlTdxeBQ2cJNOQhg2KvK27MvYAUi6BqjEQPP8xriABf6539P1H/vRKUU+H89UX+V/fCZ
LX81lApmEf7QbxON+IM2e3AK3ibnb7Cd3x4a7w9Qmtsx68AQ2KKU/zxR4fCILYq88RgIpQB5+OsJ
S8KOcxFzzX/uJxWsGv6afQH2uXUe04BqMkKRwdiGor8MPSbkuZbbcXwaBdoEOz3hPEwiXnnGgcqk
DcrsqH8obcIB0UjuU6pyvcexGvsbSp7Hg9mI5sAWmGqVv3yM/59AnWXwM/7tP42PhDcRSCswU/rf
3T1zZy1WZtCS54xWXd3Bu9Hv3NXmrOeQtKDPD9UTbkRNgq6NsB7iO9DqkfpfpM3op1uW4qEDktK0
Yb3QR/0Nbkt8XZJm6jmwO/FeJAnOwhAe5rpHNtPcILeI+tyxvnc7LZB2r7k3E2ToQDJJ9Ekg8klm
M2IPDseXZBljRA6NQJ/vWXnz6EZdvgRoJqyNMaB4J7cdxGbUUeEMz4/TPWmH0Jtc834V9vDiVdSm
Tm0Dl40TPMe0RIXxB/WS+iNBvAoYJ+BN5acJO1TWtOxs92NkJPmpN6s826fwHjZTpSkfSsCVCCLT
vmyj1zmKtUObru2piZU4DIPZfaZ60kK9sObAVh29ZtWpruzu2aFD715483JwuqE/EwYbT7MGbI1R
kBM3x+1xbaS53JZxsteIsaI2MhU/atJ7100FRjLtqiqgAC15I7FTOzt9sKaLhjvkYR0ybyYIsXTh
lI7zbeysdP3F+V27DLTQrR4mwW6yRbx3M01+gLNQNCwmQF4xZa+8mfXUftTpSnkE9cTUHbnFvTWu
2H/Rl0V2QYDssA7HLZYmcpN369qESNLGvvFyTM7YO8g5meVxtmvrkOdFua+dPsl80dqD37Fs2AI6
4gYEUc2oTeWZueoNMnddHdkYTL5oYvuBT705u3bWMrjm+ilGhqA70HZPmG3zOIhKPX8jCNc9Vw4S
dTMJx/KzQWMx0qXr1SyN+dYEqfqTuiJ7L6O+CXFJkeIFPe7ntMGERlr1NvHJUSIg4C/d0WiW/Mh4
7AljtbOPtZL1GKf+o+6M05X81Hi2pm4Ic5l6mEhgWPYahEVjSk1+oN4kQVi0+MBWYxe3acIj3RZO
tJ8QE4FHN9J+s/hLfG3OeZe63hBa1EH8oLwo8Qu1LL8YsKNLUyQycOe5vZG1xDbXs2t4501MsDjC
9nA0Rlu1QTWZC/2fvQOEkTcwnijH6jp3ZzSFA7jVa3LWNUQ3MKCCft2xkteerbnD2ALbsD96+J3O
Xm1VFsZTPT+Oztp2u0LkyS28g/I8JxOfHj1vqy/HbWs1Jvt8MSxQk24kP4tJTjZ49ql9pnawvPVy
z+PjW5uMqVtFpKsw5Rpuun27Ehe3acx9YzygjpvM8r03PTilnloHJ6vsI+PSi5dM64czrjOkyU4e
PRveJ6srtoG10KorJ+H0Pias1Xa1ay/6rojXUgQZ1GzP5608Lbuqa53vZeR4Q2A17YzKAv9svOIr
k0eCPpSNFuyV0VBGGqNul4o1zM5bxvFYMXNbAZIyW0nFkurOYjnXwgSPjTssY9OD3Y4CGbhMRq6k
ZZffkbCtsce5SDnIvZWGgi7qMcBObV9tjgMY3h4NqEOUF69chJrHdDD7Kpxzw7yQBGxutWYzVjmb
x4pqqOoZaKqWB2JIZaBvbiybZ9RjoMajNa5We4FfldynBjXp9eblgplFq+AyFEFRT+jrX6YvZJ3s
U8VEati6bbYw1mj2fZcuufZWm+xX8P3gITO+7GTOl7UsrlsaV+TmOGtXszkthZjeYzfBZ7g508Tm
UWPJEayarbW7eHOw6V9mNrAY8px4o9o709g+WSbT8Y5an+QBxdD4Vo1F+ggLqBA3XdvF9/Cp63o3
Ln1GQQjprO8MumWxk3CdrUO7+e2izXmXoJahPiAjXHo8j9hAxWQREjBdtKgMzZyc/ubjQ9bhnwMt
N/7J+Y4tTkumfePY3Xdb8/gnMNGvt5KzmWo3Ux3bzJjDZkJ+4WyYj2rzFI6bu5A6L4yG4+Y5zHDT
kEbA101zUkKXw5cxUVl4FMWXXdFZjM262OFixC6E8j2yoTj3ZFq/fm3kEpNzwTTBgs7khxyFE3aJ
/alMjDeTK4GXglV7xY9WHxXDwr1nJoJ/tfg0MObxIFpwNmatvqUTliPHym/jxY3wXBLCd4ZiZ1va
TCirgK2nl3VY11JdF6tyDpLBgT+wzsYd8VDsgtNm/bQ2E6hhDEZQJAv+L7IKEEh07TuVTM1Da5jz
WVoERfyuTrCWWqBBx81umpkUe7ZFNR+2e8lHvtlSeUotICRfblX55VxFzUluu2okjMvrtD2b7maE
tahTRTjsVkeGw6Khp2KQ88z90mppFcyY5l5t1fdl2GyWWvnlrl2+nLYxUfAoUF8O3P7LjesmzsQs
Tff0Afwxft1hs+6mm4mXoZhfV/KD5ozxTiO39rjo9lM2R9ZBfbmATdliGCzJdV66L5/wNrbfUfeB
3a1Pqu8UafX7frMW47Xl9xV9OY41U5XfTasp+DsxJBubNZmVOL43ZzMsu00nbjuOM75Fm6E5/vI2
c+9CMM7dnvWN4xjZD6wo750m7MBahIk3VXn1SeHOJMgyuRpLcXzCCU2i0UT5SNUUj1Oi99dKqeVB
2oIekXyEyWt3gq13mxsaJIXuMfaAyXApsi6JVSUYovmKURRrCyvALIVFioY8s9xZhcTJCKgxoJsT
c5aamw+X7hY2OKuGTie7abtgWkYLWQY9fREEY3YtFK2jq2ynwm412Ld9gcK1q6HIGLtZWzcyrlLj
bSNWRK6Jc0T5bSltIB2ear8Zylm0h9GUhTwMvPSJ7FcryjbPAMwgeg1Oo2p5E0iYg81NRm33HMxT
lES8WiX3ryo33ad5FpJQhqN1W5eWfXbbjIM2QZUjQWXn6kKVVDZDnnQKbKfu/NqiQT9ii3W+N5Gr
DpWNT5Uqukz7lIKGb5cYcnlouhYrixYX0MoSsfLKaBxwWimsr3tYAwl9s3Xq3cWDU//plbpM/VyP
9WPtqlwnizWyOzAHm/o0PLxmf7YRCrFs/Hes+3fGOoPZ6X+NRlxSOha6vwUF//Gnfs91HsE+9kXc
R6Fk2YDu/jnZeQ60my0W4dq6uQ12f9lneX+YGMUsh80nBQhbBOK3dibNP5CI2HDB/9oGMuc/AvBt
Afp/HaC2AlWGJ1CvECWYn8TfZ7sk84pelvq5pCw4acgySfAGsyijm7QXcx1mGLoqXm9j3e5nDTpF
aNe9+WvGusVVbE3LXc2a9wKPS3rUHYAq+TavWBVehZebMPQ78RG7RvxSzIPjp7FtfRul7C+NHvf3
6+TRgp1W2KjgXmrOBQCflP5oQ3c+0DGYgQ5R5dlRMwbs2XrI29780CYZ0S3aNcAyoQj1eItRPl7M
LBqc225tVlIJuT3xPpKFOfxU6wIHxOjIINoI6J6CFb90ExMJJXBmq5s+b4ThfVLWhJg3jIV2ycyU
TH/Drbim1NiynmLuSHTTGCUR8jqP0hdBVIp181Sufpuq0T5y2HQ/HfLaT1QKGkcCjMnBmNXPvPGW
kPKllA6CJmVeGw3jAGWTiKWZ3dPgHmEi9xbzsjjUqQT9bKYgrs2+3bWoq2EvtB8zif6dq6tiOrad
QyqkZGPSeGDKCVpwkK6J01jkO7XukYnDuowYSELRD444Dtx3KRVdveiVNaLzVDtW9Nz2i+Ee26in
+BOvn5WfUbi6xnfwC7+NU5uEmkkkM7Mdh8+Ak7kZ5vJkc1BST4qhoKSyCLwCd3Wd+84ynfuh37Ke
cU3bF4bXx6ako0Y/RDHggkygW/VodTujn24WNbFycNxlTKgNo+nWXaIIgFlhvNWriYF67bT12csd
rFkgi8Dtyq0d9JVS2KHE9oTspoNCk6h84dTnXtcdjEEtOqH+2OKuVqjcSsWPuFvbmN8cURDLygFD
Enw3mloSNokm5reoDG1yEcd0XB9ZvkA7T7hlZCRfGaWtdmsy55ad2B5k8KFnXMnXbXvaWcYU5mvE
/mV2axIkznNGog2u4TEe2gsLKXDD3NWctLrKZkV8trIDLLfo5GTlHsp796JpycOMfLJr+Wf28Yq0
WozLu9AnkE1OGmGpW570XHXHpgWkttqNum0KjRPfwsCFmEcvvUYmIesEfDaNq30h5/Qkh7zaTwAJ
zlq+rEe94atpsCd+8Rbje8kuxm9waO5U0mu+7NW4r0qnx6NhcvHk+vHRVm1+alMZnxub8qd1LfQQ
9MWhYlHdSZC8hCT5fLQmSAutpAVCYxiGYJX4cZL8stbmzZkFs3mE18hu9HWHWypzfV26U+ANIHJL
ay533PLrQ6PWpz7lLbptznejYfHebZW4579enRXEqnYXzdw/yeQPv4j7LYGbkABy+LLdcE0IMgf2
cRmv/Q2VFcdysp4aM3/M3PSWDMDBawdipcb6nNr9odI7bhTMxTQOHEsKIriWQnZXfPqxnfjuKF+6
pjm4y3xRhoZ5yhpmGoxyuhKilZr2SL4CRcCzSVgjEEX+K5c6iI5ysjHeJdiENBxBjRC+17OhbnqL
QzB1LwQ4iAcRXt3pNOTsDNeQDzrL83Drq6VIZpx4tupOUCOT2AejoytMSzwgEW3+iZ6d7hpD9042
x+VpaE1aYCNTUe3Wq5vBxUjGt2IjdDUPmIpCzeWHWqvyOrtS/ci30ywbIoedHBfVM9Fq+ZgajU0u
Gt2OX1i7rwHTvDtN8qZrHes4Y/4TNUDcxKg7PsSSfIcnefEtLfJOAzncEKa194DXluXhanvHTDmP
kd0+TGOv7zkm3HOF7oepLrP7b5wrdMCOTjTuarNXV2UMI57CDPA0v6i9XjXD1Yqt5NGcZ+/Szvrj
2mp9IFXx3sUGpWbecMc8xioaz9jMBMI42z12NowULeEOPOhqr8wMD75WyR/EilhlJrwdcBbPmfAO
qeqfcyDfe4O2x6cpmy5QmFt/Fr16cTT1YsW040JL/tGt3psdG0djoEKyFkO9L3Lcc4kx7buNEGOr
A2sYej9VI8nNxM2BUpjPEq0xtNq1w0dqPNeRk/EAk0dmfMmRXJpJvybCfBwgQ+Zd8mpnBhbaHK2d
xuUdJy2LdQ/a8tT5wAOIAXGW1pp773bmocNR9Tjzqyt29UjzF8eo+z2jTuEth9Ae0AjGV02jgNQg
BuYsYwhflaW20e+tsTHOra1cFgB12tAwUSV+tuQuGbphPSZVf9PX6jSmUXbo4bEyd2o1sSFtz8ss
99fIc1jgym3hIgf5KRn6ObArareXVZcPCUCaHQbn5pIPqUZnyliFEG+Sj5p2C38yhlvctxtnK38R
kiVNVF28ceXFqjwvNNr+aVy6a5M6xSdJ7RsW2W9Mtnk48vPYc1ZlPozA9Dwu5lG0hdhDs3HpzrGs
9TpbMh93VtTUAcOuOFupRVxGMxcSl7H5HlVD/WjqIisxiAD8CpEISzDYZnmPpRtTX9VCye55r9Up
iNClwjcpBM7YcqiHWyMuIz81jPrGGwDlRqb2kmjT9nqe4qAixUQVx3XSHeOV6GN5p8cEzQO55JLA
57Kq4bFUGn0GXbae5tF8kWiCH2zbtRg+fDlke8uZsLObuZiw18pqGW94z9L903ufhTbei4QKpV5O
/WNnlfeUXWOKz7SHYkmGu2xOv3UErPbDbFenZrW/uZ3MnwlEntiC96Hgx9syRs13jle6dcUS/VCr
aMPJilo8tOC2VDUmBxv/wM51a2wmNNf6aTe+e3HchaXuapd4nLJXiOfY1sfO/ROnQxxgECB7kpj5
D1Khy5MzaUDXB/fdzCjxK9zCeXVw/wRaZDO1O4l6LuNSx7+udwfPyYudaVI9OLPXmvb8wggYzma2
b9yUA5lMeBgj3zLT/azb7GPRNefR88rxG7mfUAfidc31zAqWkVe2o2pR+G7aSpTDumXO09v8DH2F
mqlhAADTlfFFGPlNn+HS0CynDofBqx7dAmGS4zYZHugFcW9Wx26+aat3U/XL/DxSpLMXXkrzi7dm
6S04+J90FX5yOufowbYXDG00vKRKsEI1vUPttUtgTVoaRrXNCyL1bPI7YJQSy9BLX6uUcS0J/OFq
t5pbhaIA9a5bblkMezdTJebASZpPcvXCH+Y8Ffd1PeKxdIcOqDvqi7uz+ynJD5Kerj2TacbLq9NK
1rEeZFZ7sfY5d8FXfWrNxa+As9IlIBcTc78pPsrcsj+Qz5Jds/axhzhM1zyqaLgOfOaGx2G5givg
AjxiEV5Bzg56UJoIDAwq28iPO4mcBY6lgpuHn7gp5Fn0c1FMybklHbXPijF+wuPet+LCRcsnBvJK
SPVoG9NPKjCp7K2dNSj6eg6HKLaPUYlNfZ0tj5WtfuC3drIU7mkvHSHNVSwqZjl8H3tJyGCFuFnW
YAStHOxNi3kVTkh1k8iSLGS0FZK6Ir8xe4P0f6vGU6lPYdSaV5Uo8yWVdnvIa9s9p0lRnRUqqZ85
3tOyovyOTfvYopMfdPHBgpoLk4qqUBXRi4jbYpc3RhBpEukiqWukVGpoRxWdWnspQ/b7N2i1hV+0
qETk0oVfaRT2pHIM3BzRvWpxH8FPHikzJ1C3Zsn3CaOvzQV/r7t8xIVXv8xVWYUOCYmdlRZUR9M3
qYRbkJjjapj3ELJ2sVPzTsyrY4WJ3puQJOzY/MzL4aWqF+tOs9eHvmBOMVgs7+eplH5b98RLFzh3
NSIr9IZxj1ZivCJrd7seY9wL3UFEVQiX+fOCfoNFiFVFtfl2oEORDK6q26xYwfvV877quNOlVZT+
zFqiZbMDGivlKcezhLQoEfFmN3pxRH7bJIO8trQDAJYo/+TyS3Nd0tGMtFY+WXOUFznezWTW9ysw
pJdWqjTI5QBRTpZeCAex5NLtWrsFetQlo69+t0A32tP50VxtN/rQOwKFXjbbh2TKZuKJOLu8DpTq
kjvcekTt3WFUvJbzMlwNnaV71Uz+2rUZNFR9uRrKO7HS1v3VJpXnjCORG7oIbiEV/KyYN3KhvRvu
+iOubcIX3XDLmLvwYWR7ms+OYOHHcNW0Q06+xyU6JGwMF4JisZsma++b1DyXc8LxmDQuul6q7+ua
8XY0WvNg9kQ2K0yZplJnbKe8QJV+0jP3xXISCHnp+mN2hs9oiD+qikCoW5kPQ39xquilGldMXsCU
v2sayLRB5sc+XVHqTOeWKM+bW1cYQT3cdbwcd0bs1tcoYmuilboALVk/qInbmdYp3e+HlaBtBpP6
mkXVxPVMux/sZsRPXswrrwQV8ePyJmiIiOIlX1y3O7Y8wd+XNvllZhPPSMRGIjFxqAK9ybf6C6t4
zytVVGGaiuLKKwuux1yZQOO7qnWoYGzLh6k3+ptRmxsSTHZ2UKkWkyYxWj3xq6yv341JbE1qEINa
q25eJqrRj6iw45FbdYZQnJQH6ZVyXy9rfAa4Yu/bcngGSUuyv/LucM2p+zLVxJ9W2g3nNUntU226
8GXyJTtRqrLsrUm2z7Jc6O0ljMAMry4Ipwz4MUCUNaYNo6viWyCFpj+wc78IgE0h2D4EYzrpAzUy
LY2g3PY9O/egJbQdQZs+jKUpgxicP5wCGAqkiLDpIBLjQydlLgfXt2tlhqxXoztb9DY8tuXDLQYy
z4bzw4lzPjEutZdywNrequVoteOKdjleRVFxregSENmZBz1CT4PGdWiqLxLyJLVVcg1qV1J3/PWd
N/kD353YnrnuMfXvpaFKlAHDr+ZZgfdnEca98Uj6VflsLcf9htEIOc0XfvVWGeZZelAJ0dJFcx8H
pckDozCKizmr9zHz4CtFLKsvvKo31jbTwnXpvHOJjZXVopKBEQHYGUjraiPjB9mx5uwsnU49Qp7e
dJncrEYUv2R9p5/7rOlPXWX+2azDZcFlilOKRe+aXgWne0jSr4B/zK+xgpamCACEIs8nX5voaKTa
sw+yxtXOE8aj1AB3m1XFJbadV/wDHWs30fgzhILNLrovhX6IJ/QOLDfMMlay7Ics5a9yEYHTtP+1
VvWDXfWXpV4UScKIWlyT5kDgCcowS7/QCsiRbOiNKEeuMTtfT2ZOZUuPbpIqB8aY1RaXluU08U2l
TzuPWFX3nJGWaAMugB+joz5Sxzq6srmf+2o+pkCDAkbIM0f0K+2g5V4Oc8ioxZMsFsfvx27CvESo
fxWDcYAxgYyy8tKVvXlsa/G4KA1ZewhxFsA/bwTdphoNp9+ojEc2mabJ3YMDfebsfDSWeOEnotUw
sycmL3fyCVYkQa9RF77WuwFFIBBROp0SMpI7sFgfZV95DyqGk8pt9sBGLwns2VxfXCHvWWf3wVwL
g+S1jmvNYuPatsTFuChrgZ07C73gjnououSXK5prtxrnzLV/mMKAZPmjF8Vh6N0/23EBfe9iVC0F
7uiu8IIGSphQ0OzXZvyz7tvMZ0HzPQE+FTbSYMikLjojWYioQsO2syqPTGKJFoD+zbVFRd//D3vn
sSQ3kmXtVxmbPcqg4TCb+RehdapIxQ0si0xCAw6HxtPPB5b4yaxu1vRidr3oatKYGYhARLj7vfec
78D6ulURC/SybpU7LKUOTQoDknnQONNLaHoAOvuOoryrRvBZLTu5RGm2QNgOfqMeCrWKoEf3lXtk
EnlUurPE2TXjYnF6bujihAe2LGeRToaHLNgYq/aklZPa2jXAPWgJttrHgFpvBasa4rfaUE7O0biK
BFixyW2umu3m9SZHAjJulJb2amkZEa02lxphZPkw23iT2L5RYWLhHjmwCFQIKVc/tcTrERQ+eGlD
yqFf07FY/J/067fv5eUtf6//a/Z+f+ZwwToXNf/vx7/Wv/09fC9Xb83bD39Zf+uh37Xvarx/r9uM
X/0tTmH+yf/tP/7H+/+uE+/of9OJr2sALrGU8fcaK5MkMn7vj168+IX4lbmp/xcovW/gw6afymbw
/+VV/PEPwSrubc4ORNSbCLFcDzbzHy/2d5ES9+m3F/8PREszcOg7krDtO3Ov3cYlwOmEluXckf9O
TdXqCL6bLgr3mNLIZ83VuLUSCg3cGRhDSVeJ1GeoQNXnmQp8+LlgiuHCX67u+LhoSHBDzGXrzoer
04oGLyrrdM94bToDD5o2mlnzvcTWIlZOE+m7BhwzhZTRsAkahCLaC6QbxYlUyfERGS1my5LgUTr2
qTvzD4zZTZoG5nBLBzFdMWuTr5MEQm9CH43b6RjE3og5o5bmGifYdPa9UN/xLFlgx8ge0ksXFd27
l8A2WVYxaWSK5M56keBZv6801lGVBFCUe+C805yLSlIYaqTODg6lM3DfXCisJ54mZGBGlvLNIk1o
Qz4JqaqtZu3HdkzYbCKb8zxZhDJs1YMRTC0zOE54UJxpMXtfutAK3U3ve5ys9S4I43VORLpim4s0
5zXSfXy5C58jf3QsGysVFlSZSva3FTiOaOGFog8vSIQisSnB7If3fai7Gz0jsd1exMz3WMlremY4
GXTL2aNI4ydDI/K9lwFnSbGlbYpHXEupMsi6Y9UMjBpVvdGLyRJLFPRGOAfruITiugs67L/m0xje
dN5YrktMLXSnvbGSC3pV4gXQRaOxIve48orK27butGr424LgY/XZSaru4nFkBUWjhxa+c8ugBiA6
sw+C7kVld0gLsy22XP1sMN3eChKgVSewMWYuex0nksqu5G0VAYpxGAnokI/xpGijH9x17jg8spGm
LzrzUHJMC8a5Tlsumzh13rViSO5F3QyLCnLcClCSv4kKI943iBlfE8Qhiz6KSrRlqtjD+oDTGGQ7
0peye/S86V03ALdbeFroLYu+wu3UQwEpEXD5I0I11akFFtP6V6c0gvs8jbzVQIW+T0M3X+s9kEVP
z+p1LclaiqY44zSOI7bSjGgb4t367JJ7CwMkUMltp7nVW9ix9XMAGfWLPwo2pyYxtEMRYfylVCr0
OwVgfdtX1fRkmdk10SREGzeEO2va6ed59v3kCr5Udm/ZGD8D0hUoq2mQD/leWf17ENTibaJzufax
dhBAEYXNG+3FdTLFamdEvb1IZX/s7Mi5Ifw421jdhG7QDYNyp4gF3pfozM5B6RmvoMXFxfAKTJBm
j24qSbN9YY8+FUZZX2t4ATdW72DRt3Lr2EO9v2TIFsgJls6dlJFxAYiQvFRFlLzyjmbbYWitI8kq
2Q7bpLykk519lmFDTnYAl+YQK2u6rZymo6jCOpbHEgtmIIXHiaYB46hptOw1a4jPYlQWwCmc1Rxn
+NpnA5hqKvw4ni1b1k1LQ+QEIi1+RvU1dGgPep0E6C4+I8SrrvCB+wcY8fJgpSFqhCH2X+mmJk+q
c5tj45S+tqZRnhwY5k/mxsgjFICYb/dyGvptM+nhSk98sVFV53wFs4KHynPH5yEx0xWN0H2Rynzf
OME5Q1WzCtpIX/TfxmdFuDd9eRwdfZxDezkY2+2XtujR3KVFtpsB/4sCSRM9xbpDSllgG4v0YTUN
pEbIAEO2XvUxev+R7K0CeVZSUvZGqRhJEGqtu2Dsx5e2jKfPTmB0d9yQ4AYRU/vMBMBYdnafr/ie
NKsyH5Jdj4x8i5iGqIO8LZFXxSrb8rbzbdH6auN7qfxiYT9Axk4WJAMD3VoP7mAvqlw1t5AHCpPO
6OgyGUENIyjlv05mxAgH7Qh4VZ1CiobHVQ5pd46C/BaLln8xSzN8IXI8207o9DaDNWrdQh9j/ezG
qX72m9S/4Agy78ahI9sdfJF/Issi2/oZHPaqRThh8EU9tG2IaZEGc74M+oZDc2qESEspaUJBzC03
ozi38EV9z2Kpodt61FwnOZgVtgwX47u51BstWNaVO36Okn6gVtWEQrdWJ8muHsldYFLJUC9JD+wl
MEWq0vyUULLvM9Ry2wpVx9VQCQoVr/EuJr3AhdZWExIqeEuPddH6tJq96dxxMH2TZcuI2DD6+ywu
6Sby7fHIHunHLyMdv3GZhpWzKwqnP6DZ6LZBbXSXrlHWwczMAnV/VT31jlPfDg71x2h309YiH+2O
nU2+un5b/iqawvs6xikBRy6siIXvh1/ofiRronLp45HCCZG1PY5D7aw8AxuihhcjXfpaTaVgEDWN
uguTrczpkQEo6JFxuRMBdFlkV3ArimZdEmm9F04eB0vHJba8sA1AQn5XPQsYX+4aE1v+qxWGAhzq
EJzhsIhjJwptAcdJQVQRtMRTM8PWwv5GN6/JLo2t+zeJyGsopWOzbkVNY7rUmnPQaMzC7JReOeR9
0m6K9pnUH3dhSvrKjA41ZvQ1ea13MqzFCYXP+K6TsdEu/DZmu/a5x0f4IBoROw5WFHAZ2wGfmc2Z
W0uKedGWLuVNEKwbXZQ3zFGtS8z8lmUJ6nkqshFwYeCIrQfmdf5MoHFdmj7gqRx4yHIoPfGW6pPc
6LH1Zrd1ifC4cB4EjfAFCBQL7pNvswyO5u04CwfCoDjPb+ChyixjOzUQsMDCrDCXmOdWNMk+NIk3
UVGBWyQ0rUcPN/oaSyIt5Kp0thpMCjnHYa0RBENRS2PAdKUl98xS6jvPCe3PZMHCP0FhB4Sm7/wH
w0GQgBoTwGykjKsTJJFNrSrt2zSosD+a3eDfZWHhbfuITbbXrZMIVD/D+GwdFQXtWdsdDn5jirUR
a9V71AI5W2gjbWjExN6OwZdc1hnS3iIY61s5ZfJ2ZhDuErCMaJtpPhAbqC17nLLTNjCU98xZwLwO
WHWBPICf+SpyrX3N4b9tglS+OFXmrbXEv0N9XBNaVurg1jin1DuTJS9cJE0SHXqptL2L7IJkdlq2
AZt2NX2Opcor5sBBfzDbYeWUbG8jLSw+mjblVJI6twFn040Rs1m3RBkkTLWVl6ysauL8gRKivVhh
W1F0q6dCV/lNh2CEWHVGVVv2u4L8kTalQ0BZpsWGtzMJFLnxDG9gV/DiVw5oLt3mhGZ6NQa7ViYB
E+wUaaNnIBjfO1kIiLDUstu+lGgUlD2A4POII18XXT0Sqp72965CT95P4IdcfSxu6IAwHM0sV/Hh
8D3aqlNE9zM1AXeyrCC84TCNHI4BeGPq/UOHKvxRJyX+0SaYfGMjVrCBilXVjUwb/zilLqeV0An2
OqBuEgl01Jn0RdjBaFeTG9F2dIqG0EoOSTPLmePOiFuOmD4Z9pUZ1u9WnnhgFOnPjAYyBasSp6Aj
cX5ohDo4+GLvXK22zjRox4tf0QT2Yb8tm7AaDlGBNSjk4P8y0WFPbPcaujg/WzO+FDENz8yyD3nq
GZ9izzbpsQCbrAKkFATTuy8GasP9qHkFHqPIWlXYhdfSmt4QxtE20e6EpJnoR507I/1hfFdMhsoG
xLBuafaS8HlEi9I8xpmRr/HzPfK2QCsdES9QJbcrK+NwQ+A9bMwY0aRjvxo1A9Gha6Btp2TSp6mg
D5ln3Ji8Zw6R05pAmyUXpWcXBybmGGtbsYnCYjww8LiJRtt8Il83I3d0ACmnY53bGB5z6EkbsKWn
LTylcqT+t/OtR/NmMcWJ9Tpq5kDTE0EESu0tVmdI1y6mAekW6bng4/eGTXoNDDu45k3t7qQWjCCa
av2MOz5edSFmwUkotjnAtPtYemIz1s20lHXgLEcb54osm/BSaBk7e5qMN47OiwOJBcoZN7dbSUhN
rkTh8fPS8K9lKb4jy2JmaEFfoD78sSyNAloX5CrF+yQnU2WhDeSBqEmwSjtt6j7YekFFylkK7kaL
Z/znF6e2/lATA3XQcRZZAm6d4X+4OCoypjCTjPfGUKrPU6KKE+rOiMxUP73/+aU+mpkgKgAE5n9z
9Qsq/MOlYlRYLg5CLiVBuiAwFSM02DEs339+nVkr+PE1WbYHPMkwdWhj7gfwcFqOIyoYvOitpGcd
CWXvXUDi66yIm9tKpal/6vyIifxo52/Sm+Pi+ilEPh5Ec3HNTK9Yf3tK/4b3/Q28j4CEOYrtn1ue
L+/9f+zecsk3TvE2/9aU2n/57//8/Td/7yB5+i8urZNvOs7vPHqe+YtDTwdeLF+bb6TrP5tItvML
NiGDZoZHgsTcYfqzqUTmAxgTfnzGiQAX0q1/pan08VNNH4kHmm3XOs8CUemP3176xfDqhDft0oLu
OMAeCkE3fPrupvyDztXHb+m3ixDp6jvs+vzfh95Rg95YEvk67TggVovBq6dVRAbSkuKo+e2j+k+b
ZH/x9fF6bG6L5xCZp4Pu/vH1EI83VMCDp93QxQ0Wnjg9mibTCKOEK5bBL93lTDm3wwRWAVVJ+TeX
/8vtpEdOPB89P8PgTfu4SKDaEdDWTA5JRX8liuVZcJL7+c2c15nv24BivgRGKiIQed9Y/X58hQqe
NChuo9o5Rn8dHOsJmES5bE3EgfpU8Sn98+P8D945a4ZVfrwcvnwc+65Nh5mAkB8vRxQgx0QEkzu6
EdWBRoQhl1TP+SF1ghxwhv1INnaFZjasGh2bBFPARZX5k1rkqcrVCvpTjI0+BC8GnzHdIxLw82VX
dj4zmiwLSwJy/ASXWWXIfoG1aKESH4UVGL5fYVNvw65uqEXmZC7V6OYTIyc5t4ywByHcsS5R1for
K0qtVauPw9OYBOoUE8gN0dz0VLSyKz+/uhzQnuNxtgHk9BWCsHRunKZI73GefPNCkpkRsnm2XWGQ
r+0HK4opqLCMnDddO017zppnJmLdxsrzr7aX3Zex/Rmt1V2jOAH0tsgPUh8+hRTgXCKBpeIgHMgR
Na/Av1TbtHIoWfF0OXXSv6vIr/ZeEt3IEc107JcwOcy8XROZ7V4G5C/UbW5wMEPrydOM4JBEcbOs
auR5YJvfwQ3616GogcEYSULzsAqJJUOICj5mqftduPJKwCY4Ebod3apgnehDdC5qZ9kCKtEDgfTW
ocuYrokagtcV9mPo00lLUDHGpYebFID7KsJUvMTj5p2kniTIvKURkIM4KOU+2oWnPUcE/t0Q68Lj
iGEwr6WRdsdMxdASLcAHsVINdPHKiY5BXqlzmenO2iyqdMMhi49IXiW3VVmOy6QvjHU3tuamizP9
CcoN0UtdNTDRis32tY11NKjY/I0Tho3wGkfVtC7i0lgEVDKrqHLn5l9s+PtJA1WDz1TdyalQt7mq
TyC0rVdKgOZqI3DZzUEmZ2Ow3F0O4BsNjBtv2qYYtpA/X4HjOQxCY4QIiWcNO7uO/TvdJY9Zs6Q6
T6FW3raYcM26Hc/0/aCx4+nXN6CZqle4gtDp6DeFC2Nw4q3y7fZIuZIuAtjNt7FXbwJ8tzmVugeJ
3QjpNKQRgkHneejCg50HFVO1/k6O6SOaoDkANoHJjHrmyFkwXcRRV4MUhAyhBb0B+BkogqHLbAeE
1d47sia9BupNNuPny5t8ZN/gE02uwUJjuH1nBdX4VlNxLUHWFacuTLRjE7rmFnQiw70MAjQz5SLd
UDt6q0qvuBoRMwzbfFpySJUGFMYyGnHwiuBVpE2xDETob8Mg6I9DkhDtU7b90qWPva07PeC7n2sL
04aSaAPFXOZO6i8sN+sP9I+M0+BbYhMkrv9UIvFhth0XK9eL3qzAevZxs6xDQjbv42HUd2ZnfUJg
ftJEFj4AHYIY73Gn0UocGhv0ZxekGMRs1KABPlSm4wYCwSk5a3WF6KEKslVRTV/iUKDGjnQAlQJG
6z6AlbAmRvUOjcimGaCiJhq9qNKXsCHSmSgauNWjghNFElrdaytZqXLTUsO/1V2GRjCS7roeNpUM
ravjSH9ZGCmt58Lr6lt8eNYb67bYx3lvoSnCcTh0c0xJxHCYCaucLkGWNrQEAzk+lobAD1c6E2dY
n0O86byqskeH7QsNB1pQLjMZMC7W8a4KklfZANB+6yQVhSG5iRmWyUudi33WmY9pTiPSDAxUANRs
thIammwtWAWpJs5hkL4Hg58sp6pee61pv7W6LX9NAJXcSJsR7MLJ+O6xJLg38ZgMJzz92d7NTbWz
BKEzZT/1L+XQ4ziCUsZKQp0/LjOXLxA6kyH56ida9mz0lX4NvMm+s6bEpfryDWJucgzdpZNZWy+L
mrVLUcz3xB2+5PmozTgR4p1q+GGU7E9O5CC79GnpLCuVzb6SwV4mnMnXmaiybYv76pRZhCCha5o6
DPVC2zEwc5mDe589vGWwN33e9ypwEobkwrtm9WBsC5RVa2XaI5KfMd6ZqY2kwPWjHSOI8lgOLVG+
jePcuLGRkk0Xhp/EHF0Tj9sMFO4Kh/DwaLByrRj1iQ03CYihoOp3dIOOpQZa48Gu3LXb5/lzw1Dp
09C50cVV7vRcF9YKdhfmh0QqdWkN2aCTS/jkYd4gBwvxA74TbcXm+bVIa0COnPI3tOvrPftjv+8S
izWjoinlHhmgjyYm46xufztX/PuQ/zeHfIa6Lse4P09F8xj695P8POf+7//EJRLGH+iDv//SH+d7
Z44m53Hms98MH+TU+QeHw/rF9by5nPMcTIwsbH+e8eFw2Mgm/wmHg0ezBDM5xNgmbKJ/5YzPh/zj
IY7LW57HQ/IsOOjPx9bvRseic1lowY/thBgLwMVdKZaK3HQ8QWN1inva/kXwaSwECb6tCKNHnZyE
pa1bJXLJkN5ZiSbYV52FQDkwgrVi1H0bjaFEQV5kV8BIBUdsW+xhKl2DLhhIRGyrN91inBsjlFLh
Y6204slsAILKvGcZ7ExNfXGQfx7LKPRP9jg4b3CMsmk5mLXzZkniZSlFbP+pcUvtHeED80F20OEd
IIrP5CauQSlFpbdWGCFEOCRHWvlSbN0uKK5MzsKGZBQNKWLbMAhEglZqyC8cdKITY+M1VsiZbooq
sM7he688bMMXQw3ZiqAD8SlLM2Ee66YT3BYABDtj6MMTCuN2SVcDmwGMqpKU1h5/AmhYexHU2H7z
qTiGfYyMU3zLyrHTFyYIxdoxAvJHQLgss8Dqn0wzGe9zlIDh3q7beEttIm8Dpl3eFgetvWegpb1C
hIpXLQqmR+KtImAACeamauoq70nWMZAHzx00fz3RNkTakgR6tQl8lFZL1t7GvEGJOFUbzXGNq6oE
a720I0AJWS9f7dAWJ5dpxZXFfL7LqcG9iJgKXv0UZQQt/B7xUNyU8BMRTMlFY2U6TtuyMS61ZTH0
98iIRqcOjTtfC6dDOCQiv0AwpCpOEX3RlkcDi6+FYpg/ZtDpaIxJVsMFobn8HBGjs9jIGlPOl8WA
+I+8U5Lumjx4SgAQzOGWrjg1nc25P4NLbiCwc/wnUaYM+wkp9J+MVgMIqASlxMxQN66oOngZ34DD
KLFIaBsa39pbUeO8ySGryEKlkUkVMdTT0QflxesEkn2kNElhz+JUgtY13xSzQpKKQI04nwMULJ5A
b1SwssFLcnfzLpCvGas82FiCVXLM0MpKVmLAe7YSXumaFyJb+mBTN4Ee7hvZxdMiLJPmS5KUGhn0
ZA4vbPS2JM2WbHDbLEmaahYNd/hqXE3nH2xR8PAYJfizmBryUCaT9L6l6mfZwlR5FkK0HPDDEPG2
TDXiSTCWWLQ0yYsIsMff0qh0T9+uiDErHTYMpq19nxl8NqvO5P5Cqg6eepU2YnaVEGdk9yZjJ6UM
+w2mVi2WNofco6sr+VqZ9GgXlQO0I4wTx74Lk9Zfpxa5cfvYImFjJhxY1rIyYx4/tIi32I65EOTu
ZO4zxrFRe/r2LJkdtyFaCiToCJ84ti4c6fIp0+CzXnyFBwemco3du3Z73mem3hWurx6/x6bM5rfU
1Of7I2br3qUZ/fLou3V5HBWWLWbtMcITAcrahbUNyT4twWpSjlUQqPuMFQrHD9iRXDfGTVzJ7OsE
fQJ1oavNnymcATAZHE3k27Lt+vLoGVhPcVzhzp5VVz1JrOa0qycXYEovhtsuGeUr0R5QyWn0G7j9
oiJno7bx8TSiXZbSEePCMTU68LVJgF+bF6G1HDFjXlzdC46JP/pPvJnunE/uGfdJNBJxl6EOeG2Y
OQUbLzGHB2aq1hb5br6Z0CEt9S507tq4qT8nGqZa/Pl8LTJmpw/CRbHnmYoPtonxnRfDDTi5uq3x
6vKU+dNUOkW9bHqVIaL3Czwu3LKOXgn9Jgwhvve5ktQ+a6MgCBgJZK+xOCDc3IdhYu+JUOf+joR8
PSnPYwUheKfjgnl/0xuOTZAtrci11lh4Niskaotc2RJjSWxtmaZETEXYMe6AzBf3WVeihehSMnQW
XhrhNywnb6P1any3vdw6BKqJd0knjC8ZI9YnEbaDt4Gah6lRufG7VQ39lUTvcS9zmHQgNoIlqY2P
KtHUU2TaNYf+FPNx5ot4OxqU+Bg/s5MxFMi7/aFAeJ+jPCRD6h2qOIZDC7jZkc6NRzMA07+NPzmg
Y58CNGoQulLpmbMrlgycM4NlB39HrxD/DtDVlnEweScnrEgBVfk7nZvIXtOn7yCtj9V4KJpBwI/X
7sFbQOrQCQ1G9SQ6iAtZymp+N9lWtO90fwufeoAVZXVMqVJ57onSXKRaG9wWnWI1Gb0F6mbZ3htF
8WKFcLSWDalY4RZ4uXWSaaGbj4G0yifcIeoBmtRt5HTV/WgSndyHtXEfGIb3gH+T4GR0PuKmoicI
mDeTa6Rj+kto9sPRDsR1om58bpGobsvBKdXW6YtyLnAwVe46Ncxf/H6HGxBdpDRv65oWjpvLiPO5
HumnHvHHDK5r9Ls6KsHCmFhvs4T8sZoEAbxyAGrkmgSAQl9B2ug/BXIgIsywWyfZ6Hnb5ruRrD3y
gAwbv5dVlUxZ9OZqFql4jU1fB0cVo6tuE7td5CjU951r8anureTTwPZ+7LO2vTAx+9QrUZ2JLWcS
g4ZJukuvCJpTTXW46pDrPYy+ZjMwT4w7zMbN184e1KfRD8vqbWj0rLuLGT+GR2CnKVkgabGkBnyB
UxTcRZERrFI3pVUqjOHUNSCFM5jFneeqQ1tb2g29D+pD0wrHxejl71kDbqhiCrQOnNG8S2JSGUTs
BiRS0Bzwpe+A7Osx2pLdzZxTx5p08WA1nnWMu8UKTq52Z6dgfDzGPGtulwfXheGtrPPiU9w2zAFL
+Ri0kjgmXZEEWHbrKOFzit7/1TDDfdIn9UkbHfsFMQ1SIC9F/2qgQliT/R4dsTih8xFle249tRNt
j1HYYxgc6UbLqlnKwT71ETyNzps5mRGRRwibzRYk+qhd0K6aWz2OTjleXNT2xnOQ2B5MJDeHRlXa
SK6adAXcFgYQXibWQmmvowGzHFQ1AGghdRMwV7bwjW9bsLWw11l3THbdW0G6yEOpMIcsVNGVvJ4I
sPA0bIiZ6M6lSp2FbMNHlxbRsYDEsjKsQS4Z1JGz0eT5Q4yjDRk3x4+NiVyMuHMs0ms6ddqibSDY
k98Iegh/rbVJLX286rAwjyMEr2dMeSxQblieWYG6XTygI101OcPrRu+2smgj/mra8miRM3EfOXnW
LaEn9WvgtXG0iHByHVooPXeIkPSVCtw9KgBxKtNwfESJEbgLJ2+fojZ6wb6P4sIxBAcKekGPnWQ4
69UDtoqqtg6uzIfdoIfmwoY1tXFbl/ehIZrWXeS57k9L4bVgjsY0cvgmEMK2lANdSxjg7I5ZRBZh
5eXZVtKjxLjHC+/koB6CpPQ2pAAGyZrtsN9h+8VaMGe7ioDKflDGPf72gmQdZAUrFIP1sbRH21ro
0dgeoZxiGzfNwdrwO8PZy4dIgJJxui9J1bpfBUFx6zh1nWmH/xgFmOdVO7IKg3U2H60kg8JF1kFC
mGwcDku6A+4aCYJcJ0UXLwXarnM/S8yDMWuW9AJn97aHjjzJu8tUC2k9sr+l56bILJBtuT/gFWgQ
cNSpU963+RC69xketAm/rw/qCsTYQhS9/WvKxC3c+G4BH67TOQuijkxvQjbZsMuGE7V3vR6/seWS
WgR3NceAswkLmpV3tEIyNLoCIt0Mp8Pc/BrOuLop6BPI3TDsSJccT07tOBfkcFhb/arSVm3ptAcs
Vc1xQBGLTGmG4jlNfY36/ICy/igF4aJAGSoaGWX9mcAnfQt8SR2Mzgm2KhRPHNT6jVerVecp+y75
RuZzujQFeD7kYXYgoaY3NrE/TQBPv1H9yqzAOJeb7nQP6k7+OqQ5BECWPHyxskBmZxUtN8QiWjJt
lZZ/HruhvkVjM93gIlDxOpSx0yI5kldsLEWK7x1QaWBuc+b/5KHivIIa490j2nqWVjZER1ylXnCy
Cv2t6X15HkgbhsjEZ2GfQpPifU5GusRpEuHeNG1Hf45z/qR64OhFcFvSvtw4qFSVli0d2T9PkQ1K
1VIi9G5DU1a37H573Oa51u++q+T/wXxjLny/H6b4OoNcm6KdAYdOnf5h/JVyWArcWi93zjiXTk6c
cExsiWUO9z+/0PxAf7kQOQLsCIBdaLx+qMAVh/kKseCOUDjnjTo1z9ew0zir8TbYb3UsKLPCcuA8
OrHgvv6rVxdMyAmzFSiuoHt+mF1LbTQ8piPIPxNpXt2+Fyvm2SNHiUzt4ExyVbfxOA9qPZrMxc8v
bswjoh9fu9DnGRJaQA8szcfXDiFFI5ZclTs4cjw6VunWPntpZV4L8k3ylW1grGRHG0GOhJLjio6x
ixqgCL1sF9qDcf35E/o4QWNwRu4wJBwGsgxXPz4fiFPtSDi62nmK2Xpv0X5w4si8TqNXf/GVEW9/
fj3n4/zT122kA46JQkK3OR9+GEpCrRphkdblroAZdmoi6jUMIHwMtCbHV1S2n8l2sO1L2IkWg49y
rWBc1oYW5efESTK2O1bztVsVtrqBIW1ccuye8qBMw3/qosZfQxPgk2RPxawVzt36C7Any6eLYzfT
g+lqgSIPKFW7uEVPiK3feSudrm8easN36s3UIFysl4j8LPsTvXSs34EYqNLDwLEo8EIK0JRt4pp7
lnzts7H+MruNvoqpKx4sP6SMa6qan3dNXb7qkEVAclIQa/OGqVNVG1pwNxE6UG/8hGpxK8JS7UZ+
UN3YpTTcrYoMd1jXhihfvzVAcrcyLt/ehH+3N/+mvUnlbPythuHwrur38UcBw7df+6PBaf1CxJ/L
aJ0Qk9/oUX80OD0HEQNtTc9k3v6DEYasbiQ5VILQiU2aj98lEVriF9YBT9f5F6w1uvEv9Tcphv+y
wiDDcwRJasL0bLr9P66udGyY4GHn2vmdxjmASLZmjTJHpccICdtx0FHBPYROjfODg2oLgrto7iKp
dTlxFAY6Wc59kAhQ9NE+C1qLHgoODlMOpFiBc4nvUKXq+AoLi/DuignKoPWXMDWQq4FRCK6DWTgv
TDXeMoN5Kg917Rg/kJ5QTne18q8lyQ3LrEDvsID5FtD2MNBh0Teazm0/+0+YUxj3tUuN3shGf/Hp
yNHE0GLzvij69FAr/HtlLtCEzwKu3vW0NQCM4ZIPkDYNglXug8nUABZp/tfapB2CGMxCedblaHPD
LoEsg8gZi0sHCWLqa3852TW00/lGpRNSfOVFv/L+x0tNq/nt3ujU3kGSSEKJYfrlMsnb/YTJc+lZ
CKgXNaBYE5rEbJl0cz/3n7tkqsJlkQmdcxJmHVd2/hIuM2YBHQpX09dq32ktVzdomhIxh9Syjht/
2cel1RLx4St88nFsMs2t0W+oRDDiN2WovbathfSWYD48DK1lnJSofX3bO0b2NKYZTtyOo9iLymeN
QDroPFqWR8ONkJn2dYr6GRpfBYc0GqIvGrOgC30Z2sTz86vnZ8UnW8FZ4b97E49osSjyib6Giyti
o6u2AHM8dqAUIDnHkEzXtUDLXEzdbN9pYpOlzmhJi2ubNO1PrhlE0S7I6Cnu3BqF9yZyPHy11jRP
U5MAw3+hlelhsst9p2jUYg7pmATFofkiNV24G0OOAhJCaiOXaXI+C6A4DklbE0VemkAoSBCL1zZ9
/gci7rInpVnZQyTV+FJBOD5xrPOvydShV0Rm666Ys1uHwmnDY1DZ0TMtK1pG/ugcUeRw1EboDayj
QZzQARtZJhMhas5k1sUWNwQ2EqcC9QHPyp2xOtPrBIp2K+zah3psWl97F74Pzo48h+RvTQMBwWYS
p6zyehNd0qzksfw2kxuXtmhvcqRDgwm9X5Vesm7CtL4Pcn88x1OfLq053WZq9OCcu3kMoizsxdYg
OnCjssh6yhA3bHMxaPREXCzLqFJjYi5TQ68fmtJ+cZoMpz4nSxCK/8PeeXTJbaRZ+6/0mT10AjaA
xWwykbayvCGLG5wii4T3JgD8+u+JkjTTYn8jtfa9aLUMi0wDBCLue+9zl0wfGqjeycbVWHk4Ftdl
HK0Dj1TP26e6r8eRNPdgR8Tf+VHng4GxIwJOxw/6QHnf694ftSyEQnQX0BhXwYY4c7wryXhqQMiw
swJnPWOe1/BW7PRbpduFZtPDA1Mu+ISjzuNG1T1ENMVxY1hVykWle4qqgcYiqx6AOgjdYzTqRqO2
sfvrUbcczb6dX1WGcu8G3YFEAB7Pv5C6Gin+qEmiDo8JaNCmY6hmIT9PulEJcSf+tnRZhketPnUL
X/2qG5iqjzKm7KOYiUpKSpoEP/O2flQ3GZmucYp1o1NLBjbbqclMdmMyAS2DMr4+E0cQuzWjEWrC
A3FeRVO/kLJYDlYrBak8wg2gzuJGkBqj2YVNXDGQA0+qHlZJhfGXIkCSciNyTzh53nKloqa+T+a1
/xTw/pGxo5XKzKasZR96KwXxIz527D0etaO5wmiwKRnc8v7bkaRhImsTFafptswWkiePPCDjooLQ
m9WV2RUHvXzZTqCpNyKzmFjZXtNvu2CaD4mIq61ayrd6hcTdpYt1qrE63NTLaDxhAmbxH61k3Qdq
zoBCVMXQYLZdu7vOzwEmVRhiapSte8ubWJV6b4xeP1YWZMboB+fP/FzU3KHo5CbYGn0XNR6L1ky1
80unSj/0DMGyOmmuwoZUI1kAFNDDHLM8M0SxHG4HZT2Yrv6DsPrPIRZ4XgmN4Ou1EmqCjq6MoLrh
ab/cwLKol7Cu12HXj2RBO9qGrv6zXfq3IsNo5mzP/+9psLZ8Xn+f02/1T9sl/WO/bZdMYf8ihJ4I
UzDj/YHeSdvCL4LZLrue30ob/nceLPkh9jaBzznpp/0SWylLw99xH3NjcYT8O/Ng96dTr6BFR3sk
XcbPWBw4+f5xu9RmTrGquMouHXnz5c2pHQxblSMHh34POIF4dRS2puWY2nVfGqeajii3o4lAUr2o
QDQSBFjeOxIVTPxE427nbJnWq7ny5HdGWjJMPaTQtT1WmIxyxjF5oRbnEeP66iPlTSMKX/9ekLzk
zl7AM7psQtYsAdySGoO8nxjAwAttvAGY4KNN8wDOdUUK9rVAqU8XbfhhCNmBtKjKc+obcIt9ieFo
Kt1lzUGaUOuZXLypahv/MbHkqgmNwrdZs0wgCpgTyduU/VOPnd3c+SSGCzSJVg7reKiaybfKbS9K
4KapmeZgFkT7jZbdbi/bZrlzraKiFH5RGT/qLcb6paEvOr3+zw34792AWKX/9AasuyH5x/atq4u0
evvjTfjxo7+fWVzsFRwyINNok/VHR/rvpgyH20m7sYWJrZXgAmrMb3VTtkdJFewdn5Z02/pwXvxP
mt/+hV9qImOgoAhOxn/LeI0Z+edDi+lYZOkRoBCFhC21aeOfTBkyn4lZFlS6MoxB/zADHTymj6FV
sBA7SnWHqRE1BFcKHk4RHA/nxC4igCazsupvLQWbYs+uq8x3tVvH7dEoahNuXDNVpUCotft3mu/8
y6ItBWRDzBscWM6J0SJawWLhWoSHZes6IjwAKisY9uUFZ4YSoNAlSKL6FUZ589qIFfkAaCTSDVZN
/2IyYXsjNI0MEWiqZ13FnrcZa8tvDhZFkd2uz7XiAASGkX6epcud1Q7BC1t3/mDFZiHdDL0/P3xM
9MvUnB86SCunKNdDdbuZZYcmW+U1Mf2u9kGfIMv0PvpDwRgTg2VSGVsTHny6BW813y0Az5gVj5i+
Ng0AUVKEVtwdBfrPk14H36Q1z3d1bYxHe0rs51UPbysbCQKhn+EzRA7zJrZa3j9pCvwHHtW327ZN
0TVkkMGKbYK1f886PdymBd16SvuCyW/Uimkz2x2/DI2qvsLQ4b4tMT+H9ZIX4JpKj94gsN0JO7ae
sijBKzwy7sWHEcy8ayfnz/RzRJUiE7z3oHCZs49K2AxVAIFViUxu7NzILiS4TIhAKUC5KJ1OFFDk
pwo6os7H6c8T5o/2PswIQyHXNf/m1y8UITMHQpPil7BG/Q1jtMWBI9a+/0x1+jJfFCETM5xzDNch
g4k8vTdKi7dQw5hJuZYS/ur3lE1v3WLkc1GZwWtMmKdGGxZ1w91KQ8bpoR1KyrYa7UD8xNbXsfdF
ubJbn9T6I4lGrepNVfCyFOphWHt3v5CHd7DDpCCG2ercS2ZyDlnS1tiC8UMapPjxVXMWuGpLLvQc
EFy0h8LA77RGeqgpaYDGRKFtIYOwKRrGQ4fVfJi4GkgY8s0G9sA0m9OODXvHRHQspMRrQaaUi8+w
iiSMJl1/KFUzvGPhovdXDI15k6iWm1AGM19w3YDB/s1VkGcNGbAKHFG6zemjL2kH0w4Ck9vyUjfI
v0dozPbJoPyMQT8jSRzV64jho6TYHeok9EiQlyVXTGSO/ftMJ2bMUVLbFCZ9nSzB3LyO+ivybVA/
pYtc55sMErdDK9JDwHl6J52KofZEg0bjmM0rRKXo5eMSTg3J55vjh6j1zZ7pizTypvkBKwUfibLi
5W4mf35XrlZ95SQZTp0PgxVbDz64oW6wcDRUoHfhSHTxqqg8/vXHLcEZLj1ApePDW8iJHlrBwsGz
sX0F8dkdW7dBx2Q0ZT45qo5ejExAmG+Y1nHkbeNyW3SSm9OjXW634ikHnuaqCdd2ydsRqQMQaeYL
beky434QggvMsLnJ+xytGIYf5p7JGnjXYtUyJ5GYk8SuxKy5CC5rq9XjIV34HRAT0SoLct7A1yQl
CXdZO+FtMbp+YT2N1yAURSOPntsJIBsZwm87G6GtEvDBc53zfu25Y96y9suY7GC5codxtuAFQdOY
H0qrVsnD0s/N9YcFJl3wllB7MD/kAcuzX+U4sqiZ4ff5MOjkOfv5bGDJEEQ2nga3GfkEEUgfGi50
YNiwCl5zprzHANP3gQYH60naXPMeO6ZoTwVLtz72AVu44zyyRNq0nl7mPOeKMgKLL4oWBfMpEoCc
znEt4XfbzHcSWtwyUF4CD8zoWLibJsW3VKSRHjRYLM1mtHBNcfLlAqfmj6+16xlLCEWxy3auMEG1
42I+gVVWpKU74KiM2muuF7NHba61YUshiTGC1EJtqp1jZYkDGhN5E0e7KdBXDizAejk7Wcdvb2Fm
fcePkh7SxOXq1j4rbJnBC3REM7tymrE7jswo2v3HNe9YDj8kBt4zLEB9/Y/SAzaRTsELe1rJ+xR6
2ZtwZg33E2SamaR2z/rW9QO9RImtr8dAu5ia1g9emAXyRf66pGW9mdK7IxWXkhv53XjKKHk1sEU5
ijYvxLQ7x+PuKoocr/So+HiZce0/7rhy8p0XhaUDvEfrdsn+Y2Wta+RrYtZ++2LSVVG9qDhe8k+u
slknaAbihZqTSg+OtqIFhQp22diW92YyWluy9e9VMgenrmn0w4BgNg9nMDLEwYm73qjVZSEr2D+M
Wx8NytzMCeST5NZakuXI8mOXKjTjkS0E4yPiGFuvXoOrsurxeVgympmcE2Qo7tes+J6JFLlsS8w5
fuFR2rE/R6w4Q/HXCv84s9ZyTwLBYompN4aiEGlr47h5r6vypY7N7hxE8yjUZvEVFk/P7p4sTJ91
oB9EvXaCYqdpoPKO/p1ZSRFx7+IZ7Vr0BHjXw42rHaUwoeLtpF2mqWwxnOId/dIO1s6w6vbSa1dq
N8itkLBI1Gb8deo3MADsk7EB2hzgPb8TekIYBMOnqh33mN5wOqJe3jXOtMkYLUYfQ8bFKxqD50QN
/eZkmnXJqkrBpO1Qa7Pagv6YRjRojJ61wtfukVs2Xutk26a2yqNJSVeySZ0GhrST4w+orAnEF5Qh
McJjcykZACIr1TJtkEGByi0e/MljwGXZbWPYYvgYZBJcURO63vrzIM99FvCYS+cWN4GBDbVU5rNj
TqAFSBDfpmvun6UVcfWaDpuSxK93sZ81aBnNbG2yXI5XIDzFtbSZ7Wx6w53fCqfOnjGYPNNc0xYX
PI7OPVXB8E6GXmHgW7tg72Mo+kGxd/A18RGSekVofeUi27UAlEMfpQg4chYcxcSYfZkHWLt+M4PZ
d7J8Q79bdu13SbZc83l579ngV/t1VBHP8VTs4lQ9B7oYIQe8c5CR+oL1Vw9R5VdS4Qu2iKWi2K61
9naOtcoa3O6+x2zE9qfydu5czt+y0XoyaDPAotP3136arPcAitxtLcdyX0MlPUTBhEc0SJ1d3PZP
bTBi5+o8dka7vmzr62GNWKLAlG7pYWh2MfuG81h25tnCcXx0g7o/5cHoXGobTAMfWoUe2KLM4IiG
ydb6OwOsL4RBzyAjWOZ3TpuRn/LPxpqbtzwEFrZ8APpi3/BOBUzd+xhqqF3Z1dHiRHjw9RPCXgDM
zzEsdhBZJNTTxXjtCSKGWdMF12umDXtQ5GEQiYccYftSY2x4tmbLuFDuWcDg9SU/x/Te+zpMBZGc
yLIIuMxVS2J8qD9nOtqNtbWk5TQrrfzJ6iL/KJVt3AgAUFuevBKqhbMfJfTXrM7Lk2Lc/Wbk5efZ
0BqlCWkZaazrsc5w2WBLotNzAVRxEFGebF0/x+RWpHFIOxMPIohvp6ly35skdnYWDKit2YhCr1bm
ack6+y3qYOaFUd3Pn9kR79hdd+wEU1GFSy7y3dDCAIhaVhRW/q7ckddCUkwteRT9bB8Any9hbxEf
cfGkqksyGsSiGnvMgpGFxO/47AZXPECbLkygBkW36CpdtMKHNDJnqKtZ6RRHufZT/M7iH++xO7Xh
6psNpN4J/m6cRJzy69iODoOXGCxMXeodfbBALwYRC5/HXmTR8TaaSdg1AyeQpN0hWtTXac99kdqD
eoEWXJxWqFr4i5d8v67Dijgq+MdMpnvPKsSzimefS9wua8c4p4QJaXHNx5JSW8pY4kvcljfot/0n
Deq/Kjv/2svxqvHwih5LbLqfgbp73QYMdTSc87ZdQHh7zShOZY7ofjYoJrIA/NtUsSI1ja3aZabB
zgk2rR3dRjTNsZvVBmgyZ7X/GrUFi3qUZapZWL4XgEZMmrqV2A1W4NXdWgW9GJu4N4RisuWK0X71
k5Knrm7D8GBn+3a8R6R2y6tWdPx7EldYr4VbYhOeOivodpRvBbukS9htVYomwo03OTybtJ92OQtz
nXEc4h5nL1psy1axLScU9peWAj0x/4OlwHTB4LnaTiAEHI6fJupTEKeGTSYMcPzEbCtY5rGneCMn
f9e5gdtukXco65j79g1E9vLQDpwy24RTWIrH4qGs2r9oFP2XiAXqHE8vh4iFIynE+Uj1/9Np3nBb
Yx1Z8RlcMbfbeASrHwbEhJeewzlkaEMfXPBM9e8OLolTM7EzrBT9GQcTHka67ftG757Zkv6TOHL3
62fyD6pT7mpmlv1//5f9c/ZDvzDPcQNAAkwfEPx+khkmATyla5Nj48XsLQgU1Zqjg4NVzjzP7L56
bAC6OqelZsMRzkh++XlyrOlhdCZwesmkghchmChsiACzozEHDiAfjoTYWdl4pTHe5iKCfoIbn1N6
FYiiCw0IoGwqZDfDd0XSef/1OEEkbn4YsbNz+SzNjMtMm4oZHs53+gn8llbgDSpMXnm+wQbJ3vXP
P45/8eGYzEUppkV6sSQCzE8+HBKwRdoMaXaMaqCzYVkzJv20OuvYf3aWlcSEUwbsY+uKLJy3oQri
r8wg/4p30AYgE4YneWqbV/FTFkclnlmv1hAf3TnwMRFXfUzOIzAj68ZEIY05pkTNAVt9gvm0idYK
HbSPbuJqMJ98MZo3JGQ5j/ztj4UZvu0KDnwEvX++nyp7jOokc+Ijbdkc72b2jbs5pcaFvXxUAOGz
2DOP5cq22pjiv7InfVyDf7ydqbkCDMD/OLyZPwvS1SJzwEwrn8lScIjOzHYhVNe3fpnxhSSLS5eE
TRvfUy4j42Tqg1vlADeDcdc21q3jLcxJNiIf4uQ4aO2laZG3f0BG4fRb2Tyi//zjsv7FcGB6EqeB
Z6IbOF7ws28sMQ3sU5M0aBJ0WQOtmv7Msz/qo041cw+w8AcXak0m47GyVh1qKhMu7gWs5eNMZqF6
jG0YiVt3xfJGsIe/5Zbjr8RIlpiWIY6UtqW9UAog9HwZ1RinxzpGAdumkODjXQy0/rguJX+6a+GM
DL18mVhnOBC8f7zZ/zhn/tI54+mb809GQR9KdPiW/1zlRhCQH/xNhw5QlFmB9cqrm9nwZP1PONAU
zi+MiShzsyBW8H+szb/p0A5jIiE8BjXgbQTuFhaq36iysEF05RqDImGxgnC//J1hkCP58//pWaph
FZrcw3JIQIrL+WdkBnHWpvdmaV1W4Trxekj7eBkgIFj00C79tTE4SE2lhD42+TBAN4jk6yvqmYcV
PKUDdWqMS8Rr3y2tUe7jBce+rNf+uo6rY9LZ49lvFfGiIvCu6rEyHluIrlo0JoKe+uz6nNJ7nDhz
PGd+MFQIySTfzaal0bbP2q3X9wtHuNXcW0iyoN+miDhMS+0ir5s4gRsf8zS59uyyOzOTZ07aRvdq
bW/nnhp7PseNQynise0xPvgehARJb6PpkInG6Bsmcfs+ItSGY9ZQ7j11FEDa1XINrTLeKbCrnLgY
/TBLbove2LG1MveoUOvB1ZS/KrYORuVWn2jazeCDagdD4exgVd52+eLseOYD5rQGtFBZIkW4DVHq
0uPPL6nc5ZNyOBP4wXEhBPhAU1Udlqa5IqJa2GLqBYG1aaYjQUaKrQMBASJfd6SZGKhbAU9j0di7
hGEj+q7hgpUdZ4KdRX/mNHadmOz92Jc+BKJUuyGSh6Acj42jiQQgBzdkpzr8GLEAay54mmckmZPl
BTQnE/RBvwmoYuEw2lFYLGO87VzDI4A9fi17cBvzDO8CQ/1Vwyh9a5Nr+cjvpFg93LWtQiKSdIew
hdu0rncM6IQawBNs/ZxC0XSNjJfFRmDgSOnuegTWjT0CarccGkmwZC0ni2fRk8RwcsISOIVSAqsk
w+2CwjU4N8zCAQELLdD148M8esQi0ZJ2gZl9oaXKuWqB3CMqUG3h2i0RSnzGNoeaxB4lrmyOLUVh
7PKsfap778Wf10tmKfIKk+fsjYpjrSnW5CCb8m11sy9ZOziHDPsqyje9poTejXNrBd8dVNtwoDMv
5JrQEfONp7gk/C6+D+oMWECMF4HDD/1w8YDcYVI13RcCgp97aq3M/LI4q0nivb+ajfzrujjzDhM9
FviUuatbIZquK2B9o+BaSKusDWXcOMdkdcadA4d1i3rZhrnZfTb6ARSKnKMQvz7o83ppDyAFnF0N
x3nvYf3aUwT23IH1ua5EUu5t/2sc9OI8xwSbyN8ZTwU2/J5DJFZ/WaTpQzmRiap6vCxZDjKZJtHu
SVQ0IEC7zh9WODFh36/X2JuKvZ/laofpyduvHHxCSm7krppB1w2WIe7I0NBjtebljqcd3bCUj4NY
t0EtyMw7mRxjqXb0pyMTG3CqE4lbQ4yhgSj/DEGQT9Gn78VC3th62HbJXX3EY2q2y24mnqmOhCFM
Iy13brvuCRbJbTCuTErWvHrM6XwCCziKs4kc4oJX9BLmF0ae7LyGgjm0Dm9L5UKOjwV2IC91vEiQ
MvxC41LVKajU3LtB/PlKljLZUs5KH0Ur483IYz2UK59nwyTjKEEMb4gk/cC66lMAW7vnZgJinXnD
I4j7Ezsb7+yvEk24cx+8KGt3THhqiheoh1lV4YWOQ5+f1QbfxqF4SBlpMR24K4By4mNJzcOSGt9L
Z132RbdeoY0R2ObX97I6KG/R+kRV7WVsdHTQ9E24RGwDEmn7G9NJ39o6puLDR0UG4nGUEzuKImdU
rvxx2JrCX3bUxFthB9NzK2Kvu14suR9L6y1oIeD5gOsgwPbuY2Ql8baUhBjptaAcNDvMTvt96pHo
5LpEFFhkoC4K0zzTMU40obCmHbTIfkMtdhPCTfCPCamturC+eF5/yWKHBkF3fvFVLzmFeLqz3vZO
lGpVT0EwfSpgVYYkL757iVJQPgDgqLgg4zteSWfobhrfOqc1jB3qzAvmOiSIRHdXJBE0XpswClzE
Hx3AOeg6wP7cdawPjjOmIQGsbNfSAXlhEgW4f+58YshRcCxgEPV28gVic/C0OOB2i8q8Wj0wDZO1
tPvBL9B4fP7Eal2fEIvTO7rrKHDiITQb0YxdCdIFjNpi3xFN3IjSfdTTsNAb2vRqaftT3MFFnSbb
2MQI26RFebwQ9/Jei3z+rKJxPMqFCprRYrwWF8l+tAZ1mKvZ2DM2Qlwpp+B2KKY7EUv6mwg18MLV
ddP29A272NnK6KGmY2enoNrMbYr5EyjQyUyMT2NA7UZrzO92SpuOTUDu5E9rx1qTdjv8q96R9Tc9
04AEb8lglaPOGVpQ55cbH5/fIV1tdx8jN9Eq0djb2WnMQyyzT2pKXbA7/tMy9Fd9TugFvfWHbTTy
XFRFpKUmss6NZ+7dWoIZdUpBLzHjtJoAMKGQOtoTmoQf7i+rXX0t2BcPz046kKXnmjXaoDrOzPQA
dc5D69fqZeC0TwNcBvQnKzYtV1/p003VBZA0ZcKkg5sMAJXb28fWqiFcbmWDI/PZHjkFgNFZCN/6
8c7ta1bvnDR9o9KcktfIfaDlGfnntaZubq3OnT31MthmtY85BbNqkRoJtL+mW7vuP0aPXzl4f7W9
dmgz+LPt9W1evDER/6PF49cf+n1r7fyCIcOULiZ3KHZuwK77N4sH+2M20B6dC9h3tWGK//S7xUP7
rLRMw67cwpTxe1kDpA7TBdLB5h3biMuO+6dyhj8ra2Dq9IdttYvRix26RWcCrwCrgf+T0tDxDK1m
z2zPzmDMoU1b3IAUCEBs8O/dpCI67waxAdwVVxT+p84b6RIcXKp/pWehGJHKgWO1LcsgjQ4GhQTd
00gy9gruUprdDUBHv2B1lK/u6lXnhHWHqHJmhYGBfMGwOC3PUJvAyOTBxD4lq4BXtAaejqSpr5nQ
NOuhXLiNFV7neE0sqiyZEgavU7rQgecLumg4zS7e50nNjHMW2qbRxUl5Ztq6urMxV1Vbsh9++jYN
RvJ5xMpSwign4bhvejaAFwTcZIj3RlEKR3tt02Rm5oHEqG6gTnu+3MPzWZsbjJO83WTuO4nzcsmc
6AjziqzwjuYuAWmuwsjmc7tbEX1FYT4ybbrxLRolFHtZPk9Ytks5IoVGbiDYyk+ThDmURKb4pgh2
g6bNk9RF70Z7dVGFKxYe2g1H2tAWHOVo+ZvKtwjPz0CdmUAn/gpEPHQzwLPb3Jti9GRMrlYiiUdm
0O2zd4YOS+/m2wEEtIv/HBzcRlrOFB+sfI66GyzwxklQl3cnMoKd8IPpfZgcfGd9Up0Sw5gOsdtY
7FG8kYlUT/XtZFbq3izgiXhBs7zJJgPQhuViu+RLgvebGdfkl/mFmCuB+t4paYJDvs+rCQh6W9Ue
kcpCL+zzlmYJMGslYUXMJvGtawU0XCbFHHpOnIfO4NpsTmLyWBQ833elKj9FlQGMOY8odlqNqbkt
Mu+ZTqX43mbockd7krznQDC9JliwAeDDpOuaZL7neqiZjNbpCxvg6K6w6uVTnjSGtVUjFa4R86yQ
HiN5EwR59JI0s32cE8+4NRCY2MF01DiQarQvEbCXg4HhZGWLydHphakt/GToEc+tZ1aPTO/pTEVR
jBkvZa09bxlTynlbI9mdKra23iYYqIkc2TOdFDzygyry+MUmBHEVrFK7qxpXPSHKcZj0GwqrOaJ0
xQ9TOR5xSLkyrWN6Wu0oGFo3C9bNuy5d5alT7lMGEa3PRsfeOPYsLyYWFFjV6VrQGtKN0y1eH+vK
nAnXOQ7TCw27sHE89919UnjVS0et0GGKZPNVWckns+2m7VD4/plvGnJBQ6ni0jf+9YqL6Z4oYnKm
kKx7irHTfx6ZWtN7p2brW1Z34spYK6ZobWvLsyrmYO9kzXcwitHRdDE1JzMSWE730mOQ++NnmhOK
Twu0kU+2GlJ367Z+/qnF20lbGHeYZwzdAWXd2gVSDfu08a5UTY0TGZPiwIBnua2Cyj2rmVoxlFqc
Lxt+1rg18ffTEYlZc4Pmkd5VUTZDhSNTvK0hxnEVI+cmrj8Xm3Qw+pDU47Kr1dhsVYQjn89l2Egg
YLTSCg7EvSKRE1ShvbjWiyMN+3Ywuud07R6zxpDv8AfoC4RpKFCDFXCjrdWsHA27zLkqcYtcxMCJ
38v6KJRpfAqcXl4vqmu5Ncb+caWrIsTpUX/zRkFHmVrrO7Z669cW3b3dmAbVvUGpmquY7ehznFCu
67V4sXVDC51ZaxBfI+eMrwPNVlXN0BqHGrWBOWf0bTZ35zFt4jf2jOn3gkLbbT+1F2ukKNz11Bwm
02h/tpC3j7YhmTfNSi0Xa9a1HhRxkZjjfMQd5yTiBrqMse9q8n40Ufn1PdgJXT87mMjqeig/9Sm+
IaxSuDWSUmXz0UqG+aFWWjbMY2U/TkPkf81ViQQ/pto04WuXASzE5cExIuaNzPLeRtx08FIIJrAp
156/UbumYrOiZGr0E4hzCjL8BwIHZkZ/IxloLpt4tDEY2IzgmGtCLCx9ZpAN9OOLYVr1DbF48h5U
hGwHMX+jGLV6MDmVnGIjgsqU9IyZMjhmzEUBXLTOfDEGHWLxG/+bU3fuj9pw3tOmtS4m6DzC3m25
kE9hi84YhZvcyK8Vx+LrwM7zSyIoWN5k67dEgJFtBbwWoobPtegeaddCXjC7BFg9am/KWXafgmiF
S7AG963Z1TvDsxKbM7jqj7FBb2w+xdSupRFnn87E/OtyzGcktud+/5Zx9H5orV5tEyo3n2JJtMFM
uuasMo6yXRe5xTVlMfHW7Ss4BJWIj4aixBsvoTccHLwG91y5ZViJQN2ljD/e25mTLYkys2DbQxQ/
9iLnzCuEJ6kaPJQu4hAnM7e8KyODDldrqU9mNcB76WkHWXqRXgwaVOgsqurDMM5j6ADxeLVgyoeF
X8MqkPmXoTe/Zi3xzZXH42VSZTxuvF4ld44PobXqa2DuZWJtF3vuf5j2lO9GcxkfM+G5uw/3Sx37
+d7BZxLanRE9soHuNapmOKgAJWXp0+4WdqRt0jQTAEABWoo7okuMk8KckNK761aUwgun+AKhZdwT
4cnfS1+aO3oM+F59/0viF9876g1OtsHjXsgcZqPL34FDDzaLi1oEt1ecBJp4iDPV2uP7Mi9rY2Tf
gsx3WTsT40BIyyBWExX32VDQoUFd1L4ZsvY0siHZjTAJjrZT93s5s/MyOJAfciuZrtKyxrRYzChA
g2kYoWD+vZ0bYBm27Ktvg6tSqucxsYxw/cYl8Y4K/sg2da9XRzXHyilzzBiBta9N91srmvtx9Nk6
oM5snWw9sEQbm8U2PpsphaFJwjEM2hM7jEJ4u1zUN7Lp7qWg9bhvDytyHWfEXIUiqR58+IFnJrTx
vuqQwwjjWBsvrfC6Jcm5X4t4HznFtV0axkPQz+pQeGNwpM6Gcb1d3hPVuWO8neyJi4GHAiW19YqF
zOJowkrJiwOAqDoc1qYKnbjm2JiM8BAn+AixIe1bY8BfwtounwbHSo806WGtcc3vEPoJgy3wfFOc
BxtMoS4PspxyU8ZF9wqh+1taLkzNDS4/ejeO3jxVdATQJBoMtB5N7mjCo23G00zsGSJyzMk3Xf1z
OSz3Rep+cSL5/J9Rxb9jmmfgIDhf/N+jik/f++Ef/1+Q4a8/+btnXv4i2SwxiGNttJhm85v+7pkH
O85G0WfmxehSfJycfp9ViF88GtOZUUgqSnwmY/97qJK/EMr1mNHrUQaqdPB3DlWe/7NnnjyGZOam
h/+MUAnw/3GYHS8OIK8sTk59iR+q9iu2shVhkisbV2VI6QwniRyj+QPpefBuMfmSdKZeWMA4yZPO
gMATjXLfkTZ9DHx+TQCg9CXFGXXAp6C5shqbAveo3Y8fMJVZc1V6EE/0qmdjpJEiDuiVAFIicdXc
9cIpWPIQA+x8bFnSKywmkPKWuCOt58fPZtUjxE8uQmfgZfg91Iv5gX9xop5WvGFCFiZRv08nQ4SD
BsbEGh0zfFBkgDxr7d6ALQPFtX1wsZvCxCNoF3ZCgqGpjfs0arI+pJFUHTtgSderWqrNjLP9E1LF
dJXZYG3AzNp7pI/kzqIoud0Eq37nKJ/9zio93C4akMORGORNQkjuMU5ctHYblE7W85+xZZpXgZk+
1zCIEGZA7/jOgrMMOovRijqMsaDEbA+c4TEHIHYX1SaQ7Q+WT+3h3sXINTKvKHxjDYMxCjY+bu+d
pWFAHkfakNech3YPx8ipYUNbBoODaLY/jXneHE3OnFIjhswxuUXJnIbQWlimQwlTd+vQ6bupinh1
LuwcJ2yIlTcw6KEuOSqHY4BZ89npFwgwTbqaO4MiZhbrxQZN1JPZZucyXnhaHodMvKYamTTyXnZ5
NLxE1SLOgeqeOX9RJUJx2xediTqbqMwMxvwkdHNIxej5Ia0j8UPvcJAMJ4kciSmsvaHBDrE6IIos
NwQcvdt47L273AbHa0C/f426yLpnWJbt3NibL7RYfB8+iFEkKT3aqNL4bgXbdJ4DfBWZh+nMBzZV
aOxUYcKOYpQW3Zv28DmmyQ5yosxPyQexirEV9Kr5g2TFGKv/IlQ7/kizybyH0+VeZXFrP+aeQwWP
W40ga6jIonK25CNTTdld40v6onDb39BLZ+wsJb47VflFKlUzIXOrFh4t6K1CQ7hwPNIeW3aL/4qf
c3xaDRr7sikqgFVEMLzWD56X+GB7RV5dFYTglfoCz7EWJOfZQO96o2V2kmtA2Mq3vHMlFsSUSYYg
BgZKLNdQsaaFb7qdydrfT411p1zzde2DV9LZmw7Qxa6TomyOgZdCYnYk9J3DpPllUJO8T3h8n3BU
fBfszYl5a95Zp8lnbjFN/m1ScIAgVAMQMfGsY8ya88DvgGvU7pMbumausC2o02xWJQRjz0nm7Rj3
6v+xdyZLciPXtv2XN0eZO3pcszcJIPrsyWzICSzJJNH3rePr70JQpSJZJZZ0x5poICmJCADh7uec
vdfWr7sLe80NkYvTKa0/FBc2W7ti2lrR7eBJh3fjinBrV5ibumDdVsDbAOkNkFJ8zC70N33R3eIw
hLLwAB+p9JwZYEy3SYcrdDOLyiKxxgi3jlHFx7gI5bapV0e2w/FFok97Nltg35t+OWNB0xgVdvGe
dCtkJbau7awQdaon1LQrCVkHL5VnLyQGqKBIm+kM231nlkDaVwcIQKDOJPunRaxIUy5DdJKBo5zi
wnfHDAAzRvJTmhlLUA1DvR+ho/ujLKJr8rrRkg3p2hQH8X60gGxez6LXUEFDLsvPdH6ioMg7BB0J
p4/trBnFLq3PBD6+6LCEgqrt9OO8hMvW4v91Jli5upa50SQbixywlnDvRheBxTzIOdKNgYHltM29
4bXGe1xc4L6Z5gSxRe6hr+pF7UNoM8yB8iz7QEgw/uvZAXhvStLQ2xGwq0uBinl/Rl/ktTvdstFU
L+NNvkTq6xAjraHb4WDbjzBoO0k9wGTtPpsAwQMY5RCyYhuOP9Px4RgWKvcrZoNXST58ZGPBNE6H
/lAuDZlDqyRqgecwTZTVRdJ/xiVi5Pg3nO4K4Dutj0i+i8jUoUIssBoKhzZT6ab73NFgUSz4k/Ce
bCQb7BZcvcLzpDEpa0uOx4oOV4hh7GhPDA5txxVnu6fDxY7t7jpa7OQFSw9HppNA4MsfQnsBfN1F
zn6qPVDoYZt8xfo5rEJQF9xhzdoL8yEPPENvjo0ni2WTRlkTiNm4a8mX0KpZR63JT/Q6rqOEMDUE
4Bn6ah/DpRdYKAFO2EPC3TQ057koGqZ+c/cGP3D2o6JGuJjnYDENA/fOYMbHdvE+Me4vjpFFceSB
Yx+y6VNRMN4UUkk6OWw31HNHt+2iwzBBrCxC92YkoLPviH0wCobY7jBa9xNOqV1LvRqp9GEQnXY/
xendzH09hbNF2pTIbyKnWHYzrVC2xoQiD9FiZzOqhqpl4twgqmhkHNaCZX1ELQhHa+C+PjRDEtmn
Je0VEjZ0y9VWZ+dsOQnPzMbwHCmkzBhe8MjbpbuIbRx69fKuSISnvcDHmBWBpI67BInVreDOrHSW
DY2snOGs01P7HWoreWc5rU3o9bhwlOmoDW9Gprq8VoAiNzpo/WojJGBJVREsQLA4ygYdCkUc1HhD
no16mJ+LSswnh5DR84C2Yt8obWLiXDiz7cM2GU9EPUws/TnptnDoezIDxIIPlhXTpf/4qlI3JaZj
SE9QKAcDOZFTPLjLkJwKQVY2ffet43jTDjlT9Nbog0Y9AZ2gU26zm9xG7oy2Z3hWEBO3yRqDG5Qp
ZIFY7qMnU4V14KQFlIA66zh0FIZ5SNrFHAOxWMNmApw6bdjdlomhUG2QiD4U8bbX2xqFhK4Gz92w
c4mdhU423LgqJs6tc+iZLhk+F9XhA0T2243D8UKmy+NMO2pNQ1dPhGKgXjNM71YiXujJDFuaZAfS
AgeLS0BJgCDADkhmFB+YJsdIH1OR3rtx2zyg1KdF49mEcFYYQfckz807xI32gQQy0kabDF0I1uXW
QZbcqv459zwvCEliuSrIO7Q2OQ//ZTESBvCdtTf6cKBJjdqa7mMJQL/JSFnsKgNxR7LqeTU0N1tj
1oobU9mYwTgBNchnMY4ezcQUz3RyUj+qRUjfbDCo0WtlllBls174Sdv3Lyzey9bgJp3x4nwyKav5
YVuioHc2wF/LM+hfGw+yNaIWpL4bRpS63/dQpHzTjotbggQhO9pZPGx7K76mWVrT1Sn6qwlF+REz
Qk0MIKbZ+y5vh2zbWWW+N2E2blHcGAjfOswDOUF6b3PoMkPlzP2oK9s5h2ZcgkhFKoezg6NZEEYy
8q4LVCu+rpyXvjC6ZxUylbYjy9zl2kII7myJYwtpk4j2NLU/GLg6Jh8rKvwqXLTsJbp3nZM98EUn
3AJnXCJfWU+TUzJpdBpQnr+MY0ZuIcYlhyFkkzCW7wUT+ahHDKHK3ngA3WesfToKV7SH28xMvD0Y
hwFTwjieF2ecblQXTQ+dQ7wEWT6znyJdILm6jl8VquYGyV9l7mRSgUapZQ1fSx97v6hmuvnEJ9Jt
QhGhj8J500t9voLYvdy4zBvf1RPzLJ/1PP2KS69775Uif4kk4X7ANFPvBKY9PEFlFSdRh83O4X0l
EjayiVPoJ3+CwHHUV4aFBmQCVb9Zb1XpSM7+NBksKwQ7DOE1Y2kuyt1kU7Jj7CXoWIgZc2w+vUdx
bOw00W77uklvk4hMwnTlKqYrYZFFYkTmCWSzcsY19ICVz8jaxI9XOiOZBfZWXZCN2UpvrFaOY3Yh
OiacUZjzNByg4D3GF/QjXV4okCsPcuyr6c2+QCLrlRc5XtCR00qR/G/9/2/V/6TTA3H41/X/u2r4
F6Z51Lbrn/7eAHB/4yREtW7bQn4bj/5e/xu/GRYS9+8Gp7/PU0k/QN1IpAxBYiZzwD+kioaOvtGF
V0vj7tJQMP+T8h842I8z1TVEQVjCRMDN55DYJH4s/0kozco2TSrSvRw5bT1inya/LPnxxqAeduSG
mrCuo9S998Df48wi1+FmsucqGPPYhXJlDLgaw8R4ZtKi7ipbL99xEgg/eqbEFo3GuMZVs1iHul1F
w6RhWedEAzwL+qua/WnO7CJgnAsBFACmR6RqTis5k5UGuNy0jBPbc95sGy+JFpoAakIRQiuaeGcG
sF+7goIHS7kyd5nWmbexTOe7jADF9XQ1alvRaMapDVUJoNe2SuozI9ZhQ88dupFK2dc6CUe13+tY
jIfCME7T4hpHb8Z1swVwP4Le40MFTRH2X7iKpA9hlohSwqHsED/WLIT8w7n65oieQ9Zvxpt9RbkB
buiQQHB0ttikiq8JD/xgoZ6+s8ksjrZyScK3xbaaZpNh1HquF/w6fsgnezYZ4jyXk8gevEygXJqT
+HYaiGCoO4J3e8hl6jw3c2TRsNbxzoSx42JoLHIZ+kI2QHHIL3Dv54zP1dg1NzKVYcjGZbDnbsx0
dsiYX+qPMnLduzDHvcBpvRUyCNG1lgFLWrVziBhG4+Mc57qobzPZeHcWkX3Mqk3POnTcv91YNR7F
c0LnNY5XwxFt3DkeARSQJ1y9w+3n3mvYHm9QvBVU+65FUBwivCIkXDesYKBj6jJO5IiC3R+c6jZr
G8TdiwlI3HZSeWKwMPn4bwaT455udYdFK3q+szR2gNObT9NSNB9aKAnPtaD+872lsWzfAkr3JrXC
3QK9YCtxJ+XdzzXnSkIgvXd6m0T3M4yHaOvNTEt9izgkiqYOoTehTVjKYm16dbEO+lknvau6Npxo
NygRnUigLZMD7PJ+OQIw09U+CQftSscexTbCEQ8LLd4l3GpAp/pjbGUWQrEJvjiFg8WwxZjxU7oa
p1DZ2vZjKZV5HX9zDhkXG5H7zVNkXwxGEWFNNLq0f3iPLkYkdTElNTRUyMdZrUpxvdqWsouFie7e
6mdCFu3uovbicwor8shO/cUAlV/MUHT2sEEh2rCY2vP6vDhhpL1jwtf5ehbCHS7o6q/+qhijFXHr
0VV+MV+l35xY+jdfVlQIpwyc1a9lGYKu/IKlS6xurnD1dYnV4dUbIj82SzQ9JQyoAs2Lq2v86w2q
3v4hXV1iiFt1mwgBHdJ/xjv0ZNthhHJqdZfB9Q/p/6MO2lCmFrVPsGcd0E+iZsxwpzH06jCqlXwG
uJcJBrZx0IdA9fN81lyRHokPtwLllQ/VQuoF88wj7ZqOOVk1n6YkHbbOnORbs49RflXzftJM7Q2l
7bZBJ0eULlkXLpI8lehyo+reuWFg/g7MAlFw0bQHnWc9yXaF3A3DsFko+24nVzxIw9CBsS08tg7P
IRzuFUPANNDFKrTDmML5yyrPoqy7L6lybjhChR9ITIH+PjX5u5Ja/DYd6QoRd4TOK+/GO3jhMKFX
K9CUoBw17eUmaVwylEwiyeO4y3dKMskH49b5kjKB02tb1VgXlw9VyLmIhtLtUrfX/ZSFPoqL0Sfz
pd03IRG7qa2Ja2Zv063doVNIuuqTx2q7LxPpbpNQhTv0+ikDQKvj1E4G41IhFKXLoxHsm8izyumG
DE70sUr0LogkYtDMwaCqe5TBOTngzyS5TQdRRP1jipWDF2PS9lE7fx1am0ALXLDbvsXbNgIN/mhk
FlX6hVZqp2ZBc4GozuNgV1OGxtu0ziUgkJ3nIdfY1OhD9vWQmSeXZq4/a5pzP9Sxh7COrYnc3ISR
lslAaLQXh4NnU67hCCsv3m2SnpFPEz55jcVP1ipCFNNDTOqf23wqacgyjZ+T7KXG37mTw9huwkR3
dwU+/X21jOBbplA8M6zTwMlAjammcrlB7UJoRjO1h8Io3HuD/+EaC4B2izjuycG7InzpYawmYtq+
ackTmzcMGzN5suY0uvKywoXdXloNTvJkcPxMNyoE8jbqDXNifmuRzEbGvKRKp3DZYBqii6PVuMac
KiRyvXayE8NMknZqBpQN2qanvhYdIpSubIJkYCIvjHZVylb3M0jAGyPNysDt1xzcnNfAhMtISBD9
wNhEOUxdOJIYf2zRPnwxEMZ8wf+LHyYGzY6WPUT62+IQOpVUsYafqsYKbCuRj1U8jA80dNy3GSrV
Fuy6e9WE+kfNo1ualNGLrdskm6lS+J1pPZampeE27oDNGbTGRonHclFN+Bi15n4mfYAMlM+u3lj7
pTIJGQoRVhmJelGj8oI+R2TrOO1rUxAfNxriCI4y24Kfrr9EoTPSANWqALtHehh1uoa+jiJ8Sxqr
vMupfLdZN2X3pbRvyqgvr4B6Dtui15mp6hHzUn+K24lWKl0buiB9iF2jexvS+L2qAo5SnC9QcALj
M0Y8sxAyAisUTNCJx8Z1ajXrYaZx/d5sUZ2xy23jMkxe9Sx7r+k2GqKpER+BaOE/SlznSyvbB/Bc
X0l1RO2eYBvWnA8lhAIGuTA65kw4J0/BFq/FgCjKIBwxWuodIMjTVNK8Rh9UbyFzZYEbjcYhnVVx
NMb6CGpw1UzLx4RpwFXOO89oFemobDtvr6d97BNEuW/HvD5V/fzOXOJuJ4lyQva0JlumyxtWe9Pv
jaF6B7549BMGp7gdCvqduSLxybKBFaqyK3bzQBJjq7mfQ6ib+PzDD6KxjFtYTRTdFLmN7HmvrM+F
XsgjABciA+KkPtdEENBi0b84xQT1Ur7hUmxiJgZ5TW+umw5uHYJGNYk3SJoYV6Nrx3tOLM6D1BTN
0Hwi4YLT461eOuFdG1anlode5S1QDHETq44cBwd9bSrdKFDxjCxbpvLGqNPHOavth3COhz2KVfom
jl5Cuo/XbjtdFWek9kPQhSVkRpfRdDaIwuWpBwKyHjYbWd5SFRLoNXlnva6+WkmEPrZA6aaJ23Dq
bpd8TVnqgSWixk7r4mOb0ypbuvn91A13teyR5ZTXnNYQ3q+dxLzH569A5XMGxBxC6CpyIKj/Y2AZ
iUV0kWNaV2Xquld20ZQYc2ma0Y8g6Aej/h0tzOy/uMJ/S0RrGFjHflX4vf9Sll+67suX70Fp//ir
f9R8rmSyy0B1BaE5/GP/KPg88RsRTDjDoJPhFuA//1DQ2r9hJhbQ5HVBtUih+MfA1/zNY0hLAhsj
UCDr6G7/AxUt1umfKj4XBS0TZxNalw238GcVraNaQ4snqzxqtHQkgwdOgOlIbMk0gc4tOGdtVqvm
dNWvNIGiQ7glV8IAIC/n0BRmsgmtEGUgZSvZZSuVgAUq29orqSCKaM75U2uQ82jPL8U8N4hcDMt4
pSUsj/pKPBg8i2P9SkFwQudtKGu4CAaoHosNIsBO1hCjAj8BNsAAlEkIyjukJ5vFm7udxamUgZcL
fiFV1YuJqBFuWlccB7if8Grs3dA5TiD6UfhjmkS3cqU6lCrJ3yNVQmbFtgb2wWARfonl0Oz1UVtO
BJCuhzXG+J/CCzZiviAkCkZ9JKKo/jGD0nE1p4t4GKZWD8rcuUcJ4l2LFA2PW5BsmccdUjN2MVC2
A+EaCWttmIp2D6apPEyJSesM0kVVV0ggYc7tbI3k1IVV/7Z0vFNUMvCu5uyOMFgWH2BcG6kmd5sz
idwMK12DoRwmgsYUvlhM88pL5+44dIt2CLWFUimLtVPelXSU9Gaht8SO1KVMfSA5gfVoXA3ExzQN
72XCUqojsL6KwsLaYzsocAEaFv9qt9zXo95dO4nGljLo7+2VJqKotrfdhDgxdLLufslYjycwMDt7
qFAC1TBJzJVOMrB8gfL6KIqkw2vIrjsQXrUHhBU+jW5S7dI0tN+I6MnUNbVTeh1ZaH9yDIexP88M
KN21UUZf0T2wO7e7xqZmUAI1pWsxcmBEzsxWtYw42nL6GlHU7ZbVQMVRHSwBvxvz3lRThwklrR9R
46SP7lypV81G1o6/xBLXMKLHs6utXolCwAZJPOAmNTG2G/wMjLtWWky4cmOMlSCTg5IByQZURjPM
hgSfKrufq0Y7gYMeb3XkN2ezSTjN1JimWz+h4nQOg8YEaNdiKmRIOJjgbJaVbMMxbpdeYDfLvOKr
VwKOfoHhNCsXRw104MvFA5ZDs0WUfq5j+zKQkesBrC+0srJINrO+FHeaZh1gMTAxG8rmurX11+qS
E9JcMkOQwj3bSeusQYjM7BBjHLtvMSM5BjFCR0aG995nJk4NiSQh4SQL/Ya7bmBg+tm7pJeY5JiU
bj88WiiLQfUOMeci7E3vEVekW68dYIfkpXeaKlLKNl7YQR2pY7uGvqUV6bT2pSM8kfR4H3UCs7I5
sEBC93EAyLRyTqjF3U4LCivVxS0LJfe9GKGAh3a6tr4J2RZQgDET+QLfy02jHALfBX2yBgSipeR9
OdN9f0vDpgOKs3gbVrhNLE0NzCqHFN5cC0E5vkwyw1FJZP48AifYiN5LPxH/pLSDW44Cn0BFftiG
RPIhC8ahpVm+ngTM6ykqvKdC1QRJSJS8m4qQ7AjDT49OtFzRG2XvmG80G/psT9NgpLelGirhUUsY
YyIBDb1taWVcEoUZqtBida4bzOahNnY5Ol4xgX1j7eOKfRaiGEU+gqOJVNwUpW/ildWt4yq9ste0
z9jozxCbLAGYGPpb5MwOOD3a/7fzOve2VtSdQJkAvcfiHvs2ELL3+UTKZgtOlkYymlzUtYU37eGx
2telZzbHLGH6Ys5WiNgCdY+vD4azh18Z74ladvdV3GZ3pZ5fLWjSGbxLq7qa4zVyHOvYrpp6k7Az
03X4UY2oTNFMDBKFtq2fXIBFllYSEUp1zPoV2cm2Be2j7UC5ineoBNKtrXdYNI2JRrutleWNw3nr
wR0d+6a36bZZKVDODbDQM44JqOpNi9xuNqN931ImbJZlwO5ZdIv63KjmE3tUe0NzlRExDAM/GWm3
bXTRiHeEW4a7GZ/AI/br7t5EscvmUOaE/zrdbdW7GnMRtChjKcLPC6DTOxXKoHPsCCNBGh6AAomX
zCHeigxn98OInLja9KFeH1LodmdncZZr00KCDJMpC+pJpZzmDYo54vtuCHnccbYzNzMTkpTTc4zU
NR0Nc5tyhr+zvTTdEouw70gveCSZpj8qENgwS0o80OB2G9p1NL6WThtBoFfxLRhFKw3aWXfPsNBq
GHqGFdBOLQmha2bgB6a10dH0bCJMo3e1inD3LXG2NVMv2tt8AdwjGeF5SPNjlsbFfDFAkLEXWl79
Cpm3v5bOIr/QP6l2Vr8Y24xc+oPdNcazNnM9wgqigOEhKe4JhUZb9vlNhgLmaeB3eE1Z397h5fGu
UKWWEMWBIFOJgbwgSeoGeRMCL5zth3wZPzaumVwpFJjPIe2Zm5BIQ/6RzuYkAHgfyTSO5qowxE03
x0XvJ/zy76zUmfdEX7SvrlNi2LbRNVHC3rd4HQuc6K59LCi77mHYL2eZZtWnCeDrpp4LgV2yEkem
ps9hy8wMwQlp7dSsxEAoY0vnu3WZBGsvJPWKrYkf5dpKEnE2tA4+Ors/AfIE1ROmE5vpZpb9I4hk
WHhDF9EtNEHmeShhN904257fABzwaSGgWMbD3vtNQa6GDUDDltFKW59ccIf8qImdCKowsV71mbP8
DDNy2TgiZSVo2wylFs5WFTvvDJhWEVteVCRR/L6zVZ3c/3ew828NdiCyMAT514Odpy9tUZX9D6f7
b3/z+0RH/sap2kCYyfED2LfBMf4fJ3zHwD5nOkx7SFi6jHv+ecKHMcF/oes89n/WBfSV+vj//z9T
RyPqITqBHk4RYJnOf3TC//F8r3vrj81z+IQUH6YpsOl9D0F25TgsoKusg+viDCni2EV30hh/w2tZ
vXbf82VcWxp8R1AWBpANY9XKfn+VcBgbelRReBjSspRkvyErcOew+rhmMdwVNkCmfGlW7s9CNtN3
z+MvAEzr8/rTxfHCuAI3IGD3NWz8+4vH4IRnIwPzEJkeQbZO203BODNvIq4ie0hxUbxGXlF7SBcT
I2C/SL7MGqy4rU0QVJDTG9+ogVKeLOrcNxqtOQ0ZC23npiBSiT5FFK9auj9RRJpM54QPBSnPwf/h
SzgIeCUWOosX6ac7KFrm/MS6eAcgbPp2NqtlV2hEECfOpB4bQ2D2khmwXa0gRkSKCyB0cCkT8MeB
D/LWSZIOhblzWcVGGEOeR9zCSG10nL0xQ0xKY7Ugy5L5PInHG62gXfjr7/An7TAvgYsOGSumi/lT
/2l42IEpG5QzeagI6gkBLWv4PLaKpmT69ddXWlXIP79uLvxw0uCh7P+paLVo3cMc4UojgI0Dsige
nu02p7Y3mnthMVb69fXWN+jn65FkRznOK64j0frxDdNlR6a2huthjJL2nhWF08dAqtmvr/IX948y
3ARi49IOMH6GNHktywUHUffQ6lOyd7lrteElh6xz3//6QhcI10/fx9LlKhpf14U/LQppJHVv4h08
6IuEwOd0+jb2eGeU4sGpwiA2QMY2esyqzx7UCOO8RhcbmEwOH6g1lnNhWc19q1YKrT3Sdqrl6p0a
MdUdorwmBSovmYfxbj5CBy4hmCykJG+idGKAY0ZcBIyIvpUudohOt7vnyV6Sw6+/pHEJpfrhW7pC
SJxTgKTQkHrWypj6jhgX6ihkUfnNhwlHzaYAzHaka9EhX2qJuwZSuLGN6ivxJtp6+GWypJz0QFYm
QAJZ97usbsEgZMkEurk0gsYuxbMk2fvGoueHXLconq3GpsU86e8kIdjs2bAW/Rar5XtdZN4uXpIS
Z3BMwHxU0ieIErXHvCvTMfrIcpYd7N6yUC3rFp6ciqB024sPRR2S+8Jp+YAdUKFSS4otPHi574zK
fY8xKj2mGjSqUjYxttQo/BzTPqIxk5F1Xy/jbQ3vsdmMi2NeFW6T4yjBfEQpb/q2WQ8+EOkK3pjE
nZrhJX5C7OfnDVrYslDaLWdA9aaw3jL+jPsteB1jb4Um4/jURgy+0CUNNGcxMVgb4n09dMUzWJ3s
ay3jCpGx8OgReS3tbYRnVNoV5N0XB2pz4BR6e7A8Lz+mKp1hSnv2rY1UNOjdZI3DKJLpdiCv8RMo
ADjJTbfVZujAcZh90TLNvdbKXMNck5B/7bSnoiBnBz5SQ4PDO86jVt5UYQ1JmgDqfhO1rbbRoHeQ
uHO13k9awGnt00vTNl2F7kwWxgcLmjnK1VgcI7D4VyYS/kctz8iLkqj3buSgcQhTKOC3gv3FT4vJ
2OuV5xJSbRqv5M12dyikuvLYi4HzntPBTjN3mL95I0ba4kNjGK/kz1c74rchYNczsIdKL9vHUnWI
iDJcRsBcaWfPVXSY1LCLY+NeD5FIsbaNRwYaZBtrRBds2lh/4wRYBK0t63vV5tdJaBHiM42Uq1E+
BEOIiIojMokdQpxqHYGbiEwT6OocvcPNcc0c9WPMAPkQ970gp3pR27S1n0GHvOpFWQbMe1NfS23v
qUfNjd6wlVcOick4wzNvU43L7Bcg9jdD2mgbumlQ8YFOskQNcEuLiz2rWgetkbfPsOP6isbVBw1o
Lx9mDneAI0wfKQlEWJiX0FPYjJyAbQgoTOTaZZBOCYi+yNb3bddpZ4vBIm4Djv8tAUmvSAUFgNfO
cTHKUv1vhJ7WtyjceUKyk81ZKWke43LOD9JIxMGp+LnYGqf9DByRDjYHkb1OZjDC9c3Sx6FPMVh+
bkczIhxYDm+206kXY2ynU+G64zEbPVBc0ICuMJzVgPcZlTLQGY+D5PelqQw7Z65URFhv6nSSnADP
WZpANjZsXxExtNSW+dEcRbmjuxwf0WfXWzMnqDlVxD0zl0/2krDJq4RwObAqiDehXcEPKAdQLnSR
mpNXCxKdq0HtNZuWVNOJbBcSTYvSq52qGzJd8iCsORQsoxJEHenUnXgFgyRi55BLuFa+A7nj46Rv
+cbtybF7fTsxjSc8SqgzQ7/uefEm81bnh3qjEvKfAkwZxKwJ/HpfZAodxsvFcsDZ0X6OHWbsdpU4
T3HCeKyk1/teE5wv8qqOb4ll43QycuSrKiTSgIRSPl1Os3czSBJhZvSxDznT75c0NbIgE8sUIPqZ
7zSrZnKdSeM4kfO1q/HDPlV9h04AQe/bosUCagys5rTlSzY1xy87r8LTQjLYQSmjvjHiJTw5XcvO
NRkIZgDEZUFarVVxO/LNQSLcrnwuxO0GQOZ+0bcmPYDbxalDfEzmwt/oXt49E7Cx8lgMPgk5FyQE
jz1fiXYhjRnc64ggs9TaGl5s3UoWBn8pGSnXvb4cRGrnvucM4YmziuXXIbHbnCPb04hofCONWH3l
DDw+JdBdt0alI/JXcAQ2nG1w3Iii2YMGsEhBr7QHxQXiQAPTwnTTISHBUrH1EVosVtDQjvsH4cBf
Rcw5PLTMF9dMQfkiXAs0DOIEZ2yqfZfqKH05LxpnaxY4glkUZDsY5Is15q6Omxn0rW77Y57Gu8oI
Y2Dz9IHDlSjQ9zgCsgk1ciKYnpUeU9M4GvdtPap4z+13ss84O5r4ih57Q5idsvoNDGVEt+g+CeE2
GBVfeXSSa1ZW5J0r9cGMb+ZJn4vleNne/wtN/BuqiwFmluPpvy5Yn5Puc8XrV/5Qsn77q98HUvZv
6Pt0JIV/YBF/H0rpv5HOYzMUwpt4Ibj8UbKCdQGHaLqc8s1L3ug/h1KUrMiJHNDx6BNRsf1nQ6kf
T/fwEjmqoRPSaUJi/7eN9X//7tzGwTXOBvbnMw6r9tAWVHKWLFcYJ7gFv6fV8/rdDfqLCvKvLujo
NIdNaZEAKdfj/3cXzPjWtV4X1tmgixfINUqAaToVVe4iuEUD/y0q9/P8P9GX6i+u9+NB/9sXhG3K
/QJSTaLqT4WSlxIw5EE/PTtVbL+mHhcwVshdZ41/V5P9WJhfLsWj5lkjECU/do2I/f6rtfEUR0Mm
zXNWTPBRnZRTWL/Qkbb1SN70MBieHBJabzhYzg+/vqt/8S15kyzeBleQqvazlXRq0DALrTXPnZ6S
rOTWdNAxxK09/gjK6q8vJumyfFeiXb4ob6AEUAMz1qYA/fGLznAZMWQkJpQNmwthBacgmVIB+Xns
HU5EpQHr/8QMEqaDauMRHrGsSKiZQU/5Yg2Y+fUn+vPXx5Xr2hzkJWWW+TMIOYWPM+Rk257dCXuf
T4GQ7IVGUun/8VorpslgkCt5cX56oSAGiDxG0Hg2OrJNBlPr3nD5zQ9Dqv9dt2W9j38UVet9ppPF
JNuyCNxCefxTKZz0datxMDHPYxiThAuZetAL7W+e5l/dOxYhGldcjFXqp4cpxtR0ej03z8uatpO6
I4AZF+2qL5c1QubXD0qud+fnr7TCqnWmA9zCn0fgEBAlEZ/SOKd6AlPCGLkmOyLpK3nb1R/cJrNe
0TfxI6XN8qDAK5L4i0T4bz7Gn99gW2DZRfnLT9Wk1v/xDQ51VG+hnZnn2e31k5GVeIibkKiwWut4
QxuPRPss05kjqWUgUury47UwPuxZQdq/qZ7/6gmQRe2RCcWTJkj6xw+TAZMl9wzWZ0eR8iCEmMgm
G0g1qltv++sv/leXIvncJVaGrUX/+Y2C2NJWrdMY58Ti9nremjsGOYal3rV5Er++2I9LPcs33Q46
OeRskwH559e3jntGpE2tnUK1ZrJoMMA+lAZBTssaWjZSm7l/8y7LH5fg9ZL0cxzBxs3bTHfnp+0M
xDptJcCeJ4EpcG+6JeLNDmrRA+rH+SHpQp6rYcFnx3oFPj/iJ1XMfXUGlUmjhBk5QsuG7e+ygvRm
tjIfFx0sdRgz7MdbTuvg1zfJumyxf/wkaDnbyChWU4EnDNgH9k+Pn4zf1Jyxkp26XBQ7cK3Lrkps
QImyywbmoIUiuTvP07YK/Sqtlb2F/GbfU3iT2aXSnM8IJoYHGVpR/wZDo3+bGbDg648Xflc6WXBx
INoUCb11SXHDtGS+NrE7P+Q23G2R8mctneajo/g71As6R/M1Uq/HAH52IxMhf8oN3EBOUnfMVLR2
C4KZAnZhZufHXtjIg4Qghm2exLwpKDzSC8jJSkIixofEsPd52XANlzt98So0De2kjTmaVIrYCBCz
xNAeoSfL+oNC3bXstXDx7NNUrxE7fVS0gWolVHJ8cv1blubNB6cGlXAqZKIeJF7yO03vNYKtoIwn
H6XyeGTOAiWRAG6XhBfAN7x7fWa/ZgyfwBTgjn9V0iOLT9brDj2O1muhMv1zTR7bYWyc5qG1+2Jv
TXBlwTGRxcP6O0Im9ix2GFydVGUgCs7mOkwyw0zzjZkorEsGnAI9sg8NMgvbjqmVVunEZV1iArwp
dB66LlqedFp5b98S/gp78p7k3HZvWRHpa6eMXKqlCyXoI3QXT0OteJrM0PFHhCV3uUjJs6K5Dz4f
jyjZUuuOWrJTM260cwNWRNymdOhnxljKcXizTfLpFK5GtTineD2YEFMDLmkFu5MuTOIXjox5mwuN
yD3scPKmSRreGvzbJA7aa0QXtWmNEbNyFfg1ETr2qV7XS210mm7fmSPdLx0da+PTI1yxQvCy3uwq
5vdXiQgKfEGeyU2sFeQUqEsCR1iB0g4cZpLYTy8DeVkavMtjqnlPHTFi3R41BAxaDbBTLdc89L4n
Z3KncvZl2oQwP/yaCf/1Apkz8gnCsl5xRliv9mqIYADRkqyNcqEFT7/oh4WUWCfQI9v8WI5j+d5d
EnWN0SQPGtpCcpNquXQxwYn2lOTVeIxy0GmbLp+xypRLNQSiC/+Xu3NrblNZovBfce13XAJxEQ97
Vx1dbPkeJ07i5EVFLBkQCBADAvTrzzeS8Da+JcfowXV4syQPQzPTM9O9ei3zBu1AyEhBk0VB3zLm
1WWPXMnZQvfiBF08G3pjQ1DcD7HGgNh/dROQgRjlMTDR06AjM5SMSVDElA9eZxSVRKio54tZbKTZ
fU9fA4/QrPzSNg3QzVU5B9mTB3imwTrEcVEvR+44U6rklnAe6jfgMsy7koP1UJBiOY9FJ3WPOuQN
wGDkiT9UOZ4fr+I8vrRB4FNctBbeT7cLvza5b+r4Kes7XkbV5EytMmt53BOF+SPxFzJtkax/mpB3
nMIk6lbwfenrn1G4DEYggtYDQXF1OuxNDBDtQRH9nMOTkQ2jlScIOKTWsdyMUktaLgWoz3ShjJbs
AWWVwOKI3GwmHRN4WGJKn3PqaE+iYJmczFMgsJWRV7MJweMRSo3KNbzei1s/WCGtSKFjH9A1BTVL
gRpbkDoI/DI//LWCvtACNuZVqh4tKCicpz3lUgYbcf/dCWEw4F/Uw5pW2I2zQSDJF8BQEzBwY/nm
k+KcnS7R+a4K+SG65kQqJxNuBMf7ZKjn0LP0YujUQ9gIhmtEnGAZifOvSWAuk8EqEkc5zBmDyOvc
hZaIb5Ed0sA3qeWRUGB7zkP6gR7O4ppVCWmmNe793NSXBTD6Dm/UcrX5eWzZ0Sf04RLg0RmDWkHU
InOqCbqHCtE30RdS+2EUEwOZn23FMeEzQZ0Bb5tN3bSDQ0InTb3ZSgoCwUOKzgKXN+rllJ+OJFkl
1JzwT676FJEi4KAZkGdOVL38RORIGVhVmI4zSCB60DYYE+Czmg5xTBoyATpqmYjjwM9wQXhjieCN
8bYl5yghIBAbmlC43KwSnamfe8ZyrJfUOY0NNQCunzBsZfWlJLKBRPcHomgu+zkPkJBKfCaWqQ8B
QpeK5V5yXyUrnZy+BeY7tDIxiuZ6MVv0YCIfGIFifIfuDWk5zxZj4rVUFUWl68Pdoc69X2KVOfPE
oAxW91247Srcx20Ig4fyhXqruDvuaR4F95TbDczQD0ZeUSzHc8VcH1U9iQWx3QV06pZefIXdZvHZ
dJN7LVzfliQDrohTZyDjQvDUmg0mS88Tbepmnjtd+37xxc0t3hwzHp43GKltci5U3fVXng/McBkK
6xSAPvT9ZREmKDGb+PFBAJChGGd22QHKFlcXS0EZr0ntg9JPF0EOkwxvASIuZBa+KREsviMwEOFF
mab6FQVk4dVS1fPPC7+H1mGsQuiwUsIRJeHdX7Ftrs6oOqJA2JhovtlHFZrSEDSO+kW+Luw+uRPc
hT2B6n3R00+rYvVrkijFlyJzg2s1z6lKgVTgZ1CYAUT5oQcHyRxy/P6y6rqXtl75F8SJqR2zC9vs
eytXOJpPjcMCdaNRBJr7jOw8KEYdBsuUmFvlH8HBDC6zVDUNLjtosqimD6PujRkkyXgVdddfEt+D
/LDK19cZrHiIIrjFjzzMlrAnCKH7p6VflgaCgR2FmrIJNGyXZgma69j2cjHmlKucz611/LXjp9DL
KxC3R7LmvBOMcwbPZcEKf6+uluIiT5LVcclCeBbNxSIcJugCk3dTOV54OLdjqCRVZHjZWSgDd2Wt
rl1tVYC2mk8IsoFUTX8EZYbYfRUa56Wv4Ua7ncoGcIJIMTLHizSfAHKJtYvMqtYGqgRLanl6oaXj
ENViFmsmoq+2Arm7myCwqetLopShuR6L3PI/i4W6/AqFnfjWCymXWJVrMIxzSrADsvCA4T1PUnvM
LdIbhYVw0WTtTQlnsw5lHdLUlML54VDHVJ9Wa84pUQjN08AA8HKldazyayctFEA2GZkFv7vsHvXg
4LUggY6Mo6WwwAXHmm+L45yxez8JvfJ70utmd4UBULgwM+jfOomJLJUIVYMMTRxaFOf0SOlRebb0
h6lHIdbYypJ7wyvdT2K+6LLK+SI77UJ5GBOsphgGaNKyAr2TUqnJ6nylUEMw0jrmJBvaroTirquy
ROs5tgDg53rWOwtyqkIU3Vrdegj85gPLXc+vOoCXO/0JnDJXEbq1WZ9cvHLtIaE1YM0Wqk5eD0rR
/FtJBHaib0+w/zex0N2DDJ3MGW1AOdf5LK0+zxCizB44n+W3G42tm/h9P6ph8C83dPAY7n8X51Em
e+D6cSNOqskAWSO2uunSpr9vtRA6mZ/l0xnyYPahATDBAm3DqZir+9dBiNjK7mvFRndGBcAvj9ab
a3vDRyZ6zQhvP9/Wmm//pvEEznRB+pnhnvp32eNYMTEkjuh/YoQnTTwygn4oURKUNOwektT7YyOo
KiURptRMI9QhL2Ih3PAjGQEgOKGtVlbQqPWX8CvKK3ZX0wo9ouZAYwkNUmgvL4bKx7ICG0xz+2q2
se2HqfV8Qrw6FsgN2KgI6tS6Pjzl47FgGYdAhTqEbXdjhfjIR7MCE7rlWMAtEPnRiS/KoD8XUaLH
VlBVSn4Mg3MQ0XJ5fbgZYYDOaGsE61AzEP8F3LgdCjxk0wg2EgHAdaDM2Frpow0FlZH6hyvEqxMC
zg4TgcQeZOgvWqEHapTQK1H87Uj4eG4BMbPtJH2/V+j2DpkDBlwjO6/wdCh0DIhSCJyaH88p6lqX
eGirpUHvHJJrBJm7yQE+dwcsDXwD2RLo4c314azQhdemtVMEOk3gn4zyyzOBvVKXZQP0MvloeeE0
P9bS0JWCfm3HgsVYkDBF2H0319PNktY5JHgu68i3ZvofloY/2FE9bMAHnh9ON1tvfyZe2qG/9oN6
0/n8+92G82T6919yZ934ocQ5bO/97878n4bT3OwHH31Z7w8399n9++4Bn9+6ca/6qeoPx/4sdYAt
VZsvql03L50FG/j/hM4vpymKg9mZf//25O+/Gv189P5/07AInLodaRPkKXEkrdtFKSOOmg1vtvDt
Gw6cSDii7uKmyxCT13+/iFR5cItvmWLghP59nEZ+o9fbHUbbXg/iME6daVz3UvZ6u2C1b5lS77vM
RyWu0TiV2PXf7zfJcBY6hZPO6pZkt3voGNd/t2h5d8Y7iO8PME6++NU0uw3PV/u7APVL/WnjfeLV
5RmqrdmPZ3HqNru824a1bXmMxX2/7uFmeHc5kdYfvN/kJ1OEtepmNu3qlroHF3IShj7CiM0ZycKw
h/F3Ek1954kX0cEm1U/Rwhhx0RwWVAmxxLV9eWfPfRPAnj3MlzN6lt8FVd3FzfuTy2/9wftNcR4D
U35mZpsAQPu2L5Bub3gPWUG2hz5fOASPnWha91CaA1aKfbzCC0cI546I+CzLGmMaDIy+D5P4d57v
Os0IH3TOe5jhF76k/XiqS825dQ8T5sIXqPoIqmcbvgkehs6eWo/z9GnTe+k4hZJPfIhE2dj10Hn/
xLmc/UqdJ7snwouoXbT2I5ezldNctzjeyXhPWwd1OSsOxs4iEZ7fXNZp396DA5Ttn85SMavqvm6m
ZhcgYP1BG4MXBxez0r9rLGPEA/exosue/4jToO7mrt8y1Nja6BvJ+IGTxqyUjWVH65rq3m7wuib9
60XHf7QzvvL8psW3wYa2ZnlL6rNtj9MZyn31m9u8Sp1gbv3B+4fgJ5iVBLUQzpNjAghfbQ+Lw2cv
ns4OTsSztQ1uXkJ8bS3+e0Lglnbf3uD5QJR8w3vYD77Ja9Wy6zezsnmq3AWT2tr8a+Z49ZuTAxGy
D20Pa/0bFAAtDfGiYBRozD2Mv+8O6w5khc2puYtXtTX099lv1K5a2uXNGpa2bVcxiU+3MU5Mqi3q
D15zWC9Fmh5Sls/jT3U+9qV/awbX5C/uwpmT/vNfAAAA//8=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85726</xdr:rowOff>
    </xdr:from>
    <xdr:to>
      <xdr:col>29</xdr:col>
      <xdr:colOff>47624</xdr:colOff>
      <xdr:row>6</xdr:row>
      <xdr:rowOff>28575</xdr:rowOff>
    </xdr:to>
    <xdr:sp macro="" textlink="">
      <xdr:nvSpPr>
        <xdr:cNvPr id="2" name="Rectangle: Rounded Corners 1">
          <a:extLst>
            <a:ext uri="{FF2B5EF4-FFF2-40B4-BE49-F238E27FC236}">
              <a16:creationId xmlns:a16="http://schemas.microsoft.com/office/drawing/2014/main" id="{969B9166-C3DB-881D-59FC-FDC22D94DDEB}"/>
            </a:ext>
          </a:extLst>
        </xdr:cNvPr>
        <xdr:cNvSpPr/>
      </xdr:nvSpPr>
      <xdr:spPr>
        <a:xfrm>
          <a:off x="161925" y="85726"/>
          <a:ext cx="17564099" cy="108584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494711</xdr:colOff>
      <xdr:row>1</xdr:row>
      <xdr:rowOff>78873</xdr:rowOff>
    </xdr:from>
    <xdr:ext cx="4935134" cy="702177"/>
    <xdr:sp macro="" textlink="">
      <xdr:nvSpPr>
        <xdr:cNvPr id="5" name="Rectangle 4">
          <a:extLst>
            <a:ext uri="{FF2B5EF4-FFF2-40B4-BE49-F238E27FC236}">
              <a16:creationId xmlns:a16="http://schemas.microsoft.com/office/drawing/2014/main" id="{C1887D55-643D-0AC6-1628-5928B7C437D4}"/>
            </a:ext>
          </a:extLst>
        </xdr:cNvPr>
        <xdr:cNvSpPr/>
      </xdr:nvSpPr>
      <xdr:spPr>
        <a:xfrm>
          <a:off x="1104311" y="269373"/>
          <a:ext cx="4935134" cy="702177"/>
        </a:xfrm>
        <a:prstGeom prst="rect">
          <a:avLst/>
        </a:prstGeom>
        <a:noFill/>
      </xdr:spPr>
      <xdr:txBody>
        <a:bodyPr wrap="none" lIns="91440" tIns="45720" rIns="91440" bIns="45720">
          <a:no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238125</xdr:colOff>
      <xdr:row>1</xdr:row>
      <xdr:rowOff>19050</xdr:rowOff>
    </xdr:from>
    <xdr:to>
      <xdr:col>1</xdr:col>
      <xdr:colOff>542925</xdr:colOff>
      <xdr:row>5</xdr:row>
      <xdr:rowOff>171450</xdr:rowOff>
    </xdr:to>
    <xdr:pic>
      <xdr:nvPicPr>
        <xdr:cNvPr id="7" name="Graphic 6" descr="Bar graph with upward trend with solid fill">
          <a:extLst>
            <a:ext uri="{FF2B5EF4-FFF2-40B4-BE49-F238E27FC236}">
              <a16:creationId xmlns:a16="http://schemas.microsoft.com/office/drawing/2014/main" id="{99CA064E-D25E-9363-E388-15EBB6266F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209550"/>
          <a:ext cx="914400" cy="914400"/>
        </a:xfrm>
        <a:prstGeom prst="rect">
          <a:avLst/>
        </a:prstGeom>
      </xdr:spPr>
    </xdr:pic>
    <xdr:clientData/>
  </xdr:twoCellAnchor>
  <xdr:twoCellAnchor editAs="oneCell">
    <xdr:from>
      <xdr:col>21</xdr:col>
      <xdr:colOff>38100</xdr:colOff>
      <xdr:row>0</xdr:row>
      <xdr:rowOff>142876</xdr:rowOff>
    </xdr:from>
    <xdr:to>
      <xdr:col>28</xdr:col>
      <xdr:colOff>533401</xdr:colOff>
      <xdr:row>5</xdr:row>
      <xdr:rowOff>19050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E724F05E-DA76-4BB0-B594-B4DFB81068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839700" y="142876"/>
              <a:ext cx="4762501" cy="828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419099</xdr:colOff>
      <xdr:row>0</xdr:row>
      <xdr:rowOff>161926</xdr:rowOff>
    </xdr:from>
    <xdr:to>
      <xdr:col>19</xdr:col>
      <xdr:colOff>581025</xdr:colOff>
      <xdr:row>5</xdr:row>
      <xdr:rowOff>47626</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C9F16E1-F12E-40C0-865D-59612FC264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24699" y="161926"/>
              <a:ext cx="5038726"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238125</xdr:colOff>
      <xdr:row>7</xdr:row>
      <xdr:rowOff>19050</xdr:rowOff>
    </xdr:from>
    <xdr:to>
      <xdr:col>6</xdr:col>
      <xdr:colOff>285750</xdr:colOff>
      <xdr:row>37</xdr:row>
      <xdr:rowOff>47625</xdr:rowOff>
    </xdr:to>
    <xdr:sp macro="" textlink="">
      <xdr:nvSpPr>
        <xdr:cNvPr id="10" name="Rectangle: Rounded Corners 9">
          <a:extLst>
            <a:ext uri="{FF2B5EF4-FFF2-40B4-BE49-F238E27FC236}">
              <a16:creationId xmlns:a16="http://schemas.microsoft.com/office/drawing/2014/main" id="{F4FB982C-D7AE-FDA9-1CD9-9D03835F66D7}"/>
            </a:ext>
          </a:extLst>
        </xdr:cNvPr>
        <xdr:cNvSpPr/>
      </xdr:nvSpPr>
      <xdr:spPr>
        <a:xfrm>
          <a:off x="238125" y="1352550"/>
          <a:ext cx="3705225" cy="5743575"/>
        </a:xfrm>
        <a:prstGeom prst="roundRect">
          <a:avLst>
            <a:gd name="adj" fmla="val 796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523875</xdr:colOff>
      <xdr:row>7</xdr:row>
      <xdr:rowOff>0</xdr:rowOff>
    </xdr:from>
    <xdr:to>
      <xdr:col>28</xdr:col>
      <xdr:colOff>361950</xdr:colOff>
      <xdr:row>21</xdr:row>
      <xdr:rowOff>171450</xdr:rowOff>
    </xdr:to>
    <xdr:sp macro="" textlink="">
      <xdr:nvSpPr>
        <xdr:cNvPr id="11" name="Rectangle: Rounded Corners 10">
          <a:extLst>
            <a:ext uri="{FF2B5EF4-FFF2-40B4-BE49-F238E27FC236}">
              <a16:creationId xmlns:a16="http://schemas.microsoft.com/office/drawing/2014/main" id="{CEC04D5B-A728-72C8-AC28-0444450153E3}"/>
            </a:ext>
          </a:extLst>
        </xdr:cNvPr>
        <xdr:cNvSpPr/>
      </xdr:nvSpPr>
      <xdr:spPr>
        <a:xfrm>
          <a:off x="4181475" y="1333500"/>
          <a:ext cx="13249275" cy="28384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485775</xdr:colOff>
      <xdr:row>23</xdr:row>
      <xdr:rowOff>76200</xdr:rowOff>
    </xdr:from>
    <xdr:to>
      <xdr:col>16</xdr:col>
      <xdr:colOff>571500</xdr:colOff>
      <xdr:row>36</xdr:row>
      <xdr:rowOff>171450</xdr:rowOff>
    </xdr:to>
    <xdr:sp macro="" textlink="">
      <xdr:nvSpPr>
        <xdr:cNvPr id="13" name="Rectangle: Rounded Corners 12">
          <a:extLst>
            <a:ext uri="{FF2B5EF4-FFF2-40B4-BE49-F238E27FC236}">
              <a16:creationId xmlns:a16="http://schemas.microsoft.com/office/drawing/2014/main" id="{1C75F3E4-AD7A-C5A8-8110-B5677C3CE1F7}"/>
            </a:ext>
          </a:extLst>
        </xdr:cNvPr>
        <xdr:cNvSpPr/>
      </xdr:nvSpPr>
      <xdr:spPr>
        <a:xfrm>
          <a:off x="4143375" y="4457700"/>
          <a:ext cx="6181725" cy="25717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152400</xdr:colOff>
      <xdr:row>23</xdr:row>
      <xdr:rowOff>95250</xdr:rowOff>
    </xdr:from>
    <xdr:to>
      <xdr:col>28</xdr:col>
      <xdr:colOff>180975</xdr:colOff>
      <xdr:row>36</xdr:row>
      <xdr:rowOff>161925</xdr:rowOff>
    </xdr:to>
    <xdr:sp macro="" textlink="">
      <xdr:nvSpPr>
        <xdr:cNvPr id="14" name="Rectangle: Rounded Corners 13">
          <a:extLst>
            <a:ext uri="{FF2B5EF4-FFF2-40B4-BE49-F238E27FC236}">
              <a16:creationId xmlns:a16="http://schemas.microsoft.com/office/drawing/2014/main" id="{0B036F3D-4F26-C07B-657E-621D04550835}"/>
            </a:ext>
          </a:extLst>
        </xdr:cNvPr>
        <xdr:cNvSpPr/>
      </xdr:nvSpPr>
      <xdr:spPr>
        <a:xfrm>
          <a:off x="10515600" y="4476750"/>
          <a:ext cx="6734175" cy="254317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257175</xdr:colOff>
      <xdr:row>12</xdr:row>
      <xdr:rowOff>19050</xdr:rowOff>
    </xdr:from>
    <xdr:to>
      <xdr:col>6</xdr:col>
      <xdr:colOff>219075</xdr:colOff>
      <xdr:row>36</xdr:row>
      <xdr:rowOff>180975</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23A5B409-9258-41E5-A428-B282C45A5C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7175" y="2305050"/>
              <a:ext cx="3619500" cy="4733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561975</xdr:colOff>
      <xdr:row>25</xdr:row>
      <xdr:rowOff>171451</xdr:rowOff>
    </xdr:from>
    <xdr:to>
      <xdr:col>16</xdr:col>
      <xdr:colOff>361950</xdr:colOff>
      <xdr:row>36</xdr:row>
      <xdr:rowOff>76201</xdr:rowOff>
    </xdr:to>
    <xdr:graphicFrame macro="">
      <xdr:nvGraphicFramePr>
        <xdr:cNvPr id="16" name="Chart 15">
          <a:extLst>
            <a:ext uri="{FF2B5EF4-FFF2-40B4-BE49-F238E27FC236}">
              <a16:creationId xmlns:a16="http://schemas.microsoft.com/office/drawing/2014/main" id="{BFBA0F83-EA0F-4BC7-8BDA-682FE9294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xdr:colOff>
      <xdr:row>10</xdr:row>
      <xdr:rowOff>47625</xdr:rowOff>
    </xdr:from>
    <xdr:to>
      <xdr:col>16</xdr:col>
      <xdr:colOff>180975</xdr:colOff>
      <xdr:row>21</xdr:row>
      <xdr:rowOff>57150</xdr:rowOff>
    </xdr:to>
    <xdr:graphicFrame macro="">
      <xdr:nvGraphicFramePr>
        <xdr:cNvPr id="17" name="Chart 16">
          <a:extLst>
            <a:ext uri="{FF2B5EF4-FFF2-40B4-BE49-F238E27FC236}">
              <a16:creationId xmlns:a16="http://schemas.microsoft.com/office/drawing/2014/main" id="{4DE0794D-021A-41AE-B0E9-F579C716D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323850</xdr:colOff>
      <xdr:row>10</xdr:row>
      <xdr:rowOff>19050</xdr:rowOff>
    </xdr:from>
    <xdr:to>
      <xdr:col>28</xdr:col>
      <xdr:colOff>104775</xdr:colOff>
      <xdr:row>21</xdr:row>
      <xdr:rowOff>28575</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3059E109-86BD-4E32-8639-EC659BF31F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077450" y="1924050"/>
              <a:ext cx="7096125" cy="2105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171451</xdr:colOff>
      <xdr:row>25</xdr:row>
      <xdr:rowOff>171450</xdr:rowOff>
    </xdr:from>
    <xdr:to>
      <xdr:col>28</xdr:col>
      <xdr:colOff>38100</xdr:colOff>
      <xdr:row>35</xdr:row>
      <xdr:rowOff>161926</xdr:rowOff>
    </xdr:to>
    <xdr:graphicFrame macro="">
      <xdr:nvGraphicFramePr>
        <xdr:cNvPr id="19" name="Chart 18">
          <a:extLst>
            <a:ext uri="{FF2B5EF4-FFF2-40B4-BE49-F238E27FC236}">
              <a16:creationId xmlns:a16="http://schemas.microsoft.com/office/drawing/2014/main" id="{689D4690-0E20-45B3-A492-A8B9DC160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417258</xdr:colOff>
      <xdr:row>7</xdr:row>
      <xdr:rowOff>155073</xdr:rowOff>
    </xdr:from>
    <xdr:ext cx="3211767" cy="593304"/>
    <xdr:sp macro="" textlink="">
      <xdr:nvSpPr>
        <xdr:cNvPr id="20" name="Rectangle 19">
          <a:extLst>
            <a:ext uri="{FF2B5EF4-FFF2-40B4-BE49-F238E27FC236}">
              <a16:creationId xmlns:a16="http://schemas.microsoft.com/office/drawing/2014/main" id="{70E3B5BA-6DED-9194-811C-B28507C8AF13}"/>
            </a:ext>
          </a:extLst>
        </xdr:cNvPr>
        <xdr:cNvSpPr/>
      </xdr:nvSpPr>
      <xdr:spPr>
        <a:xfrm>
          <a:off x="417258" y="1488573"/>
          <a:ext cx="3211767" cy="593304"/>
        </a:xfrm>
        <a:prstGeom prst="rect">
          <a:avLst/>
        </a:prstGeom>
        <a:noFill/>
      </xdr:spPr>
      <xdr:txBody>
        <a:bodyPr wrap="squar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Sales</a:t>
          </a:r>
          <a:r>
            <a:rPr lang="en-US" sz="3200" b="0" cap="none" spc="0" baseline="0">
              <a:ln w="0"/>
              <a:solidFill>
                <a:schemeClr val="tx1"/>
              </a:solidFill>
              <a:effectLst>
                <a:outerShdw blurRad="38100" dist="19050" dir="2700000" algn="tl" rotWithShape="0">
                  <a:schemeClr val="dk1">
                    <a:alpha val="40000"/>
                  </a:schemeClr>
                </a:outerShdw>
              </a:effectLst>
            </a:rPr>
            <a:t> By Category</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43557</xdr:colOff>
      <xdr:row>7</xdr:row>
      <xdr:rowOff>38100</xdr:rowOff>
    </xdr:from>
    <xdr:ext cx="4633218" cy="593304"/>
    <xdr:sp macro="" textlink="">
      <xdr:nvSpPr>
        <xdr:cNvPr id="23" name="Rectangle 22">
          <a:extLst>
            <a:ext uri="{FF2B5EF4-FFF2-40B4-BE49-F238E27FC236}">
              <a16:creationId xmlns:a16="http://schemas.microsoft.com/office/drawing/2014/main" id="{CED546BD-B139-EC00-B03E-46BD1B481A0D}"/>
            </a:ext>
          </a:extLst>
        </xdr:cNvPr>
        <xdr:cNvSpPr/>
      </xdr:nvSpPr>
      <xdr:spPr>
        <a:xfrm>
          <a:off x="4310757" y="1371600"/>
          <a:ext cx="4633218" cy="593304"/>
        </a:xfrm>
        <a:prstGeom prst="rect">
          <a:avLst/>
        </a:prstGeom>
        <a:noFill/>
      </xdr:spPr>
      <xdr:txBody>
        <a:bodyPr wrap="squar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Profit</a:t>
          </a:r>
          <a:r>
            <a:rPr lang="en-US" sz="3200" b="0" cap="none" spc="0" baseline="0">
              <a:ln w="0"/>
              <a:solidFill>
                <a:schemeClr val="tx1"/>
              </a:solidFill>
              <a:effectLst>
                <a:outerShdw blurRad="38100" dist="19050" dir="2700000" algn="tl" rotWithShape="0">
                  <a:schemeClr val="dk1">
                    <a:alpha val="40000"/>
                  </a:schemeClr>
                </a:outerShdw>
              </a:effectLst>
            </a:rPr>
            <a:t> Gained Over Time</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375512</xdr:colOff>
      <xdr:row>7</xdr:row>
      <xdr:rowOff>12198</xdr:rowOff>
    </xdr:from>
    <xdr:ext cx="2487476" cy="593304"/>
    <xdr:sp macro="" textlink="">
      <xdr:nvSpPr>
        <xdr:cNvPr id="24" name="Rectangle 23">
          <a:extLst>
            <a:ext uri="{FF2B5EF4-FFF2-40B4-BE49-F238E27FC236}">
              <a16:creationId xmlns:a16="http://schemas.microsoft.com/office/drawing/2014/main" id="{6D7D8FFB-2972-E328-4003-44CF2F4B051D}"/>
            </a:ext>
          </a:extLst>
        </xdr:cNvPr>
        <xdr:cNvSpPr/>
      </xdr:nvSpPr>
      <xdr:spPr>
        <a:xfrm>
          <a:off x="10129112" y="1345698"/>
          <a:ext cx="2487476" cy="593304"/>
        </a:xfrm>
        <a:prstGeom prst="rect">
          <a:avLst/>
        </a:prstGeom>
        <a:noFill/>
      </xdr:spPr>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Sales</a:t>
          </a:r>
          <a:r>
            <a:rPr lang="en-US" sz="3200" b="0" cap="none" spc="0" baseline="0">
              <a:ln w="0"/>
              <a:solidFill>
                <a:schemeClr val="tx1"/>
              </a:solidFill>
              <a:effectLst>
                <a:outerShdw blurRad="38100" dist="19050" dir="2700000" algn="tl" rotWithShape="0">
                  <a:schemeClr val="dk1">
                    <a:alpha val="40000"/>
                  </a:schemeClr>
                </a:outerShdw>
              </a:effectLst>
            </a:rPr>
            <a:t> By State</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441898</xdr:colOff>
      <xdr:row>23</xdr:row>
      <xdr:rowOff>9525</xdr:rowOff>
    </xdr:from>
    <xdr:ext cx="5787451" cy="593304"/>
    <xdr:sp macro="" textlink="">
      <xdr:nvSpPr>
        <xdr:cNvPr id="25" name="Rectangle 24">
          <a:extLst>
            <a:ext uri="{FF2B5EF4-FFF2-40B4-BE49-F238E27FC236}">
              <a16:creationId xmlns:a16="http://schemas.microsoft.com/office/drawing/2014/main" id="{B57A2220-3968-8299-22CF-08B0EC8ED307}"/>
            </a:ext>
          </a:extLst>
        </xdr:cNvPr>
        <xdr:cNvSpPr/>
      </xdr:nvSpPr>
      <xdr:spPr>
        <a:xfrm>
          <a:off x="4099498" y="4391025"/>
          <a:ext cx="5787451" cy="593304"/>
        </a:xfrm>
        <a:prstGeom prst="rect">
          <a:avLst/>
        </a:prstGeom>
        <a:noFill/>
      </xdr:spPr>
      <xdr:txBody>
        <a:bodyPr wrap="squar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Top</a:t>
          </a:r>
          <a:r>
            <a:rPr lang="en-US" sz="3200" b="0" cap="none" spc="0" baseline="0">
              <a:ln w="0"/>
              <a:solidFill>
                <a:schemeClr val="tx1"/>
              </a:solidFill>
              <a:effectLst>
                <a:outerShdw blurRad="38100" dist="19050" dir="2700000" algn="tl" rotWithShape="0">
                  <a:schemeClr val="dk1">
                    <a:alpha val="40000"/>
                  </a:schemeClr>
                </a:outerShdw>
              </a:effectLst>
            </a:rPr>
            <a:t> 5 Customer Making Profits</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379115</xdr:colOff>
      <xdr:row>22</xdr:row>
      <xdr:rowOff>183648</xdr:rowOff>
    </xdr:from>
    <xdr:ext cx="2537426" cy="593304"/>
    <xdr:sp macro="" textlink="">
      <xdr:nvSpPr>
        <xdr:cNvPr id="26" name="Rectangle 25">
          <a:extLst>
            <a:ext uri="{FF2B5EF4-FFF2-40B4-BE49-F238E27FC236}">
              <a16:creationId xmlns:a16="http://schemas.microsoft.com/office/drawing/2014/main" id="{16CCD2D7-689C-CBC8-748C-6B164587B528}"/>
            </a:ext>
          </a:extLst>
        </xdr:cNvPr>
        <xdr:cNvSpPr/>
      </xdr:nvSpPr>
      <xdr:spPr>
        <a:xfrm>
          <a:off x="10742315" y="4374648"/>
          <a:ext cx="2537426" cy="593304"/>
        </a:xfrm>
        <a:prstGeom prst="rect">
          <a:avLst/>
        </a:prstGeom>
        <a:noFill/>
      </xdr:spPr>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0.30762</cdr:x>
      <cdr:y>0.15044</cdr:y>
    </cdr:from>
    <cdr:to>
      <cdr:x>0.34043</cdr:x>
      <cdr:y>0.36785</cdr:y>
    </cdr:to>
    <cdr:sp macro="" textlink="">
      <cdr:nvSpPr>
        <cdr:cNvPr id="2" name="Rectangle 1">
          <a:extLst xmlns:a="http://schemas.openxmlformats.org/drawingml/2006/main">
            <a:ext uri="{FF2B5EF4-FFF2-40B4-BE49-F238E27FC236}">
              <a16:creationId xmlns:a16="http://schemas.microsoft.com/office/drawing/2014/main" id="{CE57C81A-1046-5766-BF7D-894D8479DCD0}"/>
            </a:ext>
          </a:extLst>
        </cdr:cNvPr>
        <cdr:cNvSpPr/>
      </cdr:nvSpPr>
      <cdr:spPr>
        <a:xfrm xmlns:a="http://schemas.openxmlformats.org/drawingml/2006/main">
          <a:off x="1731671" y="323850"/>
          <a:ext cx="184731" cy="468013"/>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2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tt" refreshedDate="46127.496374537041" createdVersion="8" refreshedVersion="8" minRefreshableVersion="3" recordCount="2500" xr:uid="{41A45B71-5735-45A2-B12A-40CC372A865F}">
  <cacheSource type="worksheet">
    <worksheetSource name="SalesData"/>
  </cacheSource>
  <cacheFields count="11">
    <cacheField name="Order Date" numFmtId="14">
      <sharedItems containsSemiMixedTypes="0" containsNonDate="0" containsDate="1" containsString="0" minDate="2014-01-01T00:00:00" maxDate="2018-02-10T00:00:00"/>
    </cacheField>
    <cacheField name="Year" numFmtId="1">
      <sharedItems containsSemiMixedTypes="0" containsString="0" containsNumber="1" containsInteger="1" minValue="2014" maxValue="2018" count="5">
        <n v="2014"/>
        <n v="2015"/>
        <n v="2016"/>
        <n v="2017"/>
        <n v="2018"/>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12">
        <s v="Karan Mehta"/>
        <s v="Amit Sharma"/>
        <s v="Pooja Agarwal"/>
        <s v="Vikas Jain"/>
        <s v="Rahul Verma"/>
        <s v="Neha Kapoor"/>
        <s v="Priya Nair"/>
        <s v="Anjali Das"/>
        <s v="Riya Gupta"/>
        <s v="Sneha Singh"/>
        <s v="Arjun Patel"/>
        <s v="Rohit Yadav"/>
      </sharedItems>
    </cacheField>
    <cacheField name="State" numFmtId="0">
      <sharedItems count="10">
        <s v="Ohio"/>
        <s v="New York"/>
        <s v="Colorado"/>
        <s v="Arizona"/>
        <s v="Washington"/>
        <s v="Texas"/>
        <s v="Georgia"/>
        <s v="Florida"/>
        <s v="Nevada"/>
        <s v="California"/>
      </sharedItems>
    </cacheField>
    <cacheField name="Category" numFmtId="0">
      <sharedItems count="3">
        <s v="Furniture"/>
        <s v="Office Supplies"/>
        <s v="Technology"/>
      </sharedItems>
    </cacheField>
    <cacheField name="Sub-Category" numFmtId="0">
      <sharedItems count="12">
        <s v="Furnishings"/>
        <s v="Appliances"/>
        <s v="Tables"/>
        <s v="Phones"/>
        <s v="Chairs"/>
        <s v="Accessories"/>
        <s v="Copiers"/>
        <s v="Art"/>
        <s v="Paper"/>
        <s v="Binders"/>
        <s v="Bookcases"/>
        <s v="Storage"/>
      </sharedItems>
    </cacheField>
    <cacheField name="Product Name" numFmtId="0">
      <sharedItems/>
    </cacheField>
    <cacheField name="Sales" numFmtId="164">
      <sharedItems containsSemiMixedTypes="0" containsString="0" containsNumber="1" minValue="20.329999999999998" maxValue="4998.63"/>
    </cacheField>
    <cacheField name="Quantity" numFmtId="1">
      <sharedItems containsSemiMixedTypes="0" containsString="0" containsNumber="1" containsInteger="1" minValue="1" maxValue="10"/>
    </cacheField>
    <cacheField name="Profit" numFmtId="164">
      <sharedItems containsSemiMixedTypes="0" containsString="0" containsNumber="1" minValue="0.02" maxValue="1432.04"/>
    </cacheField>
  </cacheFields>
  <extLst>
    <ext xmlns:x14="http://schemas.microsoft.com/office/spreadsheetml/2009/9/main" uri="{725AE2AE-9491-48be-B2B4-4EB974FC3084}">
      <x14:pivotCacheDefinition pivotCacheId="1550346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d v="2014-01-01T00:00:00"/>
    <x v="0"/>
    <x v="0"/>
    <x v="0"/>
    <x v="0"/>
    <x v="0"/>
    <x v="0"/>
    <s v="Desk Lamp"/>
    <n v="2007.93"/>
    <n v="4"/>
    <n v="598.84"/>
  </r>
  <r>
    <d v="2014-01-01T00:00:00"/>
    <x v="0"/>
    <x v="0"/>
    <x v="0"/>
    <x v="0"/>
    <x v="1"/>
    <x v="1"/>
    <s v="Air Cleaner"/>
    <n v="631.44000000000005"/>
    <n v="7"/>
    <n v="30.07"/>
  </r>
  <r>
    <d v="2014-01-01T00:00:00"/>
    <x v="0"/>
    <x v="0"/>
    <x v="1"/>
    <x v="1"/>
    <x v="0"/>
    <x v="2"/>
    <s v="Conference Table"/>
    <n v="1845.47"/>
    <n v="5"/>
    <n v="361.19"/>
  </r>
  <r>
    <d v="2014-01-01T00:00:00"/>
    <x v="0"/>
    <x v="0"/>
    <x v="2"/>
    <x v="2"/>
    <x v="2"/>
    <x v="3"/>
    <s v="Smartphone"/>
    <n v="2903.47"/>
    <n v="10"/>
    <n v="42.28"/>
  </r>
  <r>
    <d v="2014-01-01T00:00:00"/>
    <x v="0"/>
    <x v="0"/>
    <x v="3"/>
    <x v="0"/>
    <x v="0"/>
    <x v="2"/>
    <s v="Study Table"/>
    <n v="735.61"/>
    <n v="5"/>
    <n v="5.14"/>
  </r>
  <r>
    <d v="2014-01-01T00:00:00"/>
    <x v="0"/>
    <x v="0"/>
    <x v="4"/>
    <x v="3"/>
    <x v="0"/>
    <x v="4"/>
    <s v="Executive Chair"/>
    <n v="2347.1799999999998"/>
    <n v="7"/>
    <n v="100.62"/>
  </r>
  <r>
    <d v="2014-01-02T00:00:00"/>
    <x v="0"/>
    <x v="0"/>
    <x v="4"/>
    <x v="0"/>
    <x v="2"/>
    <x v="5"/>
    <s v="Mouse"/>
    <n v="2601.85"/>
    <n v="4"/>
    <n v="106.7"/>
  </r>
  <r>
    <d v="2014-01-02T00:00:00"/>
    <x v="0"/>
    <x v="0"/>
    <x v="4"/>
    <x v="2"/>
    <x v="2"/>
    <x v="6"/>
    <s v="Inkjet Copier"/>
    <n v="2927.3"/>
    <n v="6"/>
    <n v="503.13"/>
  </r>
  <r>
    <d v="2014-01-02T00:00:00"/>
    <x v="0"/>
    <x v="0"/>
    <x v="3"/>
    <x v="4"/>
    <x v="1"/>
    <x v="7"/>
    <s v="Sketch Kit"/>
    <n v="4924.3500000000004"/>
    <n v="8"/>
    <n v="923.12"/>
  </r>
  <r>
    <d v="2014-01-03T00:00:00"/>
    <x v="0"/>
    <x v="0"/>
    <x v="3"/>
    <x v="0"/>
    <x v="2"/>
    <x v="3"/>
    <s v="IP Phone"/>
    <n v="4579.05"/>
    <n v="10"/>
    <n v="660.96"/>
  </r>
  <r>
    <d v="2014-01-05T00:00:00"/>
    <x v="0"/>
    <x v="0"/>
    <x v="5"/>
    <x v="5"/>
    <x v="2"/>
    <x v="5"/>
    <s v="Keyboard"/>
    <n v="1461.21"/>
    <n v="4"/>
    <n v="224.23"/>
  </r>
  <r>
    <d v="2014-01-06T00:00:00"/>
    <x v="0"/>
    <x v="0"/>
    <x v="6"/>
    <x v="6"/>
    <x v="0"/>
    <x v="2"/>
    <s v="Study Table"/>
    <n v="3104.79"/>
    <n v="3"/>
    <n v="322.42"/>
  </r>
  <r>
    <d v="2014-01-06T00:00:00"/>
    <x v="0"/>
    <x v="0"/>
    <x v="2"/>
    <x v="4"/>
    <x v="2"/>
    <x v="3"/>
    <s v="Smartphone"/>
    <n v="2195.39"/>
    <n v="8"/>
    <n v="106.34"/>
  </r>
  <r>
    <d v="2014-01-06T00:00:00"/>
    <x v="0"/>
    <x v="0"/>
    <x v="3"/>
    <x v="1"/>
    <x v="1"/>
    <x v="8"/>
    <s v="Printer Paper"/>
    <n v="2281.9499999999998"/>
    <n v="10"/>
    <n v="463.63"/>
  </r>
  <r>
    <d v="2014-01-07T00:00:00"/>
    <x v="0"/>
    <x v="0"/>
    <x v="7"/>
    <x v="6"/>
    <x v="1"/>
    <x v="7"/>
    <s v="Sketch Kit"/>
    <n v="4066.38"/>
    <n v="4"/>
    <n v="752.35"/>
  </r>
  <r>
    <d v="2014-01-07T00:00:00"/>
    <x v="0"/>
    <x v="0"/>
    <x v="5"/>
    <x v="7"/>
    <x v="2"/>
    <x v="3"/>
    <s v="Smartphone"/>
    <n v="4688.1400000000003"/>
    <n v="2"/>
    <n v="764.55"/>
  </r>
  <r>
    <d v="2014-01-08T00:00:00"/>
    <x v="0"/>
    <x v="0"/>
    <x v="8"/>
    <x v="1"/>
    <x v="2"/>
    <x v="5"/>
    <s v="Mouse"/>
    <n v="3785.21"/>
    <n v="4"/>
    <n v="91.65"/>
  </r>
  <r>
    <d v="2014-01-08T00:00:00"/>
    <x v="0"/>
    <x v="0"/>
    <x v="5"/>
    <x v="1"/>
    <x v="1"/>
    <x v="1"/>
    <s v="Heater"/>
    <n v="29.84"/>
    <n v="1"/>
    <n v="0.3"/>
  </r>
  <r>
    <d v="2014-01-09T00:00:00"/>
    <x v="0"/>
    <x v="0"/>
    <x v="9"/>
    <x v="0"/>
    <x v="0"/>
    <x v="2"/>
    <s v="Conference Table"/>
    <n v="3390.66"/>
    <n v="8"/>
    <n v="91.24"/>
  </r>
  <r>
    <d v="2014-01-09T00:00:00"/>
    <x v="0"/>
    <x v="0"/>
    <x v="1"/>
    <x v="8"/>
    <x v="2"/>
    <x v="5"/>
    <s v="Keyboard"/>
    <n v="225.26"/>
    <n v="5"/>
    <n v="7.84"/>
  </r>
  <r>
    <d v="2014-01-10T00:00:00"/>
    <x v="0"/>
    <x v="0"/>
    <x v="0"/>
    <x v="6"/>
    <x v="0"/>
    <x v="4"/>
    <s v="Executive Chair"/>
    <n v="2954.5"/>
    <n v="10"/>
    <n v="194.45"/>
  </r>
  <r>
    <d v="2014-01-10T00:00:00"/>
    <x v="0"/>
    <x v="0"/>
    <x v="7"/>
    <x v="9"/>
    <x v="1"/>
    <x v="9"/>
    <s v="Ring Binder"/>
    <n v="2766.3"/>
    <n v="9"/>
    <n v="556.22"/>
  </r>
  <r>
    <d v="2014-01-11T00:00:00"/>
    <x v="0"/>
    <x v="0"/>
    <x v="5"/>
    <x v="3"/>
    <x v="0"/>
    <x v="0"/>
    <s v="Wall Decor"/>
    <n v="4870.92"/>
    <n v="8"/>
    <n v="459.84"/>
  </r>
  <r>
    <d v="2014-01-15T00:00:00"/>
    <x v="0"/>
    <x v="0"/>
    <x v="1"/>
    <x v="9"/>
    <x v="0"/>
    <x v="10"/>
    <s v="Metal Bookcase"/>
    <n v="99.83"/>
    <n v="6"/>
    <n v="6.47"/>
  </r>
  <r>
    <d v="2014-01-16T00:00:00"/>
    <x v="0"/>
    <x v="0"/>
    <x v="6"/>
    <x v="3"/>
    <x v="2"/>
    <x v="3"/>
    <s v="IP Phone"/>
    <n v="4578.97"/>
    <n v="9"/>
    <n v="692.9"/>
  </r>
  <r>
    <d v="2014-01-17T00:00:00"/>
    <x v="0"/>
    <x v="0"/>
    <x v="3"/>
    <x v="6"/>
    <x v="1"/>
    <x v="7"/>
    <s v="Color Set"/>
    <n v="924.83"/>
    <n v="4"/>
    <n v="17.73"/>
  </r>
  <r>
    <d v="2014-01-17T00:00:00"/>
    <x v="0"/>
    <x v="0"/>
    <x v="8"/>
    <x v="3"/>
    <x v="0"/>
    <x v="4"/>
    <s v="Ergonomic Chair"/>
    <n v="2877.78"/>
    <n v="6"/>
    <n v="481.85"/>
  </r>
  <r>
    <d v="2014-01-18T00:00:00"/>
    <x v="0"/>
    <x v="0"/>
    <x v="1"/>
    <x v="9"/>
    <x v="1"/>
    <x v="1"/>
    <s v="Air Cleaner"/>
    <n v="1253.26"/>
    <n v="10"/>
    <n v="10.51"/>
  </r>
  <r>
    <d v="2014-01-19T00:00:00"/>
    <x v="0"/>
    <x v="0"/>
    <x v="1"/>
    <x v="7"/>
    <x v="2"/>
    <x v="5"/>
    <s v="USB Drive"/>
    <n v="2746.02"/>
    <n v="10"/>
    <n v="558.28"/>
  </r>
  <r>
    <d v="2014-01-19T00:00:00"/>
    <x v="0"/>
    <x v="0"/>
    <x v="10"/>
    <x v="3"/>
    <x v="0"/>
    <x v="0"/>
    <s v="Desk Lamp"/>
    <n v="4143.8100000000004"/>
    <n v="5"/>
    <n v="85.58"/>
  </r>
  <r>
    <d v="2014-01-19T00:00:00"/>
    <x v="0"/>
    <x v="0"/>
    <x v="6"/>
    <x v="1"/>
    <x v="2"/>
    <x v="6"/>
    <s v="Laser Copier"/>
    <n v="753.09"/>
    <n v="5"/>
    <n v="1.17"/>
  </r>
  <r>
    <d v="2014-01-19T00:00:00"/>
    <x v="0"/>
    <x v="0"/>
    <x v="10"/>
    <x v="0"/>
    <x v="1"/>
    <x v="11"/>
    <s v="Drawer Unit"/>
    <n v="269.83999999999997"/>
    <n v="6"/>
    <n v="25.58"/>
  </r>
  <r>
    <d v="2014-01-19T00:00:00"/>
    <x v="0"/>
    <x v="0"/>
    <x v="6"/>
    <x v="3"/>
    <x v="2"/>
    <x v="5"/>
    <s v="Keyboard"/>
    <n v="3361.5"/>
    <n v="4"/>
    <n v="59.94"/>
  </r>
  <r>
    <d v="2014-01-20T00:00:00"/>
    <x v="0"/>
    <x v="0"/>
    <x v="11"/>
    <x v="9"/>
    <x v="1"/>
    <x v="8"/>
    <s v="Printer Paper"/>
    <n v="3434.74"/>
    <n v="9"/>
    <n v="150.47"/>
  </r>
  <r>
    <d v="2014-01-20T00:00:00"/>
    <x v="0"/>
    <x v="0"/>
    <x v="10"/>
    <x v="4"/>
    <x v="0"/>
    <x v="10"/>
    <s v="Metal Bookcase"/>
    <n v="564.42999999999995"/>
    <n v="5"/>
    <n v="106.5"/>
  </r>
  <r>
    <d v="2014-01-20T00:00:00"/>
    <x v="0"/>
    <x v="0"/>
    <x v="3"/>
    <x v="5"/>
    <x v="1"/>
    <x v="1"/>
    <s v="Heater"/>
    <n v="2974.35"/>
    <n v="3"/>
    <n v="250.38"/>
  </r>
  <r>
    <d v="2014-01-21T00:00:00"/>
    <x v="0"/>
    <x v="0"/>
    <x v="5"/>
    <x v="0"/>
    <x v="1"/>
    <x v="7"/>
    <s v="Sketch Kit"/>
    <n v="1600.37"/>
    <n v="7"/>
    <n v="196.84"/>
  </r>
  <r>
    <d v="2014-01-21T00:00:00"/>
    <x v="0"/>
    <x v="0"/>
    <x v="0"/>
    <x v="7"/>
    <x v="1"/>
    <x v="8"/>
    <s v="A4 Paper Pack"/>
    <n v="801.69"/>
    <n v="6"/>
    <n v="191.83"/>
  </r>
  <r>
    <d v="2014-01-21T00:00:00"/>
    <x v="0"/>
    <x v="0"/>
    <x v="11"/>
    <x v="6"/>
    <x v="2"/>
    <x v="3"/>
    <s v="Smartphone"/>
    <n v="123.13"/>
    <n v="9"/>
    <n v="6.09"/>
  </r>
  <r>
    <d v="2014-01-21T00:00:00"/>
    <x v="0"/>
    <x v="0"/>
    <x v="6"/>
    <x v="7"/>
    <x v="1"/>
    <x v="9"/>
    <s v="Binder Pack"/>
    <n v="4422.43"/>
    <n v="6"/>
    <n v="286.63"/>
  </r>
  <r>
    <d v="2014-01-21T00:00:00"/>
    <x v="0"/>
    <x v="0"/>
    <x v="7"/>
    <x v="5"/>
    <x v="0"/>
    <x v="0"/>
    <s v="Wall Decor"/>
    <n v="2027.76"/>
    <n v="7"/>
    <n v="391.43"/>
  </r>
  <r>
    <d v="2014-01-21T00:00:00"/>
    <x v="0"/>
    <x v="0"/>
    <x v="10"/>
    <x v="0"/>
    <x v="1"/>
    <x v="9"/>
    <s v="Ring Binder"/>
    <n v="4317.46"/>
    <n v="7"/>
    <n v="158.63"/>
  </r>
  <r>
    <d v="2014-01-21T00:00:00"/>
    <x v="0"/>
    <x v="0"/>
    <x v="6"/>
    <x v="5"/>
    <x v="2"/>
    <x v="3"/>
    <s v="IP Phone"/>
    <n v="4872.28"/>
    <n v="2"/>
    <n v="984.49"/>
  </r>
  <r>
    <d v="2014-01-21T00:00:00"/>
    <x v="0"/>
    <x v="0"/>
    <x v="0"/>
    <x v="7"/>
    <x v="1"/>
    <x v="8"/>
    <s v="Printer Paper"/>
    <n v="3817.4"/>
    <n v="1"/>
    <n v="549.73"/>
  </r>
  <r>
    <d v="2014-01-22T00:00:00"/>
    <x v="0"/>
    <x v="0"/>
    <x v="2"/>
    <x v="3"/>
    <x v="1"/>
    <x v="7"/>
    <s v="Sketch Kit"/>
    <n v="1564.88"/>
    <n v="4"/>
    <n v="58.73"/>
  </r>
  <r>
    <d v="2014-01-22T00:00:00"/>
    <x v="0"/>
    <x v="0"/>
    <x v="5"/>
    <x v="5"/>
    <x v="1"/>
    <x v="11"/>
    <s v="Drawer Unit"/>
    <n v="1806.9"/>
    <n v="6"/>
    <n v="504.6"/>
  </r>
  <r>
    <d v="2014-01-22T00:00:00"/>
    <x v="0"/>
    <x v="0"/>
    <x v="9"/>
    <x v="6"/>
    <x v="1"/>
    <x v="9"/>
    <s v="Binder Pack"/>
    <n v="547.9"/>
    <n v="4"/>
    <n v="74.97"/>
  </r>
  <r>
    <d v="2014-01-22T00:00:00"/>
    <x v="0"/>
    <x v="0"/>
    <x v="3"/>
    <x v="5"/>
    <x v="0"/>
    <x v="0"/>
    <s v="Desk Lamp"/>
    <n v="1168.56"/>
    <n v="3"/>
    <n v="119.71"/>
  </r>
  <r>
    <d v="2014-01-23T00:00:00"/>
    <x v="0"/>
    <x v="0"/>
    <x v="9"/>
    <x v="5"/>
    <x v="2"/>
    <x v="6"/>
    <s v="Laser Copier"/>
    <n v="4525"/>
    <n v="7"/>
    <n v="58.17"/>
  </r>
  <r>
    <d v="2014-01-23T00:00:00"/>
    <x v="0"/>
    <x v="0"/>
    <x v="8"/>
    <x v="8"/>
    <x v="0"/>
    <x v="4"/>
    <s v="Office Chair"/>
    <n v="951.75"/>
    <n v="7"/>
    <n v="21.73"/>
  </r>
  <r>
    <d v="2014-01-24T00:00:00"/>
    <x v="0"/>
    <x v="0"/>
    <x v="0"/>
    <x v="3"/>
    <x v="1"/>
    <x v="1"/>
    <s v="Heater"/>
    <n v="3070.09"/>
    <n v="9"/>
    <n v="251.54"/>
  </r>
  <r>
    <d v="2014-01-25T00:00:00"/>
    <x v="0"/>
    <x v="0"/>
    <x v="4"/>
    <x v="7"/>
    <x v="2"/>
    <x v="6"/>
    <s v="Laser Copier"/>
    <n v="4359.72"/>
    <n v="5"/>
    <n v="289.91000000000003"/>
  </r>
  <r>
    <d v="2014-01-25T00:00:00"/>
    <x v="0"/>
    <x v="0"/>
    <x v="9"/>
    <x v="8"/>
    <x v="2"/>
    <x v="5"/>
    <s v="Mouse"/>
    <n v="4300.07"/>
    <n v="2"/>
    <n v="975.09"/>
  </r>
  <r>
    <d v="2014-01-25T00:00:00"/>
    <x v="0"/>
    <x v="0"/>
    <x v="0"/>
    <x v="5"/>
    <x v="0"/>
    <x v="4"/>
    <s v="Executive Chair"/>
    <n v="4290.17"/>
    <n v="8"/>
    <n v="356.01"/>
  </r>
  <r>
    <d v="2014-01-26T00:00:00"/>
    <x v="0"/>
    <x v="0"/>
    <x v="8"/>
    <x v="0"/>
    <x v="1"/>
    <x v="8"/>
    <s v="Printer Paper"/>
    <n v="3524.29"/>
    <n v="2"/>
    <n v="323.72000000000003"/>
  </r>
  <r>
    <d v="2014-01-27T00:00:00"/>
    <x v="0"/>
    <x v="0"/>
    <x v="7"/>
    <x v="0"/>
    <x v="1"/>
    <x v="11"/>
    <s v="Drawer Unit"/>
    <n v="1064.5899999999999"/>
    <n v="3"/>
    <n v="94.14"/>
  </r>
  <r>
    <d v="2014-01-27T00:00:00"/>
    <x v="0"/>
    <x v="0"/>
    <x v="10"/>
    <x v="6"/>
    <x v="0"/>
    <x v="2"/>
    <s v="Conference Table"/>
    <n v="67.92"/>
    <n v="3"/>
    <n v="16.07"/>
  </r>
  <r>
    <d v="2014-01-28T00:00:00"/>
    <x v="0"/>
    <x v="0"/>
    <x v="1"/>
    <x v="6"/>
    <x v="1"/>
    <x v="8"/>
    <s v="Printer Paper"/>
    <n v="4648.7700000000004"/>
    <n v="9"/>
    <n v="566.13"/>
  </r>
  <r>
    <d v="2014-01-29T00:00:00"/>
    <x v="0"/>
    <x v="0"/>
    <x v="9"/>
    <x v="7"/>
    <x v="1"/>
    <x v="7"/>
    <s v="Sketch Kit"/>
    <n v="1849.62"/>
    <n v="2"/>
    <n v="359.4"/>
  </r>
  <r>
    <d v="2014-01-31T00:00:00"/>
    <x v="0"/>
    <x v="0"/>
    <x v="8"/>
    <x v="1"/>
    <x v="2"/>
    <x v="6"/>
    <s v="Inkjet Copier"/>
    <n v="4527.12"/>
    <n v="4"/>
    <n v="901.08"/>
  </r>
  <r>
    <d v="2014-01-31T00:00:00"/>
    <x v="0"/>
    <x v="0"/>
    <x v="4"/>
    <x v="9"/>
    <x v="1"/>
    <x v="7"/>
    <s v="Color Set"/>
    <n v="1920.68"/>
    <n v="4"/>
    <n v="167.28"/>
  </r>
  <r>
    <d v="2014-01-31T00:00:00"/>
    <x v="0"/>
    <x v="0"/>
    <x v="2"/>
    <x v="9"/>
    <x v="0"/>
    <x v="10"/>
    <s v="Metal Bookcase"/>
    <n v="3209.05"/>
    <n v="2"/>
    <n v="832.31"/>
  </r>
  <r>
    <d v="2014-02-01T00:00:00"/>
    <x v="0"/>
    <x v="1"/>
    <x v="7"/>
    <x v="8"/>
    <x v="1"/>
    <x v="11"/>
    <s v="Storage Box"/>
    <n v="1152.8800000000001"/>
    <n v="3"/>
    <n v="64.5"/>
  </r>
  <r>
    <d v="2014-02-01T00:00:00"/>
    <x v="0"/>
    <x v="1"/>
    <x v="6"/>
    <x v="1"/>
    <x v="2"/>
    <x v="3"/>
    <s v="Smartphone"/>
    <n v="3774.1"/>
    <n v="5"/>
    <n v="992.43"/>
  </r>
  <r>
    <d v="2014-02-01T00:00:00"/>
    <x v="0"/>
    <x v="1"/>
    <x v="7"/>
    <x v="0"/>
    <x v="0"/>
    <x v="0"/>
    <s v="Desk Lamp"/>
    <n v="4333.05"/>
    <n v="10"/>
    <n v="1222.8399999999999"/>
  </r>
  <r>
    <d v="2014-02-03T00:00:00"/>
    <x v="0"/>
    <x v="1"/>
    <x v="0"/>
    <x v="4"/>
    <x v="0"/>
    <x v="0"/>
    <s v="Wall Decor"/>
    <n v="3781.24"/>
    <n v="8"/>
    <n v="1027.44"/>
  </r>
  <r>
    <d v="2014-02-03T00:00:00"/>
    <x v="0"/>
    <x v="1"/>
    <x v="4"/>
    <x v="3"/>
    <x v="0"/>
    <x v="0"/>
    <s v="Wall Decor"/>
    <n v="2113.52"/>
    <n v="3"/>
    <n v="265.86"/>
  </r>
  <r>
    <d v="2014-02-06T00:00:00"/>
    <x v="0"/>
    <x v="1"/>
    <x v="11"/>
    <x v="9"/>
    <x v="1"/>
    <x v="9"/>
    <s v="Ring Binder"/>
    <n v="1216.6300000000001"/>
    <n v="2"/>
    <n v="358.9"/>
  </r>
  <r>
    <d v="2014-02-06T00:00:00"/>
    <x v="0"/>
    <x v="1"/>
    <x v="5"/>
    <x v="3"/>
    <x v="0"/>
    <x v="0"/>
    <s v="Wall Decor"/>
    <n v="2046.9"/>
    <n v="5"/>
    <n v="3.25"/>
  </r>
  <r>
    <d v="2014-02-07T00:00:00"/>
    <x v="0"/>
    <x v="1"/>
    <x v="3"/>
    <x v="8"/>
    <x v="1"/>
    <x v="9"/>
    <s v="Ring Binder"/>
    <n v="4551.04"/>
    <n v="1"/>
    <n v="514.96"/>
  </r>
  <r>
    <d v="2014-02-07T00:00:00"/>
    <x v="0"/>
    <x v="1"/>
    <x v="10"/>
    <x v="1"/>
    <x v="2"/>
    <x v="3"/>
    <s v="Smartphone"/>
    <n v="2847.93"/>
    <n v="5"/>
    <n v="119.96"/>
  </r>
  <r>
    <d v="2014-02-07T00:00:00"/>
    <x v="0"/>
    <x v="1"/>
    <x v="3"/>
    <x v="4"/>
    <x v="2"/>
    <x v="6"/>
    <s v="Laser Copier"/>
    <n v="3056.16"/>
    <n v="6"/>
    <n v="447.02"/>
  </r>
  <r>
    <d v="2014-02-08T00:00:00"/>
    <x v="0"/>
    <x v="1"/>
    <x v="2"/>
    <x v="2"/>
    <x v="0"/>
    <x v="10"/>
    <s v="Metal Bookcase"/>
    <n v="4923.18"/>
    <n v="8"/>
    <n v="557.16999999999996"/>
  </r>
  <r>
    <d v="2014-02-08T00:00:00"/>
    <x v="0"/>
    <x v="1"/>
    <x v="7"/>
    <x v="1"/>
    <x v="0"/>
    <x v="10"/>
    <s v="Wooden Bookcase"/>
    <n v="2938.84"/>
    <n v="5"/>
    <n v="43.86"/>
  </r>
  <r>
    <d v="2014-02-08T00:00:00"/>
    <x v="0"/>
    <x v="1"/>
    <x v="2"/>
    <x v="5"/>
    <x v="0"/>
    <x v="2"/>
    <s v="Conference Table"/>
    <n v="731.57"/>
    <n v="7"/>
    <n v="173.29"/>
  </r>
  <r>
    <d v="2014-02-08T00:00:00"/>
    <x v="0"/>
    <x v="1"/>
    <x v="4"/>
    <x v="1"/>
    <x v="0"/>
    <x v="4"/>
    <s v="Ergonomic Chair"/>
    <n v="1536.63"/>
    <n v="6"/>
    <n v="331.33"/>
  </r>
  <r>
    <d v="2014-02-10T00:00:00"/>
    <x v="0"/>
    <x v="1"/>
    <x v="2"/>
    <x v="7"/>
    <x v="2"/>
    <x v="3"/>
    <s v="Smartphone"/>
    <n v="4269.83"/>
    <n v="1"/>
    <n v="237.3"/>
  </r>
  <r>
    <d v="2014-02-10T00:00:00"/>
    <x v="0"/>
    <x v="1"/>
    <x v="1"/>
    <x v="8"/>
    <x v="1"/>
    <x v="7"/>
    <s v="Color Set"/>
    <n v="1412.61"/>
    <n v="10"/>
    <n v="365.26"/>
  </r>
  <r>
    <d v="2014-02-11T00:00:00"/>
    <x v="0"/>
    <x v="1"/>
    <x v="2"/>
    <x v="6"/>
    <x v="2"/>
    <x v="5"/>
    <s v="Keyboard"/>
    <n v="3518.72"/>
    <n v="6"/>
    <n v="580.53"/>
  </r>
  <r>
    <d v="2014-02-11T00:00:00"/>
    <x v="0"/>
    <x v="1"/>
    <x v="7"/>
    <x v="8"/>
    <x v="2"/>
    <x v="3"/>
    <s v="Smartphone"/>
    <n v="3532.8"/>
    <n v="5"/>
    <n v="31.13"/>
  </r>
  <r>
    <d v="2014-02-11T00:00:00"/>
    <x v="0"/>
    <x v="1"/>
    <x v="0"/>
    <x v="5"/>
    <x v="0"/>
    <x v="0"/>
    <s v="Desk Lamp"/>
    <n v="2676.8"/>
    <n v="6"/>
    <n v="667.16"/>
  </r>
  <r>
    <d v="2014-02-11T00:00:00"/>
    <x v="0"/>
    <x v="1"/>
    <x v="9"/>
    <x v="4"/>
    <x v="2"/>
    <x v="6"/>
    <s v="Laser Copier"/>
    <n v="4878.8"/>
    <n v="2"/>
    <n v="175.41"/>
  </r>
  <r>
    <d v="2014-02-11T00:00:00"/>
    <x v="0"/>
    <x v="1"/>
    <x v="7"/>
    <x v="1"/>
    <x v="0"/>
    <x v="10"/>
    <s v="Wooden Bookcase"/>
    <n v="4953.01"/>
    <n v="3"/>
    <n v="46.51"/>
  </r>
  <r>
    <d v="2014-02-12T00:00:00"/>
    <x v="0"/>
    <x v="1"/>
    <x v="8"/>
    <x v="9"/>
    <x v="2"/>
    <x v="3"/>
    <s v="Smartphone"/>
    <n v="750.03"/>
    <n v="5"/>
    <n v="133.18"/>
  </r>
  <r>
    <d v="2014-02-13T00:00:00"/>
    <x v="0"/>
    <x v="1"/>
    <x v="6"/>
    <x v="8"/>
    <x v="2"/>
    <x v="6"/>
    <s v="Laser Copier"/>
    <n v="4644.17"/>
    <n v="9"/>
    <n v="1164.68"/>
  </r>
  <r>
    <d v="2014-02-13T00:00:00"/>
    <x v="0"/>
    <x v="1"/>
    <x v="1"/>
    <x v="9"/>
    <x v="1"/>
    <x v="1"/>
    <s v="Air Cleaner"/>
    <n v="1530.47"/>
    <n v="3"/>
    <n v="441.94"/>
  </r>
  <r>
    <d v="2014-02-13T00:00:00"/>
    <x v="0"/>
    <x v="1"/>
    <x v="9"/>
    <x v="3"/>
    <x v="0"/>
    <x v="4"/>
    <s v="Ergonomic Chair"/>
    <n v="581.97"/>
    <n v="8"/>
    <n v="150.47"/>
  </r>
  <r>
    <d v="2014-02-14T00:00:00"/>
    <x v="0"/>
    <x v="1"/>
    <x v="5"/>
    <x v="1"/>
    <x v="1"/>
    <x v="9"/>
    <s v="Ring Binder"/>
    <n v="321.43"/>
    <n v="3"/>
    <n v="11.97"/>
  </r>
  <r>
    <d v="2014-02-15T00:00:00"/>
    <x v="0"/>
    <x v="1"/>
    <x v="5"/>
    <x v="4"/>
    <x v="1"/>
    <x v="8"/>
    <s v="A4 Paper Pack"/>
    <n v="3177.87"/>
    <n v="7"/>
    <n v="547.36"/>
  </r>
  <r>
    <d v="2014-02-15T00:00:00"/>
    <x v="0"/>
    <x v="1"/>
    <x v="6"/>
    <x v="0"/>
    <x v="1"/>
    <x v="11"/>
    <s v="Storage Box"/>
    <n v="1218.24"/>
    <n v="3"/>
    <n v="181.39"/>
  </r>
  <r>
    <d v="2014-02-16T00:00:00"/>
    <x v="0"/>
    <x v="1"/>
    <x v="10"/>
    <x v="3"/>
    <x v="1"/>
    <x v="8"/>
    <s v="Printer Paper"/>
    <n v="3777.82"/>
    <n v="7"/>
    <n v="1011.11"/>
  </r>
  <r>
    <d v="2014-02-17T00:00:00"/>
    <x v="0"/>
    <x v="1"/>
    <x v="2"/>
    <x v="6"/>
    <x v="1"/>
    <x v="11"/>
    <s v="Drawer Unit"/>
    <n v="112.67"/>
    <n v="9"/>
    <n v="31.37"/>
  </r>
  <r>
    <d v="2014-02-17T00:00:00"/>
    <x v="0"/>
    <x v="1"/>
    <x v="9"/>
    <x v="6"/>
    <x v="1"/>
    <x v="1"/>
    <s v="Air Cleaner"/>
    <n v="4452.3599999999997"/>
    <n v="1"/>
    <n v="275.02999999999997"/>
  </r>
  <r>
    <d v="2014-02-18T00:00:00"/>
    <x v="0"/>
    <x v="1"/>
    <x v="11"/>
    <x v="1"/>
    <x v="0"/>
    <x v="10"/>
    <s v="Wooden Bookcase"/>
    <n v="2050.64"/>
    <n v="4"/>
    <n v="101.47"/>
  </r>
  <r>
    <d v="2014-02-18T00:00:00"/>
    <x v="0"/>
    <x v="1"/>
    <x v="11"/>
    <x v="3"/>
    <x v="2"/>
    <x v="3"/>
    <s v="IP Phone"/>
    <n v="4980.4799999999996"/>
    <n v="10"/>
    <n v="1417.21"/>
  </r>
  <r>
    <d v="2014-02-19T00:00:00"/>
    <x v="0"/>
    <x v="1"/>
    <x v="9"/>
    <x v="9"/>
    <x v="1"/>
    <x v="8"/>
    <s v="A4 Paper Pack"/>
    <n v="3890.78"/>
    <n v="2"/>
    <n v="1073.49"/>
  </r>
  <r>
    <d v="2014-02-22T00:00:00"/>
    <x v="0"/>
    <x v="1"/>
    <x v="8"/>
    <x v="5"/>
    <x v="2"/>
    <x v="5"/>
    <s v="Mouse"/>
    <n v="2924.05"/>
    <n v="2"/>
    <n v="77.5"/>
  </r>
  <r>
    <d v="2014-02-22T00:00:00"/>
    <x v="0"/>
    <x v="1"/>
    <x v="3"/>
    <x v="5"/>
    <x v="0"/>
    <x v="10"/>
    <s v="Wooden Bookcase"/>
    <n v="268.27"/>
    <n v="6"/>
    <n v="59.66"/>
  </r>
  <r>
    <d v="2014-02-22T00:00:00"/>
    <x v="0"/>
    <x v="1"/>
    <x v="9"/>
    <x v="0"/>
    <x v="0"/>
    <x v="2"/>
    <s v="Conference Table"/>
    <n v="4608.79"/>
    <n v="8"/>
    <n v="225.98"/>
  </r>
  <r>
    <d v="2014-02-23T00:00:00"/>
    <x v="0"/>
    <x v="1"/>
    <x v="0"/>
    <x v="5"/>
    <x v="1"/>
    <x v="7"/>
    <s v="Sketch Kit"/>
    <n v="3979.9"/>
    <n v="9"/>
    <n v="1123.28"/>
  </r>
  <r>
    <d v="2014-02-24T00:00:00"/>
    <x v="0"/>
    <x v="1"/>
    <x v="6"/>
    <x v="8"/>
    <x v="1"/>
    <x v="1"/>
    <s v="Air Cleaner"/>
    <n v="1214.1300000000001"/>
    <n v="2"/>
    <n v="51.08"/>
  </r>
  <r>
    <d v="2014-02-24T00:00:00"/>
    <x v="0"/>
    <x v="1"/>
    <x v="9"/>
    <x v="1"/>
    <x v="1"/>
    <x v="7"/>
    <s v="Color Set"/>
    <n v="464.3"/>
    <n v="4"/>
    <n v="98.08"/>
  </r>
  <r>
    <d v="2014-02-25T00:00:00"/>
    <x v="0"/>
    <x v="1"/>
    <x v="1"/>
    <x v="4"/>
    <x v="0"/>
    <x v="0"/>
    <s v="Wall Decor"/>
    <n v="1941.78"/>
    <n v="8"/>
    <n v="572.66999999999996"/>
  </r>
  <r>
    <d v="2014-02-26T00:00:00"/>
    <x v="0"/>
    <x v="1"/>
    <x v="2"/>
    <x v="9"/>
    <x v="2"/>
    <x v="6"/>
    <s v="Inkjet Copier"/>
    <n v="4731.5200000000004"/>
    <n v="3"/>
    <n v="1340.17"/>
  </r>
  <r>
    <d v="2014-02-26T00:00:00"/>
    <x v="0"/>
    <x v="1"/>
    <x v="0"/>
    <x v="8"/>
    <x v="2"/>
    <x v="3"/>
    <s v="Smartphone"/>
    <n v="3366.22"/>
    <n v="9"/>
    <n v="673.27"/>
  </r>
  <r>
    <d v="2014-02-27T00:00:00"/>
    <x v="0"/>
    <x v="1"/>
    <x v="7"/>
    <x v="2"/>
    <x v="2"/>
    <x v="3"/>
    <s v="IP Phone"/>
    <n v="2166.79"/>
    <n v="4"/>
    <n v="233.84"/>
  </r>
  <r>
    <d v="2014-02-27T00:00:00"/>
    <x v="0"/>
    <x v="1"/>
    <x v="6"/>
    <x v="7"/>
    <x v="0"/>
    <x v="2"/>
    <s v="Study Table"/>
    <n v="1554.98"/>
    <n v="9"/>
    <n v="313.70999999999998"/>
  </r>
  <r>
    <d v="2014-02-27T00:00:00"/>
    <x v="0"/>
    <x v="1"/>
    <x v="8"/>
    <x v="9"/>
    <x v="2"/>
    <x v="6"/>
    <s v="Laser Copier"/>
    <n v="4831.71"/>
    <n v="7"/>
    <n v="178.32"/>
  </r>
  <r>
    <d v="2014-02-28T00:00:00"/>
    <x v="0"/>
    <x v="1"/>
    <x v="4"/>
    <x v="9"/>
    <x v="2"/>
    <x v="5"/>
    <s v="USB Drive"/>
    <n v="1934.66"/>
    <n v="9"/>
    <n v="138.69999999999999"/>
  </r>
  <r>
    <d v="2014-02-28T00:00:00"/>
    <x v="0"/>
    <x v="1"/>
    <x v="2"/>
    <x v="7"/>
    <x v="2"/>
    <x v="3"/>
    <s v="Smartphone"/>
    <n v="1189.74"/>
    <n v="4"/>
    <n v="309.49"/>
  </r>
  <r>
    <d v="2014-02-28T00:00:00"/>
    <x v="0"/>
    <x v="1"/>
    <x v="4"/>
    <x v="8"/>
    <x v="0"/>
    <x v="4"/>
    <s v="Executive Chair"/>
    <n v="4356.58"/>
    <n v="7"/>
    <n v="1015.26"/>
  </r>
  <r>
    <d v="2014-03-01T00:00:00"/>
    <x v="0"/>
    <x v="2"/>
    <x v="8"/>
    <x v="7"/>
    <x v="1"/>
    <x v="8"/>
    <s v="A4 Paper Pack"/>
    <n v="137.66999999999999"/>
    <n v="8"/>
    <n v="32.65"/>
  </r>
  <r>
    <d v="2014-03-03T00:00:00"/>
    <x v="0"/>
    <x v="2"/>
    <x v="2"/>
    <x v="6"/>
    <x v="1"/>
    <x v="1"/>
    <s v="Heater"/>
    <n v="2234.0100000000002"/>
    <n v="8"/>
    <n v="583.41"/>
  </r>
  <r>
    <d v="2014-03-04T00:00:00"/>
    <x v="0"/>
    <x v="2"/>
    <x v="3"/>
    <x v="7"/>
    <x v="1"/>
    <x v="11"/>
    <s v="Storage Box"/>
    <n v="3517.26"/>
    <n v="9"/>
    <n v="297.66000000000003"/>
  </r>
  <r>
    <d v="2014-03-04T00:00:00"/>
    <x v="0"/>
    <x v="2"/>
    <x v="2"/>
    <x v="6"/>
    <x v="1"/>
    <x v="1"/>
    <s v="Air Cleaner"/>
    <n v="398.55"/>
    <n v="2"/>
    <n v="40.11"/>
  </r>
  <r>
    <d v="2014-03-04T00:00:00"/>
    <x v="0"/>
    <x v="2"/>
    <x v="8"/>
    <x v="9"/>
    <x v="1"/>
    <x v="7"/>
    <s v="Color Set"/>
    <n v="1179.0899999999999"/>
    <n v="1"/>
    <n v="47.46"/>
  </r>
  <r>
    <d v="2014-03-05T00:00:00"/>
    <x v="0"/>
    <x v="2"/>
    <x v="4"/>
    <x v="5"/>
    <x v="0"/>
    <x v="10"/>
    <s v="Metal Bookcase"/>
    <n v="425.12"/>
    <n v="3"/>
    <n v="8.57"/>
  </r>
  <r>
    <d v="2014-03-05T00:00:00"/>
    <x v="0"/>
    <x v="2"/>
    <x v="10"/>
    <x v="9"/>
    <x v="0"/>
    <x v="2"/>
    <s v="Study Table"/>
    <n v="4805.46"/>
    <n v="10"/>
    <n v="1294.1600000000001"/>
  </r>
  <r>
    <d v="2014-03-06T00:00:00"/>
    <x v="0"/>
    <x v="2"/>
    <x v="1"/>
    <x v="6"/>
    <x v="0"/>
    <x v="0"/>
    <s v="Desk Lamp"/>
    <n v="3803.67"/>
    <n v="10"/>
    <n v="255.36"/>
  </r>
  <r>
    <d v="2014-03-06T00:00:00"/>
    <x v="0"/>
    <x v="2"/>
    <x v="0"/>
    <x v="3"/>
    <x v="2"/>
    <x v="3"/>
    <s v="IP Phone"/>
    <n v="4853.8599999999997"/>
    <n v="5"/>
    <n v="1364.74"/>
  </r>
  <r>
    <d v="2014-03-07T00:00:00"/>
    <x v="0"/>
    <x v="2"/>
    <x v="11"/>
    <x v="0"/>
    <x v="2"/>
    <x v="6"/>
    <s v="Laser Copier"/>
    <n v="2422.1799999999998"/>
    <n v="2"/>
    <n v="680.87"/>
  </r>
  <r>
    <d v="2014-03-07T00:00:00"/>
    <x v="0"/>
    <x v="2"/>
    <x v="0"/>
    <x v="1"/>
    <x v="1"/>
    <x v="11"/>
    <s v="Storage Box"/>
    <n v="3091.42"/>
    <n v="7"/>
    <n v="660.21"/>
  </r>
  <r>
    <d v="2014-03-07T00:00:00"/>
    <x v="0"/>
    <x v="2"/>
    <x v="6"/>
    <x v="0"/>
    <x v="1"/>
    <x v="1"/>
    <s v="Air Cleaner"/>
    <n v="4829.9399999999996"/>
    <n v="7"/>
    <n v="169.04"/>
  </r>
  <r>
    <d v="2014-03-07T00:00:00"/>
    <x v="0"/>
    <x v="2"/>
    <x v="0"/>
    <x v="8"/>
    <x v="1"/>
    <x v="11"/>
    <s v="Storage Box"/>
    <n v="1411.39"/>
    <n v="5"/>
    <n v="145.49"/>
  </r>
  <r>
    <d v="2014-03-08T00:00:00"/>
    <x v="0"/>
    <x v="2"/>
    <x v="9"/>
    <x v="2"/>
    <x v="2"/>
    <x v="6"/>
    <s v="Laser Copier"/>
    <n v="2191.2399999999998"/>
    <n v="5"/>
    <n v="471.63"/>
  </r>
  <r>
    <d v="2014-03-09T00:00:00"/>
    <x v="0"/>
    <x v="2"/>
    <x v="8"/>
    <x v="9"/>
    <x v="2"/>
    <x v="3"/>
    <s v="Smartphone"/>
    <n v="2829.03"/>
    <n v="4"/>
    <n v="712.85"/>
  </r>
  <r>
    <d v="2014-03-10T00:00:00"/>
    <x v="0"/>
    <x v="2"/>
    <x v="0"/>
    <x v="6"/>
    <x v="0"/>
    <x v="10"/>
    <s v="Metal Bookcase"/>
    <n v="2492.11"/>
    <n v="5"/>
    <n v="255.86"/>
  </r>
  <r>
    <d v="2014-03-10T00:00:00"/>
    <x v="0"/>
    <x v="2"/>
    <x v="9"/>
    <x v="7"/>
    <x v="2"/>
    <x v="5"/>
    <s v="Keyboard"/>
    <n v="1121.68"/>
    <n v="5"/>
    <n v="205.11"/>
  </r>
  <r>
    <d v="2014-03-11T00:00:00"/>
    <x v="0"/>
    <x v="2"/>
    <x v="11"/>
    <x v="1"/>
    <x v="0"/>
    <x v="4"/>
    <s v="Ergonomic Chair"/>
    <n v="2997.11"/>
    <n v="6"/>
    <n v="361.22"/>
  </r>
  <r>
    <d v="2014-03-11T00:00:00"/>
    <x v="0"/>
    <x v="2"/>
    <x v="8"/>
    <x v="6"/>
    <x v="1"/>
    <x v="11"/>
    <s v="Drawer Unit"/>
    <n v="1543.34"/>
    <n v="3"/>
    <n v="184.17"/>
  </r>
  <r>
    <d v="2014-03-12T00:00:00"/>
    <x v="0"/>
    <x v="2"/>
    <x v="1"/>
    <x v="2"/>
    <x v="0"/>
    <x v="10"/>
    <s v="Wooden Bookcase"/>
    <n v="548"/>
    <n v="1"/>
    <n v="119.11"/>
  </r>
  <r>
    <d v="2014-03-12T00:00:00"/>
    <x v="0"/>
    <x v="2"/>
    <x v="0"/>
    <x v="2"/>
    <x v="0"/>
    <x v="10"/>
    <s v="Metal Bookcase"/>
    <n v="2070.2800000000002"/>
    <n v="2"/>
    <n v="504.16"/>
  </r>
  <r>
    <d v="2014-03-12T00:00:00"/>
    <x v="0"/>
    <x v="2"/>
    <x v="4"/>
    <x v="8"/>
    <x v="2"/>
    <x v="6"/>
    <s v="Laser Copier"/>
    <n v="1331.61"/>
    <n v="9"/>
    <n v="203.23"/>
  </r>
  <r>
    <d v="2014-03-13T00:00:00"/>
    <x v="0"/>
    <x v="2"/>
    <x v="11"/>
    <x v="8"/>
    <x v="2"/>
    <x v="6"/>
    <s v="Laser Copier"/>
    <n v="4994.7700000000004"/>
    <n v="3"/>
    <n v="890.99"/>
  </r>
  <r>
    <d v="2014-03-13T00:00:00"/>
    <x v="0"/>
    <x v="2"/>
    <x v="2"/>
    <x v="3"/>
    <x v="1"/>
    <x v="8"/>
    <s v="A4 Paper Pack"/>
    <n v="3930.03"/>
    <n v="6"/>
    <n v="244.14"/>
  </r>
  <r>
    <d v="2014-03-13T00:00:00"/>
    <x v="0"/>
    <x v="2"/>
    <x v="6"/>
    <x v="5"/>
    <x v="2"/>
    <x v="5"/>
    <s v="USB Drive"/>
    <n v="3391.23"/>
    <n v="1"/>
    <n v="753.85"/>
  </r>
  <r>
    <d v="2014-03-14T00:00:00"/>
    <x v="0"/>
    <x v="2"/>
    <x v="6"/>
    <x v="7"/>
    <x v="0"/>
    <x v="0"/>
    <s v="Wall Decor"/>
    <n v="620.08000000000004"/>
    <n v="9"/>
    <n v="96.33"/>
  </r>
  <r>
    <d v="2014-03-15T00:00:00"/>
    <x v="0"/>
    <x v="2"/>
    <x v="11"/>
    <x v="7"/>
    <x v="1"/>
    <x v="7"/>
    <s v="Sketch Kit"/>
    <n v="4803.67"/>
    <n v="3"/>
    <n v="946.15"/>
  </r>
  <r>
    <d v="2014-03-15T00:00:00"/>
    <x v="0"/>
    <x v="2"/>
    <x v="9"/>
    <x v="7"/>
    <x v="2"/>
    <x v="3"/>
    <s v="Smartphone"/>
    <n v="3164.4"/>
    <n v="9"/>
    <n v="262.33"/>
  </r>
  <r>
    <d v="2014-03-16T00:00:00"/>
    <x v="0"/>
    <x v="2"/>
    <x v="2"/>
    <x v="8"/>
    <x v="1"/>
    <x v="1"/>
    <s v="Heater"/>
    <n v="3506.05"/>
    <n v="7"/>
    <n v="428.04"/>
  </r>
  <r>
    <d v="2014-03-16T00:00:00"/>
    <x v="0"/>
    <x v="2"/>
    <x v="5"/>
    <x v="3"/>
    <x v="1"/>
    <x v="8"/>
    <s v="A4 Paper Pack"/>
    <n v="4168.41"/>
    <n v="8"/>
    <n v="251.41"/>
  </r>
  <r>
    <d v="2014-03-16T00:00:00"/>
    <x v="0"/>
    <x v="2"/>
    <x v="4"/>
    <x v="8"/>
    <x v="2"/>
    <x v="6"/>
    <s v="Laser Copier"/>
    <n v="4284.93"/>
    <n v="1"/>
    <n v="395.23"/>
  </r>
  <r>
    <d v="2014-03-17T00:00:00"/>
    <x v="0"/>
    <x v="2"/>
    <x v="8"/>
    <x v="5"/>
    <x v="0"/>
    <x v="4"/>
    <s v="Executive Chair"/>
    <n v="1997.17"/>
    <n v="1"/>
    <n v="81.99"/>
  </r>
  <r>
    <d v="2014-03-17T00:00:00"/>
    <x v="0"/>
    <x v="2"/>
    <x v="10"/>
    <x v="3"/>
    <x v="0"/>
    <x v="2"/>
    <s v="Conference Table"/>
    <n v="624.37"/>
    <n v="3"/>
    <n v="67.17"/>
  </r>
  <r>
    <d v="2014-03-20T00:00:00"/>
    <x v="0"/>
    <x v="2"/>
    <x v="6"/>
    <x v="7"/>
    <x v="0"/>
    <x v="10"/>
    <s v="Metal Bookcase"/>
    <n v="3337.34"/>
    <n v="9"/>
    <n v="429.02"/>
  </r>
  <r>
    <d v="2014-03-20T00:00:00"/>
    <x v="0"/>
    <x v="2"/>
    <x v="3"/>
    <x v="5"/>
    <x v="0"/>
    <x v="0"/>
    <s v="Wall Decor"/>
    <n v="2913.84"/>
    <n v="4"/>
    <n v="552.65"/>
  </r>
  <r>
    <d v="2014-03-22T00:00:00"/>
    <x v="0"/>
    <x v="2"/>
    <x v="11"/>
    <x v="3"/>
    <x v="0"/>
    <x v="10"/>
    <s v="Metal Bookcase"/>
    <n v="3581.94"/>
    <n v="8"/>
    <n v="951.24"/>
  </r>
  <r>
    <d v="2014-03-22T00:00:00"/>
    <x v="0"/>
    <x v="2"/>
    <x v="4"/>
    <x v="0"/>
    <x v="0"/>
    <x v="2"/>
    <s v="Conference Table"/>
    <n v="2782.17"/>
    <n v="2"/>
    <n v="429.22"/>
  </r>
  <r>
    <d v="2014-03-24T00:00:00"/>
    <x v="0"/>
    <x v="2"/>
    <x v="3"/>
    <x v="8"/>
    <x v="0"/>
    <x v="4"/>
    <s v="Office Chair"/>
    <n v="4045.29"/>
    <n v="6"/>
    <n v="788.89"/>
  </r>
  <r>
    <d v="2014-03-25T00:00:00"/>
    <x v="0"/>
    <x v="2"/>
    <x v="6"/>
    <x v="4"/>
    <x v="0"/>
    <x v="0"/>
    <s v="Wall Decor"/>
    <n v="1087.22"/>
    <n v="6"/>
    <n v="281.87"/>
  </r>
  <r>
    <d v="2014-03-25T00:00:00"/>
    <x v="0"/>
    <x v="2"/>
    <x v="2"/>
    <x v="7"/>
    <x v="2"/>
    <x v="3"/>
    <s v="Smartphone"/>
    <n v="4146.46"/>
    <n v="5"/>
    <n v="377.91"/>
  </r>
  <r>
    <d v="2014-03-26T00:00:00"/>
    <x v="0"/>
    <x v="2"/>
    <x v="2"/>
    <x v="9"/>
    <x v="0"/>
    <x v="4"/>
    <s v="Ergonomic Chair"/>
    <n v="2747.28"/>
    <n v="8"/>
    <n v="198.77"/>
  </r>
  <r>
    <d v="2014-03-26T00:00:00"/>
    <x v="0"/>
    <x v="2"/>
    <x v="11"/>
    <x v="3"/>
    <x v="1"/>
    <x v="8"/>
    <s v="Printer Paper"/>
    <n v="3613.92"/>
    <n v="1"/>
    <n v="491.3"/>
  </r>
  <r>
    <d v="2014-03-27T00:00:00"/>
    <x v="0"/>
    <x v="2"/>
    <x v="8"/>
    <x v="1"/>
    <x v="2"/>
    <x v="5"/>
    <s v="Mouse"/>
    <n v="2242.0700000000002"/>
    <n v="5"/>
    <n v="188.26"/>
  </r>
  <r>
    <d v="2014-03-29T00:00:00"/>
    <x v="0"/>
    <x v="2"/>
    <x v="10"/>
    <x v="7"/>
    <x v="2"/>
    <x v="3"/>
    <s v="IP Phone"/>
    <n v="2211.75"/>
    <n v="10"/>
    <n v="215.12"/>
  </r>
  <r>
    <d v="2014-03-30T00:00:00"/>
    <x v="0"/>
    <x v="2"/>
    <x v="9"/>
    <x v="8"/>
    <x v="2"/>
    <x v="5"/>
    <s v="USB Drive"/>
    <n v="1522.93"/>
    <n v="7"/>
    <n v="46.51"/>
  </r>
  <r>
    <d v="2014-03-30T00:00:00"/>
    <x v="0"/>
    <x v="2"/>
    <x v="0"/>
    <x v="8"/>
    <x v="2"/>
    <x v="6"/>
    <s v="Laser Copier"/>
    <n v="2742.05"/>
    <n v="7"/>
    <n v="305.29000000000002"/>
  </r>
  <r>
    <d v="2014-03-30T00:00:00"/>
    <x v="0"/>
    <x v="2"/>
    <x v="0"/>
    <x v="2"/>
    <x v="2"/>
    <x v="5"/>
    <s v="Mouse"/>
    <n v="1380.9"/>
    <n v="2"/>
    <n v="388.31"/>
  </r>
  <r>
    <d v="2014-03-31T00:00:00"/>
    <x v="0"/>
    <x v="2"/>
    <x v="2"/>
    <x v="9"/>
    <x v="1"/>
    <x v="8"/>
    <s v="Printer Paper"/>
    <n v="4410.88"/>
    <n v="8"/>
    <n v="414.3"/>
  </r>
  <r>
    <d v="2014-03-31T00:00:00"/>
    <x v="0"/>
    <x v="2"/>
    <x v="0"/>
    <x v="6"/>
    <x v="0"/>
    <x v="4"/>
    <s v="Executive Chair"/>
    <n v="2081.5700000000002"/>
    <n v="5"/>
    <n v="579.85"/>
  </r>
  <r>
    <d v="2014-04-01T00:00:00"/>
    <x v="0"/>
    <x v="3"/>
    <x v="8"/>
    <x v="7"/>
    <x v="1"/>
    <x v="7"/>
    <s v="Sketch Kit"/>
    <n v="3603.41"/>
    <n v="4"/>
    <n v="248.22"/>
  </r>
  <r>
    <d v="2014-04-02T00:00:00"/>
    <x v="0"/>
    <x v="3"/>
    <x v="10"/>
    <x v="2"/>
    <x v="0"/>
    <x v="0"/>
    <s v="Wall Decor"/>
    <n v="3735.23"/>
    <n v="1"/>
    <n v="114.15"/>
  </r>
  <r>
    <d v="2014-04-03T00:00:00"/>
    <x v="0"/>
    <x v="3"/>
    <x v="1"/>
    <x v="8"/>
    <x v="1"/>
    <x v="9"/>
    <s v="Ring Binder"/>
    <n v="4361.33"/>
    <n v="5"/>
    <n v="1180.48"/>
  </r>
  <r>
    <d v="2014-04-03T00:00:00"/>
    <x v="0"/>
    <x v="3"/>
    <x v="9"/>
    <x v="8"/>
    <x v="1"/>
    <x v="1"/>
    <s v="Heater"/>
    <n v="3166.84"/>
    <n v="8"/>
    <n v="546.52"/>
  </r>
  <r>
    <d v="2014-04-03T00:00:00"/>
    <x v="0"/>
    <x v="3"/>
    <x v="5"/>
    <x v="3"/>
    <x v="0"/>
    <x v="10"/>
    <s v="Metal Bookcase"/>
    <n v="3507.33"/>
    <n v="8"/>
    <n v="699.68"/>
  </r>
  <r>
    <d v="2014-04-03T00:00:00"/>
    <x v="0"/>
    <x v="3"/>
    <x v="5"/>
    <x v="5"/>
    <x v="0"/>
    <x v="4"/>
    <s v="Executive Chair"/>
    <n v="4821.17"/>
    <n v="6"/>
    <n v="427.27"/>
  </r>
  <r>
    <d v="2014-04-03T00:00:00"/>
    <x v="0"/>
    <x v="3"/>
    <x v="11"/>
    <x v="7"/>
    <x v="1"/>
    <x v="1"/>
    <s v="Air Cleaner"/>
    <n v="1891.96"/>
    <n v="7"/>
    <n v="223.11"/>
  </r>
  <r>
    <d v="2014-04-06T00:00:00"/>
    <x v="0"/>
    <x v="3"/>
    <x v="11"/>
    <x v="5"/>
    <x v="2"/>
    <x v="6"/>
    <s v="Inkjet Copier"/>
    <n v="1221.1400000000001"/>
    <n v="7"/>
    <n v="338.28"/>
  </r>
  <r>
    <d v="2014-04-06T00:00:00"/>
    <x v="0"/>
    <x v="3"/>
    <x v="1"/>
    <x v="4"/>
    <x v="0"/>
    <x v="4"/>
    <s v="Executive Chair"/>
    <n v="2871.64"/>
    <n v="7"/>
    <n v="480.02"/>
  </r>
  <r>
    <d v="2014-04-08T00:00:00"/>
    <x v="0"/>
    <x v="3"/>
    <x v="2"/>
    <x v="4"/>
    <x v="2"/>
    <x v="6"/>
    <s v="Laser Copier"/>
    <n v="4581.05"/>
    <n v="6"/>
    <n v="856.64"/>
  </r>
  <r>
    <d v="2014-04-08T00:00:00"/>
    <x v="0"/>
    <x v="3"/>
    <x v="0"/>
    <x v="7"/>
    <x v="2"/>
    <x v="5"/>
    <s v="Mouse"/>
    <n v="4988.0600000000004"/>
    <n v="3"/>
    <n v="941.7"/>
  </r>
  <r>
    <d v="2014-04-09T00:00:00"/>
    <x v="0"/>
    <x v="3"/>
    <x v="9"/>
    <x v="5"/>
    <x v="2"/>
    <x v="6"/>
    <s v="Laser Copier"/>
    <n v="21.6"/>
    <n v="7"/>
    <n v="3.86"/>
  </r>
  <r>
    <d v="2014-04-09T00:00:00"/>
    <x v="0"/>
    <x v="3"/>
    <x v="5"/>
    <x v="5"/>
    <x v="2"/>
    <x v="6"/>
    <s v="Inkjet Copier"/>
    <n v="128.01"/>
    <n v="2"/>
    <n v="27.45"/>
  </r>
  <r>
    <d v="2014-04-10T00:00:00"/>
    <x v="0"/>
    <x v="3"/>
    <x v="1"/>
    <x v="2"/>
    <x v="1"/>
    <x v="1"/>
    <s v="Air Cleaner"/>
    <n v="259.54000000000002"/>
    <n v="8"/>
    <n v="4.0199999999999996"/>
  </r>
  <r>
    <d v="2014-04-10T00:00:00"/>
    <x v="0"/>
    <x v="3"/>
    <x v="6"/>
    <x v="8"/>
    <x v="1"/>
    <x v="7"/>
    <s v="Sketch Kit"/>
    <n v="2786.4"/>
    <n v="3"/>
    <n v="737.59"/>
  </r>
  <r>
    <d v="2014-04-10T00:00:00"/>
    <x v="0"/>
    <x v="3"/>
    <x v="10"/>
    <x v="6"/>
    <x v="0"/>
    <x v="4"/>
    <s v="Ergonomic Chair"/>
    <n v="1924.77"/>
    <n v="2"/>
    <n v="151.41999999999999"/>
  </r>
  <r>
    <d v="2014-04-10T00:00:00"/>
    <x v="0"/>
    <x v="3"/>
    <x v="5"/>
    <x v="2"/>
    <x v="0"/>
    <x v="0"/>
    <s v="Desk Lamp"/>
    <n v="2951.46"/>
    <n v="5"/>
    <n v="209.61"/>
  </r>
  <r>
    <d v="2014-04-11T00:00:00"/>
    <x v="0"/>
    <x v="3"/>
    <x v="9"/>
    <x v="4"/>
    <x v="1"/>
    <x v="1"/>
    <s v="Air Cleaner"/>
    <n v="3016.35"/>
    <n v="1"/>
    <n v="6.49"/>
  </r>
  <r>
    <d v="2014-04-11T00:00:00"/>
    <x v="0"/>
    <x v="3"/>
    <x v="10"/>
    <x v="3"/>
    <x v="0"/>
    <x v="2"/>
    <s v="Conference Table"/>
    <n v="418.09"/>
    <n v="9"/>
    <n v="75.7"/>
  </r>
  <r>
    <d v="2014-04-12T00:00:00"/>
    <x v="0"/>
    <x v="3"/>
    <x v="10"/>
    <x v="9"/>
    <x v="2"/>
    <x v="6"/>
    <s v="Laser Copier"/>
    <n v="856.39"/>
    <n v="2"/>
    <n v="212.14"/>
  </r>
  <r>
    <d v="2014-04-13T00:00:00"/>
    <x v="0"/>
    <x v="3"/>
    <x v="5"/>
    <x v="5"/>
    <x v="0"/>
    <x v="10"/>
    <s v="Metal Bookcase"/>
    <n v="3968.36"/>
    <n v="3"/>
    <n v="32.11"/>
  </r>
  <r>
    <d v="2014-04-14T00:00:00"/>
    <x v="0"/>
    <x v="3"/>
    <x v="2"/>
    <x v="2"/>
    <x v="1"/>
    <x v="7"/>
    <s v="Color Set"/>
    <n v="554.08000000000004"/>
    <n v="4"/>
    <n v="139.16"/>
  </r>
  <r>
    <d v="2014-04-14T00:00:00"/>
    <x v="0"/>
    <x v="3"/>
    <x v="1"/>
    <x v="6"/>
    <x v="0"/>
    <x v="4"/>
    <s v="Executive Chair"/>
    <n v="610.16999999999996"/>
    <n v="10"/>
    <n v="69.959999999999994"/>
  </r>
  <r>
    <d v="2014-04-16T00:00:00"/>
    <x v="0"/>
    <x v="3"/>
    <x v="3"/>
    <x v="9"/>
    <x v="0"/>
    <x v="0"/>
    <s v="Desk Lamp"/>
    <n v="2726.7"/>
    <n v="8"/>
    <n v="210.06"/>
  </r>
  <r>
    <d v="2014-04-16T00:00:00"/>
    <x v="0"/>
    <x v="3"/>
    <x v="4"/>
    <x v="3"/>
    <x v="1"/>
    <x v="11"/>
    <s v="Drawer Unit"/>
    <n v="3647.61"/>
    <n v="2"/>
    <n v="405.16"/>
  </r>
  <r>
    <d v="2014-04-17T00:00:00"/>
    <x v="0"/>
    <x v="3"/>
    <x v="7"/>
    <x v="9"/>
    <x v="1"/>
    <x v="8"/>
    <s v="Printer Paper"/>
    <n v="3240.18"/>
    <n v="6"/>
    <n v="652.79"/>
  </r>
  <r>
    <d v="2014-04-17T00:00:00"/>
    <x v="0"/>
    <x v="3"/>
    <x v="11"/>
    <x v="9"/>
    <x v="1"/>
    <x v="11"/>
    <s v="Storage Box"/>
    <n v="216.09"/>
    <n v="3"/>
    <n v="55.96"/>
  </r>
  <r>
    <d v="2014-04-17T00:00:00"/>
    <x v="0"/>
    <x v="3"/>
    <x v="5"/>
    <x v="8"/>
    <x v="2"/>
    <x v="3"/>
    <s v="IP Phone"/>
    <n v="280.32"/>
    <n v="8"/>
    <n v="72.3"/>
  </r>
  <r>
    <d v="2014-04-17T00:00:00"/>
    <x v="0"/>
    <x v="3"/>
    <x v="11"/>
    <x v="9"/>
    <x v="0"/>
    <x v="0"/>
    <s v="Wall Decor"/>
    <n v="4544.75"/>
    <n v="9"/>
    <n v="673.25"/>
  </r>
  <r>
    <d v="2014-04-18T00:00:00"/>
    <x v="0"/>
    <x v="3"/>
    <x v="9"/>
    <x v="7"/>
    <x v="1"/>
    <x v="9"/>
    <s v="Binder Pack"/>
    <n v="4288.08"/>
    <n v="2"/>
    <n v="1144.27"/>
  </r>
  <r>
    <d v="2014-04-18T00:00:00"/>
    <x v="0"/>
    <x v="3"/>
    <x v="4"/>
    <x v="7"/>
    <x v="0"/>
    <x v="0"/>
    <s v="Desk Lamp"/>
    <n v="2518.2399999999998"/>
    <n v="2"/>
    <n v="660.88"/>
  </r>
  <r>
    <d v="2014-04-18T00:00:00"/>
    <x v="0"/>
    <x v="3"/>
    <x v="10"/>
    <x v="9"/>
    <x v="1"/>
    <x v="8"/>
    <s v="Printer Paper"/>
    <n v="4555.21"/>
    <n v="9"/>
    <n v="1310.48"/>
  </r>
  <r>
    <d v="2014-04-18T00:00:00"/>
    <x v="0"/>
    <x v="3"/>
    <x v="9"/>
    <x v="9"/>
    <x v="2"/>
    <x v="5"/>
    <s v="USB Drive"/>
    <n v="408.92"/>
    <n v="5"/>
    <n v="59.29"/>
  </r>
  <r>
    <d v="2014-04-18T00:00:00"/>
    <x v="0"/>
    <x v="3"/>
    <x v="5"/>
    <x v="9"/>
    <x v="2"/>
    <x v="6"/>
    <s v="Laser Copier"/>
    <n v="4672.47"/>
    <n v="7"/>
    <n v="1176.1500000000001"/>
  </r>
  <r>
    <d v="2014-04-18T00:00:00"/>
    <x v="0"/>
    <x v="3"/>
    <x v="9"/>
    <x v="8"/>
    <x v="2"/>
    <x v="5"/>
    <s v="Keyboard"/>
    <n v="1981.71"/>
    <n v="6"/>
    <n v="558.29"/>
  </r>
  <r>
    <d v="2014-04-19T00:00:00"/>
    <x v="0"/>
    <x v="3"/>
    <x v="1"/>
    <x v="8"/>
    <x v="2"/>
    <x v="3"/>
    <s v="Smartphone"/>
    <n v="4705.93"/>
    <n v="5"/>
    <n v="244.97"/>
  </r>
  <r>
    <d v="2014-04-19T00:00:00"/>
    <x v="0"/>
    <x v="3"/>
    <x v="4"/>
    <x v="8"/>
    <x v="2"/>
    <x v="6"/>
    <s v="Laser Copier"/>
    <n v="149.21"/>
    <n v="1"/>
    <n v="33.159999999999997"/>
  </r>
  <r>
    <d v="2014-04-19T00:00:00"/>
    <x v="0"/>
    <x v="3"/>
    <x v="11"/>
    <x v="2"/>
    <x v="0"/>
    <x v="4"/>
    <s v="Ergonomic Chair"/>
    <n v="4400.7700000000004"/>
    <n v="6"/>
    <n v="791.07"/>
  </r>
  <r>
    <d v="2014-04-19T00:00:00"/>
    <x v="0"/>
    <x v="3"/>
    <x v="0"/>
    <x v="4"/>
    <x v="0"/>
    <x v="10"/>
    <s v="Metal Bookcase"/>
    <n v="1079.3800000000001"/>
    <n v="1"/>
    <n v="309.95"/>
  </r>
  <r>
    <d v="2014-04-19T00:00:00"/>
    <x v="0"/>
    <x v="3"/>
    <x v="5"/>
    <x v="7"/>
    <x v="0"/>
    <x v="4"/>
    <s v="Executive Chair"/>
    <n v="3696.31"/>
    <n v="1"/>
    <n v="505.57"/>
  </r>
  <r>
    <d v="2014-04-21T00:00:00"/>
    <x v="0"/>
    <x v="3"/>
    <x v="11"/>
    <x v="4"/>
    <x v="0"/>
    <x v="4"/>
    <s v="Executive Chair"/>
    <n v="2338.87"/>
    <n v="4"/>
    <n v="297.48"/>
  </r>
  <r>
    <d v="2014-04-21T00:00:00"/>
    <x v="0"/>
    <x v="3"/>
    <x v="10"/>
    <x v="8"/>
    <x v="0"/>
    <x v="0"/>
    <s v="Desk Lamp"/>
    <n v="423.55"/>
    <n v="10"/>
    <n v="112.09"/>
  </r>
  <r>
    <d v="2014-04-22T00:00:00"/>
    <x v="0"/>
    <x v="3"/>
    <x v="11"/>
    <x v="4"/>
    <x v="2"/>
    <x v="5"/>
    <s v="USB Drive"/>
    <n v="3769.17"/>
    <n v="4"/>
    <n v="711.41"/>
  </r>
  <r>
    <d v="2014-04-23T00:00:00"/>
    <x v="0"/>
    <x v="3"/>
    <x v="6"/>
    <x v="5"/>
    <x v="0"/>
    <x v="0"/>
    <s v="Wall Decor"/>
    <n v="1744.7"/>
    <n v="6"/>
    <n v="403.63"/>
  </r>
  <r>
    <d v="2014-04-24T00:00:00"/>
    <x v="0"/>
    <x v="3"/>
    <x v="8"/>
    <x v="5"/>
    <x v="2"/>
    <x v="5"/>
    <s v="USB Drive"/>
    <n v="4625.9399999999996"/>
    <n v="3"/>
    <n v="762.77"/>
  </r>
  <r>
    <d v="2014-04-25T00:00:00"/>
    <x v="0"/>
    <x v="3"/>
    <x v="5"/>
    <x v="7"/>
    <x v="0"/>
    <x v="2"/>
    <s v="Study Table"/>
    <n v="4837.78"/>
    <n v="5"/>
    <n v="901.67"/>
  </r>
  <r>
    <d v="2014-04-25T00:00:00"/>
    <x v="0"/>
    <x v="3"/>
    <x v="7"/>
    <x v="3"/>
    <x v="2"/>
    <x v="6"/>
    <s v="Laser Copier"/>
    <n v="3083.08"/>
    <n v="6"/>
    <n v="347.4"/>
  </r>
  <r>
    <d v="2014-04-26T00:00:00"/>
    <x v="0"/>
    <x v="3"/>
    <x v="1"/>
    <x v="1"/>
    <x v="2"/>
    <x v="5"/>
    <s v="Mouse"/>
    <n v="45.96"/>
    <n v="4"/>
    <n v="1.88"/>
  </r>
  <r>
    <d v="2014-04-26T00:00:00"/>
    <x v="0"/>
    <x v="3"/>
    <x v="11"/>
    <x v="1"/>
    <x v="1"/>
    <x v="1"/>
    <s v="Heater"/>
    <n v="2485.39"/>
    <n v="2"/>
    <n v="582.29"/>
  </r>
  <r>
    <d v="2014-04-26T00:00:00"/>
    <x v="0"/>
    <x v="3"/>
    <x v="5"/>
    <x v="0"/>
    <x v="0"/>
    <x v="0"/>
    <s v="Desk Lamp"/>
    <n v="1671.31"/>
    <n v="3"/>
    <n v="59.92"/>
  </r>
  <r>
    <d v="2014-04-27T00:00:00"/>
    <x v="0"/>
    <x v="3"/>
    <x v="3"/>
    <x v="9"/>
    <x v="0"/>
    <x v="0"/>
    <s v="Wall Decor"/>
    <n v="1995.11"/>
    <n v="3"/>
    <n v="225.03"/>
  </r>
  <r>
    <d v="2014-04-28T00:00:00"/>
    <x v="0"/>
    <x v="3"/>
    <x v="3"/>
    <x v="7"/>
    <x v="1"/>
    <x v="8"/>
    <s v="Printer Paper"/>
    <n v="3787.61"/>
    <n v="5"/>
    <n v="173.03"/>
  </r>
  <r>
    <d v="2014-04-28T00:00:00"/>
    <x v="0"/>
    <x v="3"/>
    <x v="6"/>
    <x v="2"/>
    <x v="2"/>
    <x v="6"/>
    <s v="Laser Copier"/>
    <n v="2102.4699999999998"/>
    <n v="1"/>
    <n v="425.93"/>
  </r>
  <r>
    <d v="2014-04-28T00:00:00"/>
    <x v="0"/>
    <x v="3"/>
    <x v="6"/>
    <x v="3"/>
    <x v="0"/>
    <x v="2"/>
    <s v="Study Table"/>
    <n v="2163.87"/>
    <n v="7"/>
    <n v="147.06"/>
  </r>
  <r>
    <d v="2014-04-28T00:00:00"/>
    <x v="0"/>
    <x v="3"/>
    <x v="5"/>
    <x v="0"/>
    <x v="0"/>
    <x v="4"/>
    <s v="Executive Chair"/>
    <n v="3673.71"/>
    <n v="3"/>
    <n v="98.94"/>
  </r>
  <r>
    <d v="2014-04-29T00:00:00"/>
    <x v="0"/>
    <x v="3"/>
    <x v="9"/>
    <x v="8"/>
    <x v="2"/>
    <x v="6"/>
    <s v="Laser Copier"/>
    <n v="873.83"/>
    <n v="2"/>
    <n v="221.13"/>
  </r>
  <r>
    <d v="2014-04-30T00:00:00"/>
    <x v="0"/>
    <x v="3"/>
    <x v="2"/>
    <x v="1"/>
    <x v="0"/>
    <x v="4"/>
    <s v="Executive Chair"/>
    <n v="3764.52"/>
    <n v="7"/>
    <n v="91.33"/>
  </r>
  <r>
    <d v="2014-04-30T00:00:00"/>
    <x v="0"/>
    <x v="3"/>
    <x v="6"/>
    <x v="9"/>
    <x v="2"/>
    <x v="5"/>
    <s v="USB Drive"/>
    <n v="2027.62"/>
    <n v="5"/>
    <n v="420"/>
  </r>
  <r>
    <d v="2014-04-30T00:00:00"/>
    <x v="0"/>
    <x v="3"/>
    <x v="9"/>
    <x v="2"/>
    <x v="0"/>
    <x v="2"/>
    <s v="Study Table"/>
    <n v="625.76"/>
    <n v="2"/>
    <n v="106.35"/>
  </r>
  <r>
    <d v="2014-05-01T00:00:00"/>
    <x v="0"/>
    <x v="4"/>
    <x v="5"/>
    <x v="1"/>
    <x v="2"/>
    <x v="6"/>
    <s v="Laser Copier"/>
    <n v="501.12"/>
    <n v="7"/>
    <n v="97.86"/>
  </r>
  <r>
    <d v="2014-05-01T00:00:00"/>
    <x v="0"/>
    <x v="4"/>
    <x v="5"/>
    <x v="7"/>
    <x v="1"/>
    <x v="8"/>
    <s v="Printer Paper"/>
    <n v="3567.6"/>
    <n v="2"/>
    <n v="108.41"/>
  </r>
  <r>
    <d v="2014-05-02T00:00:00"/>
    <x v="0"/>
    <x v="4"/>
    <x v="8"/>
    <x v="4"/>
    <x v="0"/>
    <x v="4"/>
    <s v="Office Chair"/>
    <n v="1215.67"/>
    <n v="8"/>
    <n v="278.95"/>
  </r>
  <r>
    <d v="2014-05-02T00:00:00"/>
    <x v="0"/>
    <x v="4"/>
    <x v="9"/>
    <x v="5"/>
    <x v="1"/>
    <x v="8"/>
    <s v="Printer Paper"/>
    <n v="220.8"/>
    <n v="10"/>
    <n v="33.68"/>
  </r>
  <r>
    <d v="2014-05-03T00:00:00"/>
    <x v="0"/>
    <x v="4"/>
    <x v="4"/>
    <x v="9"/>
    <x v="1"/>
    <x v="9"/>
    <s v="Ring Binder"/>
    <n v="3460.47"/>
    <n v="7"/>
    <n v="939.14"/>
  </r>
  <r>
    <d v="2014-05-03T00:00:00"/>
    <x v="0"/>
    <x v="4"/>
    <x v="2"/>
    <x v="9"/>
    <x v="1"/>
    <x v="9"/>
    <s v="Binder Pack"/>
    <n v="1279.6500000000001"/>
    <n v="7"/>
    <n v="363.63"/>
  </r>
  <r>
    <d v="2014-05-04T00:00:00"/>
    <x v="0"/>
    <x v="4"/>
    <x v="5"/>
    <x v="2"/>
    <x v="1"/>
    <x v="9"/>
    <s v="Binder Pack"/>
    <n v="2894.08"/>
    <n v="7"/>
    <n v="547.54999999999995"/>
  </r>
  <r>
    <d v="2014-05-04T00:00:00"/>
    <x v="0"/>
    <x v="4"/>
    <x v="8"/>
    <x v="1"/>
    <x v="2"/>
    <x v="6"/>
    <s v="Laser Copier"/>
    <n v="3828.3"/>
    <n v="7"/>
    <n v="1123.04"/>
  </r>
  <r>
    <d v="2014-05-04T00:00:00"/>
    <x v="0"/>
    <x v="4"/>
    <x v="9"/>
    <x v="0"/>
    <x v="1"/>
    <x v="11"/>
    <s v="Drawer Unit"/>
    <n v="1065.8"/>
    <n v="10"/>
    <n v="158.35"/>
  </r>
  <r>
    <d v="2014-05-05T00:00:00"/>
    <x v="0"/>
    <x v="4"/>
    <x v="6"/>
    <x v="2"/>
    <x v="2"/>
    <x v="6"/>
    <s v="Laser Copier"/>
    <n v="4593.03"/>
    <n v="6"/>
    <n v="548.01"/>
  </r>
  <r>
    <d v="2014-05-07T00:00:00"/>
    <x v="0"/>
    <x v="4"/>
    <x v="8"/>
    <x v="9"/>
    <x v="2"/>
    <x v="3"/>
    <s v="Smartphone"/>
    <n v="4612.28"/>
    <n v="4"/>
    <n v="193.87"/>
  </r>
  <r>
    <d v="2014-05-08T00:00:00"/>
    <x v="0"/>
    <x v="4"/>
    <x v="11"/>
    <x v="5"/>
    <x v="2"/>
    <x v="6"/>
    <s v="Laser Copier"/>
    <n v="4348.58"/>
    <n v="1"/>
    <n v="333.8"/>
  </r>
  <r>
    <d v="2014-05-08T00:00:00"/>
    <x v="0"/>
    <x v="4"/>
    <x v="9"/>
    <x v="5"/>
    <x v="2"/>
    <x v="6"/>
    <s v="Inkjet Copier"/>
    <n v="2011.72"/>
    <n v="3"/>
    <n v="284.52"/>
  </r>
  <r>
    <d v="2014-05-09T00:00:00"/>
    <x v="0"/>
    <x v="4"/>
    <x v="10"/>
    <x v="9"/>
    <x v="1"/>
    <x v="8"/>
    <s v="Printer Paper"/>
    <n v="1568.86"/>
    <n v="9"/>
    <n v="366.33"/>
  </r>
  <r>
    <d v="2014-05-10T00:00:00"/>
    <x v="0"/>
    <x v="4"/>
    <x v="11"/>
    <x v="7"/>
    <x v="2"/>
    <x v="6"/>
    <s v="Laser Copier"/>
    <n v="1694.19"/>
    <n v="5"/>
    <n v="26.27"/>
  </r>
  <r>
    <d v="2014-05-11T00:00:00"/>
    <x v="0"/>
    <x v="4"/>
    <x v="0"/>
    <x v="2"/>
    <x v="2"/>
    <x v="6"/>
    <s v="Laser Copier"/>
    <n v="2784.3"/>
    <n v="8"/>
    <n v="807.7"/>
  </r>
  <r>
    <d v="2014-05-13T00:00:00"/>
    <x v="0"/>
    <x v="4"/>
    <x v="11"/>
    <x v="2"/>
    <x v="0"/>
    <x v="2"/>
    <s v="Study Table"/>
    <n v="4558.5200000000004"/>
    <n v="2"/>
    <n v="276.02999999999997"/>
  </r>
  <r>
    <d v="2014-05-13T00:00:00"/>
    <x v="0"/>
    <x v="4"/>
    <x v="7"/>
    <x v="0"/>
    <x v="0"/>
    <x v="4"/>
    <s v="Executive Chair"/>
    <n v="3603.67"/>
    <n v="10"/>
    <n v="1073.78"/>
  </r>
  <r>
    <d v="2014-05-15T00:00:00"/>
    <x v="0"/>
    <x v="4"/>
    <x v="10"/>
    <x v="4"/>
    <x v="0"/>
    <x v="4"/>
    <s v="Executive Chair"/>
    <n v="841.77"/>
    <n v="5"/>
    <n v="65.540000000000006"/>
  </r>
  <r>
    <d v="2014-05-16T00:00:00"/>
    <x v="0"/>
    <x v="4"/>
    <x v="11"/>
    <x v="9"/>
    <x v="1"/>
    <x v="7"/>
    <s v="Color Set"/>
    <n v="3221.73"/>
    <n v="8"/>
    <n v="531.44000000000005"/>
  </r>
  <r>
    <d v="2014-05-17T00:00:00"/>
    <x v="0"/>
    <x v="4"/>
    <x v="6"/>
    <x v="2"/>
    <x v="2"/>
    <x v="6"/>
    <s v="Inkjet Copier"/>
    <n v="4622.6400000000003"/>
    <n v="3"/>
    <n v="1367.24"/>
  </r>
  <r>
    <d v="2014-05-17T00:00:00"/>
    <x v="0"/>
    <x v="4"/>
    <x v="5"/>
    <x v="5"/>
    <x v="0"/>
    <x v="4"/>
    <s v="Office Chair"/>
    <n v="3401.51"/>
    <n v="2"/>
    <n v="28.58"/>
  </r>
  <r>
    <d v="2014-05-17T00:00:00"/>
    <x v="0"/>
    <x v="4"/>
    <x v="2"/>
    <x v="8"/>
    <x v="1"/>
    <x v="11"/>
    <s v="Drawer Unit"/>
    <n v="3459.58"/>
    <n v="9"/>
    <n v="554.08000000000004"/>
  </r>
  <r>
    <d v="2014-05-17T00:00:00"/>
    <x v="0"/>
    <x v="4"/>
    <x v="7"/>
    <x v="3"/>
    <x v="0"/>
    <x v="4"/>
    <s v="Executive Chair"/>
    <n v="4657.75"/>
    <n v="5"/>
    <n v="384.35"/>
  </r>
  <r>
    <d v="2014-05-18T00:00:00"/>
    <x v="0"/>
    <x v="4"/>
    <x v="10"/>
    <x v="4"/>
    <x v="2"/>
    <x v="3"/>
    <s v="Smartphone"/>
    <n v="4877.54"/>
    <n v="6"/>
    <n v="203.13"/>
  </r>
  <r>
    <d v="2014-05-18T00:00:00"/>
    <x v="0"/>
    <x v="4"/>
    <x v="3"/>
    <x v="3"/>
    <x v="2"/>
    <x v="6"/>
    <s v="Laser Copier"/>
    <n v="300.38"/>
    <n v="4"/>
    <n v="19.36"/>
  </r>
  <r>
    <d v="2014-05-20T00:00:00"/>
    <x v="0"/>
    <x v="4"/>
    <x v="3"/>
    <x v="3"/>
    <x v="0"/>
    <x v="0"/>
    <s v="Desk Lamp"/>
    <n v="4449.6099999999997"/>
    <n v="6"/>
    <n v="1287.6400000000001"/>
  </r>
  <r>
    <d v="2014-05-21T00:00:00"/>
    <x v="0"/>
    <x v="4"/>
    <x v="8"/>
    <x v="7"/>
    <x v="2"/>
    <x v="5"/>
    <s v="USB Drive"/>
    <n v="2361.5700000000002"/>
    <n v="8"/>
    <n v="314.08999999999997"/>
  </r>
  <r>
    <d v="2014-05-22T00:00:00"/>
    <x v="0"/>
    <x v="4"/>
    <x v="5"/>
    <x v="8"/>
    <x v="2"/>
    <x v="6"/>
    <s v="Inkjet Copier"/>
    <n v="4559.38"/>
    <n v="5"/>
    <n v="981.54"/>
  </r>
  <r>
    <d v="2014-05-22T00:00:00"/>
    <x v="0"/>
    <x v="4"/>
    <x v="6"/>
    <x v="1"/>
    <x v="1"/>
    <x v="9"/>
    <s v="Binder Pack"/>
    <n v="2155.5300000000002"/>
    <n v="1"/>
    <n v="254.77"/>
  </r>
  <r>
    <d v="2014-05-24T00:00:00"/>
    <x v="0"/>
    <x v="4"/>
    <x v="9"/>
    <x v="3"/>
    <x v="0"/>
    <x v="10"/>
    <s v="Metal Bookcase"/>
    <n v="4110.6499999999996"/>
    <n v="8"/>
    <n v="466.39"/>
  </r>
  <r>
    <d v="2014-05-24T00:00:00"/>
    <x v="0"/>
    <x v="4"/>
    <x v="7"/>
    <x v="5"/>
    <x v="0"/>
    <x v="10"/>
    <s v="Metal Bookcase"/>
    <n v="841.78"/>
    <n v="6"/>
    <n v="65.31"/>
  </r>
  <r>
    <d v="2014-05-25T00:00:00"/>
    <x v="0"/>
    <x v="4"/>
    <x v="4"/>
    <x v="5"/>
    <x v="0"/>
    <x v="2"/>
    <s v="Conference Table"/>
    <n v="48.17"/>
    <n v="1"/>
    <n v="4.17"/>
  </r>
  <r>
    <d v="2014-05-30T00:00:00"/>
    <x v="0"/>
    <x v="4"/>
    <x v="4"/>
    <x v="3"/>
    <x v="2"/>
    <x v="5"/>
    <s v="Keyboard"/>
    <n v="2656.47"/>
    <n v="7"/>
    <n v="344.29"/>
  </r>
  <r>
    <d v="2014-05-31T00:00:00"/>
    <x v="0"/>
    <x v="4"/>
    <x v="1"/>
    <x v="8"/>
    <x v="0"/>
    <x v="2"/>
    <s v="Study Table"/>
    <n v="2344.9699999999998"/>
    <n v="5"/>
    <n v="87.83"/>
  </r>
  <r>
    <d v="2014-06-01T00:00:00"/>
    <x v="0"/>
    <x v="5"/>
    <x v="9"/>
    <x v="0"/>
    <x v="0"/>
    <x v="10"/>
    <s v="Wooden Bookcase"/>
    <n v="2039.65"/>
    <n v="3"/>
    <n v="579.35"/>
  </r>
  <r>
    <d v="2014-06-01T00:00:00"/>
    <x v="0"/>
    <x v="5"/>
    <x v="10"/>
    <x v="3"/>
    <x v="0"/>
    <x v="0"/>
    <s v="Desk Lamp"/>
    <n v="2819.81"/>
    <n v="4"/>
    <n v="537.24"/>
  </r>
  <r>
    <d v="2014-06-01T00:00:00"/>
    <x v="0"/>
    <x v="5"/>
    <x v="9"/>
    <x v="7"/>
    <x v="0"/>
    <x v="10"/>
    <s v="Metal Bookcase"/>
    <n v="2492.4699999999998"/>
    <n v="5"/>
    <n v="482.95"/>
  </r>
  <r>
    <d v="2014-06-01T00:00:00"/>
    <x v="0"/>
    <x v="5"/>
    <x v="8"/>
    <x v="2"/>
    <x v="0"/>
    <x v="10"/>
    <s v="Wooden Bookcase"/>
    <n v="713.74"/>
    <n v="1"/>
    <n v="163.62"/>
  </r>
  <r>
    <d v="2014-06-01T00:00:00"/>
    <x v="0"/>
    <x v="5"/>
    <x v="2"/>
    <x v="5"/>
    <x v="1"/>
    <x v="11"/>
    <s v="Storage Box"/>
    <n v="2605.6799999999998"/>
    <n v="4"/>
    <n v="366.05"/>
  </r>
  <r>
    <d v="2014-06-01T00:00:00"/>
    <x v="0"/>
    <x v="5"/>
    <x v="10"/>
    <x v="1"/>
    <x v="0"/>
    <x v="10"/>
    <s v="Metal Bookcase"/>
    <n v="3163.94"/>
    <n v="8"/>
    <n v="855.07"/>
  </r>
  <r>
    <d v="2014-06-02T00:00:00"/>
    <x v="0"/>
    <x v="5"/>
    <x v="4"/>
    <x v="4"/>
    <x v="1"/>
    <x v="7"/>
    <s v="Color Set"/>
    <n v="4792.3599999999997"/>
    <n v="5"/>
    <n v="1163.54"/>
  </r>
  <r>
    <d v="2014-06-03T00:00:00"/>
    <x v="0"/>
    <x v="5"/>
    <x v="11"/>
    <x v="4"/>
    <x v="0"/>
    <x v="4"/>
    <s v="Office Chair"/>
    <n v="1028.3499999999999"/>
    <n v="3"/>
    <n v="11.49"/>
  </r>
  <r>
    <d v="2014-06-03T00:00:00"/>
    <x v="0"/>
    <x v="5"/>
    <x v="10"/>
    <x v="7"/>
    <x v="2"/>
    <x v="6"/>
    <s v="Inkjet Copier"/>
    <n v="3546.99"/>
    <n v="4"/>
    <n v="787.96"/>
  </r>
  <r>
    <d v="2014-06-04T00:00:00"/>
    <x v="0"/>
    <x v="5"/>
    <x v="6"/>
    <x v="2"/>
    <x v="0"/>
    <x v="2"/>
    <s v="Study Table"/>
    <n v="688.54"/>
    <n v="2"/>
    <n v="51.37"/>
  </r>
  <r>
    <d v="2014-06-04T00:00:00"/>
    <x v="0"/>
    <x v="5"/>
    <x v="8"/>
    <x v="6"/>
    <x v="0"/>
    <x v="4"/>
    <s v="Ergonomic Chair"/>
    <n v="3385.29"/>
    <n v="3"/>
    <n v="995.95"/>
  </r>
  <r>
    <d v="2014-06-06T00:00:00"/>
    <x v="0"/>
    <x v="5"/>
    <x v="3"/>
    <x v="2"/>
    <x v="1"/>
    <x v="7"/>
    <s v="Color Set"/>
    <n v="489.14"/>
    <n v="4"/>
    <n v="125.33"/>
  </r>
  <r>
    <d v="2014-06-06T00:00:00"/>
    <x v="0"/>
    <x v="5"/>
    <x v="6"/>
    <x v="3"/>
    <x v="2"/>
    <x v="5"/>
    <s v="Keyboard"/>
    <n v="285.92"/>
    <n v="6"/>
    <n v="48.99"/>
  </r>
  <r>
    <d v="2014-06-07T00:00:00"/>
    <x v="0"/>
    <x v="5"/>
    <x v="6"/>
    <x v="9"/>
    <x v="2"/>
    <x v="3"/>
    <s v="Smartphone"/>
    <n v="4669.24"/>
    <n v="9"/>
    <n v="324.04000000000002"/>
  </r>
  <r>
    <d v="2014-06-07T00:00:00"/>
    <x v="0"/>
    <x v="5"/>
    <x v="10"/>
    <x v="4"/>
    <x v="1"/>
    <x v="8"/>
    <s v="A4 Paper Pack"/>
    <n v="1094.76"/>
    <n v="5"/>
    <n v="112.82"/>
  </r>
  <r>
    <d v="2014-06-08T00:00:00"/>
    <x v="0"/>
    <x v="5"/>
    <x v="4"/>
    <x v="9"/>
    <x v="1"/>
    <x v="9"/>
    <s v="Binder Pack"/>
    <n v="3697.35"/>
    <n v="1"/>
    <n v="684.45"/>
  </r>
  <r>
    <d v="2014-06-08T00:00:00"/>
    <x v="0"/>
    <x v="5"/>
    <x v="10"/>
    <x v="2"/>
    <x v="0"/>
    <x v="4"/>
    <s v="Executive Chair"/>
    <n v="3856.51"/>
    <n v="5"/>
    <n v="995.99"/>
  </r>
  <r>
    <d v="2014-06-08T00:00:00"/>
    <x v="0"/>
    <x v="5"/>
    <x v="3"/>
    <x v="0"/>
    <x v="2"/>
    <x v="3"/>
    <s v="IP Phone"/>
    <n v="2592.6999999999998"/>
    <n v="1"/>
    <n v="47.34"/>
  </r>
  <r>
    <d v="2014-06-08T00:00:00"/>
    <x v="0"/>
    <x v="5"/>
    <x v="3"/>
    <x v="2"/>
    <x v="2"/>
    <x v="5"/>
    <s v="USB Drive"/>
    <n v="4567.67"/>
    <n v="9"/>
    <n v="279.12"/>
  </r>
  <r>
    <d v="2014-06-09T00:00:00"/>
    <x v="0"/>
    <x v="5"/>
    <x v="5"/>
    <x v="3"/>
    <x v="0"/>
    <x v="10"/>
    <s v="Wooden Bookcase"/>
    <n v="420.93"/>
    <n v="4"/>
    <n v="87.02"/>
  </r>
  <r>
    <d v="2014-06-10T00:00:00"/>
    <x v="0"/>
    <x v="5"/>
    <x v="3"/>
    <x v="7"/>
    <x v="2"/>
    <x v="6"/>
    <s v="Laser Copier"/>
    <n v="636.32000000000005"/>
    <n v="1"/>
    <n v="34.06"/>
  </r>
  <r>
    <d v="2014-06-11T00:00:00"/>
    <x v="0"/>
    <x v="5"/>
    <x v="4"/>
    <x v="0"/>
    <x v="0"/>
    <x v="2"/>
    <s v="Study Table"/>
    <n v="1832.01"/>
    <n v="5"/>
    <n v="365.61"/>
  </r>
  <r>
    <d v="2014-06-11T00:00:00"/>
    <x v="0"/>
    <x v="5"/>
    <x v="11"/>
    <x v="6"/>
    <x v="1"/>
    <x v="9"/>
    <s v="Ring Binder"/>
    <n v="261.66000000000003"/>
    <n v="8"/>
    <n v="32.299999999999997"/>
  </r>
  <r>
    <d v="2014-06-12T00:00:00"/>
    <x v="0"/>
    <x v="5"/>
    <x v="2"/>
    <x v="1"/>
    <x v="2"/>
    <x v="5"/>
    <s v="Keyboard"/>
    <n v="1035.22"/>
    <n v="4"/>
    <n v="119.99"/>
  </r>
  <r>
    <d v="2014-06-12T00:00:00"/>
    <x v="0"/>
    <x v="5"/>
    <x v="9"/>
    <x v="8"/>
    <x v="1"/>
    <x v="11"/>
    <s v="Drawer Unit"/>
    <n v="95.06"/>
    <n v="10"/>
    <n v="22.69"/>
  </r>
  <r>
    <d v="2014-06-15T00:00:00"/>
    <x v="0"/>
    <x v="5"/>
    <x v="8"/>
    <x v="0"/>
    <x v="1"/>
    <x v="8"/>
    <s v="A4 Paper Pack"/>
    <n v="1025.98"/>
    <n v="10"/>
    <n v="35.78"/>
  </r>
  <r>
    <d v="2014-06-15T00:00:00"/>
    <x v="0"/>
    <x v="5"/>
    <x v="7"/>
    <x v="7"/>
    <x v="0"/>
    <x v="2"/>
    <s v="Study Table"/>
    <n v="272.66000000000003"/>
    <n v="2"/>
    <n v="12.65"/>
  </r>
  <r>
    <d v="2014-06-16T00:00:00"/>
    <x v="0"/>
    <x v="5"/>
    <x v="8"/>
    <x v="1"/>
    <x v="2"/>
    <x v="6"/>
    <s v="Inkjet Copier"/>
    <n v="1048.56"/>
    <n v="6"/>
    <n v="305.7"/>
  </r>
  <r>
    <d v="2014-06-16T00:00:00"/>
    <x v="0"/>
    <x v="5"/>
    <x v="4"/>
    <x v="0"/>
    <x v="0"/>
    <x v="10"/>
    <s v="Metal Bookcase"/>
    <n v="2483.71"/>
    <n v="6"/>
    <n v="16.66"/>
  </r>
  <r>
    <d v="2014-06-16T00:00:00"/>
    <x v="0"/>
    <x v="5"/>
    <x v="11"/>
    <x v="5"/>
    <x v="2"/>
    <x v="6"/>
    <s v="Laser Copier"/>
    <n v="1623.2"/>
    <n v="2"/>
    <n v="429.72"/>
  </r>
  <r>
    <d v="2014-06-17T00:00:00"/>
    <x v="0"/>
    <x v="5"/>
    <x v="2"/>
    <x v="6"/>
    <x v="0"/>
    <x v="0"/>
    <s v="Wall Decor"/>
    <n v="1665.01"/>
    <n v="9"/>
    <n v="258.89999999999998"/>
  </r>
  <r>
    <d v="2014-06-18T00:00:00"/>
    <x v="0"/>
    <x v="5"/>
    <x v="8"/>
    <x v="4"/>
    <x v="0"/>
    <x v="2"/>
    <s v="Study Table"/>
    <n v="978.3"/>
    <n v="6"/>
    <n v="127.88"/>
  </r>
  <r>
    <d v="2014-06-18T00:00:00"/>
    <x v="0"/>
    <x v="5"/>
    <x v="1"/>
    <x v="4"/>
    <x v="2"/>
    <x v="6"/>
    <s v="Inkjet Copier"/>
    <n v="4172.93"/>
    <n v="9"/>
    <n v="28.32"/>
  </r>
  <r>
    <d v="2014-06-18T00:00:00"/>
    <x v="0"/>
    <x v="5"/>
    <x v="6"/>
    <x v="5"/>
    <x v="2"/>
    <x v="6"/>
    <s v="Laser Copier"/>
    <n v="732.83"/>
    <n v="9"/>
    <n v="156.52000000000001"/>
  </r>
  <r>
    <d v="2014-06-19T00:00:00"/>
    <x v="0"/>
    <x v="5"/>
    <x v="2"/>
    <x v="1"/>
    <x v="2"/>
    <x v="5"/>
    <s v="Keyboard"/>
    <n v="1671.79"/>
    <n v="7"/>
    <n v="234.13"/>
  </r>
  <r>
    <d v="2014-06-19T00:00:00"/>
    <x v="0"/>
    <x v="5"/>
    <x v="11"/>
    <x v="2"/>
    <x v="2"/>
    <x v="6"/>
    <s v="Laser Copier"/>
    <n v="2201.21"/>
    <n v="10"/>
    <n v="41.62"/>
  </r>
  <r>
    <d v="2014-06-19T00:00:00"/>
    <x v="0"/>
    <x v="5"/>
    <x v="1"/>
    <x v="0"/>
    <x v="1"/>
    <x v="11"/>
    <s v="Drawer Unit"/>
    <n v="3985.98"/>
    <n v="6"/>
    <n v="870.39"/>
  </r>
  <r>
    <d v="2014-06-21T00:00:00"/>
    <x v="0"/>
    <x v="5"/>
    <x v="10"/>
    <x v="0"/>
    <x v="0"/>
    <x v="2"/>
    <s v="Study Table"/>
    <n v="3781.18"/>
    <n v="1"/>
    <n v="275.91000000000003"/>
  </r>
  <r>
    <d v="2014-06-22T00:00:00"/>
    <x v="0"/>
    <x v="5"/>
    <x v="5"/>
    <x v="5"/>
    <x v="0"/>
    <x v="2"/>
    <s v="Study Table"/>
    <n v="1373.7"/>
    <n v="9"/>
    <n v="34.770000000000003"/>
  </r>
  <r>
    <d v="2014-06-23T00:00:00"/>
    <x v="0"/>
    <x v="5"/>
    <x v="3"/>
    <x v="3"/>
    <x v="0"/>
    <x v="10"/>
    <s v="Metal Bookcase"/>
    <n v="4506.8999999999996"/>
    <n v="10"/>
    <n v="175.44"/>
  </r>
  <r>
    <d v="2014-06-23T00:00:00"/>
    <x v="0"/>
    <x v="5"/>
    <x v="6"/>
    <x v="8"/>
    <x v="1"/>
    <x v="9"/>
    <s v="Ring Binder"/>
    <n v="231.74"/>
    <n v="4"/>
    <n v="11.94"/>
  </r>
  <r>
    <d v="2014-06-23T00:00:00"/>
    <x v="0"/>
    <x v="5"/>
    <x v="7"/>
    <x v="0"/>
    <x v="1"/>
    <x v="9"/>
    <s v="Ring Binder"/>
    <n v="3497.73"/>
    <n v="6"/>
    <n v="1011.53"/>
  </r>
  <r>
    <d v="2014-06-23T00:00:00"/>
    <x v="0"/>
    <x v="5"/>
    <x v="7"/>
    <x v="3"/>
    <x v="1"/>
    <x v="9"/>
    <s v="Ring Binder"/>
    <n v="2092.71"/>
    <n v="5"/>
    <n v="598.47"/>
  </r>
  <r>
    <d v="2014-06-24T00:00:00"/>
    <x v="0"/>
    <x v="5"/>
    <x v="4"/>
    <x v="7"/>
    <x v="1"/>
    <x v="11"/>
    <s v="Drawer Unit"/>
    <n v="4039.19"/>
    <n v="10"/>
    <n v="834.52"/>
  </r>
  <r>
    <d v="2014-06-24T00:00:00"/>
    <x v="0"/>
    <x v="5"/>
    <x v="2"/>
    <x v="4"/>
    <x v="2"/>
    <x v="3"/>
    <s v="IP Phone"/>
    <n v="767.74"/>
    <n v="5"/>
    <n v="35.119999999999997"/>
  </r>
  <r>
    <d v="2014-06-25T00:00:00"/>
    <x v="0"/>
    <x v="5"/>
    <x v="2"/>
    <x v="6"/>
    <x v="0"/>
    <x v="0"/>
    <s v="Desk Lamp"/>
    <n v="4362.71"/>
    <n v="9"/>
    <n v="255.99"/>
  </r>
  <r>
    <d v="2014-06-26T00:00:00"/>
    <x v="0"/>
    <x v="5"/>
    <x v="4"/>
    <x v="1"/>
    <x v="0"/>
    <x v="2"/>
    <s v="Study Table"/>
    <n v="70.290000000000006"/>
    <n v="8"/>
    <n v="4.49"/>
  </r>
  <r>
    <d v="2014-06-26T00:00:00"/>
    <x v="0"/>
    <x v="5"/>
    <x v="8"/>
    <x v="2"/>
    <x v="0"/>
    <x v="10"/>
    <s v="Wooden Bookcase"/>
    <n v="4840.95"/>
    <n v="5"/>
    <n v="857.19"/>
  </r>
  <r>
    <d v="2014-06-26T00:00:00"/>
    <x v="0"/>
    <x v="5"/>
    <x v="2"/>
    <x v="4"/>
    <x v="0"/>
    <x v="4"/>
    <s v="Executive Chair"/>
    <n v="4842.3"/>
    <n v="9"/>
    <n v="383.97"/>
  </r>
  <r>
    <d v="2014-06-27T00:00:00"/>
    <x v="0"/>
    <x v="5"/>
    <x v="5"/>
    <x v="7"/>
    <x v="1"/>
    <x v="8"/>
    <s v="A4 Paper Pack"/>
    <n v="3149.83"/>
    <n v="8"/>
    <n v="286.61"/>
  </r>
  <r>
    <d v="2014-06-27T00:00:00"/>
    <x v="0"/>
    <x v="5"/>
    <x v="3"/>
    <x v="8"/>
    <x v="2"/>
    <x v="3"/>
    <s v="Smartphone"/>
    <n v="1692.08"/>
    <n v="4"/>
    <n v="469.04"/>
  </r>
  <r>
    <d v="2014-06-28T00:00:00"/>
    <x v="0"/>
    <x v="5"/>
    <x v="1"/>
    <x v="4"/>
    <x v="0"/>
    <x v="2"/>
    <s v="Study Table"/>
    <n v="2540.34"/>
    <n v="8"/>
    <n v="173.02"/>
  </r>
  <r>
    <d v="2014-06-29T00:00:00"/>
    <x v="0"/>
    <x v="5"/>
    <x v="1"/>
    <x v="8"/>
    <x v="1"/>
    <x v="1"/>
    <s v="Air Cleaner"/>
    <n v="3423.56"/>
    <n v="3"/>
    <n v="780.72"/>
  </r>
  <r>
    <d v="2014-06-29T00:00:00"/>
    <x v="0"/>
    <x v="5"/>
    <x v="2"/>
    <x v="2"/>
    <x v="2"/>
    <x v="6"/>
    <s v="Inkjet Copier"/>
    <n v="4043.34"/>
    <n v="1"/>
    <n v="233.23"/>
  </r>
  <r>
    <d v="2014-06-29T00:00:00"/>
    <x v="0"/>
    <x v="5"/>
    <x v="5"/>
    <x v="0"/>
    <x v="1"/>
    <x v="11"/>
    <s v="Storage Box"/>
    <n v="2684.83"/>
    <n v="2"/>
    <n v="709.11"/>
  </r>
  <r>
    <d v="2014-06-29T00:00:00"/>
    <x v="0"/>
    <x v="5"/>
    <x v="4"/>
    <x v="5"/>
    <x v="1"/>
    <x v="1"/>
    <s v="Heater"/>
    <n v="1937.3"/>
    <n v="9"/>
    <n v="122.21"/>
  </r>
  <r>
    <d v="2014-06-30T00:00:00"/>
    <x v="0"/>
    <x v="5"/>
    <x v="3"/>
    <x v="0"/>
    <x v="0"/>
    <x v="2"/>
    <s v="Study Table"/>
    <n v="1262.8"/>
    <n v="2"/>
    <n v="289.56"/>
  </r>
  <r>
    <d v="2014-07-01T00:00:00"/>
    <x v="0"/>
    <x v="6"/>
    <x v="2"/>
    <x v="9"/>
    <x v="1"/>
    <x v="7"/>
    <s v="Sketch Kit"/>
    <n v="1305.8499999999999"/>
    <n v="9"/>
    <n v="389.01"/>
  </r>
  <r>
    <d v="2014-07-01T00:00:00"/>
    <x v="0"/>
    <x v="6"/>
    <x v="1"/>
    <x v="2"/>
    <x v="1"/>
    <x v="7"/>
    <s v="Color Set"/>
    <n v="4911.72"/>
    <n v="8"/>
    <n v="957.54"/>
  </r>
  <r>
    <d v="2014-07-01T00:00:00"/>
    <x v="0"/>
    <x v="6"/>
    <x v="2"/>
    <x v="9"/>
    <x v="0"/>
    <x v="4"/>
    <s v="Ergonomic Chair"/>
    <n v="36.08"/>
    <n v="10"/>
    <n v="2.4700000000000002"/>
  </r>
  <r>
    <d v="2014-07-02T00:00:00"/>
    <x v="0"/>
    <x v="6"/>
    <x v="6"/>
    <x v="7"/>
    <x v="1"/>
    <x v="11"/>
    <s v="Storage Box"/>
    <n v="1913.92"/>
    <n v="9"/>
    <n v="451.68"/>
  </r>
  <r>
    <d v="2014-07-02T00:00:00"/>
    <x v="0"/>
    <x v="6"/>
    <x v="2"/>
    <x v="7"/>
    <x v="0"/>
    <x v="0"/>
    <s v="Desk Lamp"/>
    <n v="1368.8"/>
    <n v="8"/>
    <n v="29.35"/>
  </r>
  <r>
    <d v="2014-07-03T00:00:00"/>
    <x v="0"/>
    <x v="6"/>
    <x v="9"/>
    <x v="5"/>
    <x v="1"/>
    <x v="7"/>
    <s v="Color Set"/>
    <n v="1082.8699999999999"/>
    <n v="10"/>
    <n v="42.83"/>
  </r>
  <r>
    <d v="2014-07-04T00:00:00"/>
    <x v="0"/>
    <x v="6"/>
    <x v="8"/>
    <x v="6"/>
    <x v="0"/>
    <x v="10"/>
    <s v="Wooden Bookcase"/>
    <n v="2225.6999999999998"/>
    <n v="1"/>
    <n v="585.88"/>
  </r>
  <r>
    <d v="2014-07-04T00:00:00"/>
    <x v="0"/>
    <x v="6"/>
    <x v="5"/>
    <x v="3"/>
    <x v="0"/>
    <x v="0"/>
    <s v="Wall Decor"/>
    <n v="2904.27"/>
    <n v="9"/>
    <n v="662.99"/>
  </r>
  <r>
    <d v="2014-07-04T00:00:00"/>
    <x v="0"/>
    <x v="6"/>
    <x v="2"/>
    <x v="0"/>
    <x v="2"/>
    <x v="5"/>
    <s v="Mouse"/>
    <n v="729.13"/>
    <n v="5"/>
    <n v="111.85"/>
  </r>
  <r>
    <d v="2014-07-04T00:00:00"/>
    <x v="0"/>
    <x v="6"/>
    <x v="6"/>
    <x v="9"/>
    <x v="0"/>
    <x v="4"/>
    <s v="Office Chair"/>
    <n v="2887.55"/>
    <n v="5"/>
    <n v="535.17999999999995"/>
  </r>
  <r>
    <d v="2014-07-06T00:00:00"/>
    <x v="0"/>
    <x v="6"/>
    <x v="4"/>
    <x v="7"/>
    <x v="2"/>
    <x v="3"/>
    <s v="IP Phone"/>
    <n v="346.27"/>
    <n v="2"/>
    <n v="87.96"/>
  </r>
  <r>
    <d v="2014-07-06T00:00:00"/>
    <x v="0"/>
    <x v="6"/>
    <x v="11"/>
    <x v="3"/>
    <x v="1"/>
    <x v="7"/>
    <s v="Sketch Kit"/>
    <n v="853.9"/>
    <n v="6"/>
    <n v="129.69999999999999"/>
  </r>
  <r>
    <d v="2014-07-06T00:00:00"/>
    <x v="0"/>
    <x v="6"/>
    <x v="1"/>
    <x v="8"/>
    <x v="2"/>
    <x v="6"/>
    <s v="Inkjet Copier"/>
    <n v="331.7"/>
    <n v="8"/>
    <n v="59.8"/>
  </r>
  <r>
    <d v="2014-07-08T00:00:00"/>
    <x v="0"/>
    <x v="6"/>
    <x v="11"/>
    <x v="2"/>
    <x v="2"/>
    <x v="3"/>
    <s v="IP Phone"/>
    <n v="4736.1400000000003"/>
    <n v="5"/>
    <n v="1102.6400000000001"/>
  </r>
  <r>
    <d v="2014-07-08T00:00:00"/>
    <x v="0"/>
    <x v="6"/>
    <x v="5"/>
    <x v="9"/>
    <x v="0"/>
    <x v="2"/>
    <s v="Conference Table"/>
    <n v="4416.18"/>
    <n v="2"/>
    <n v="154.59"/>
  </r>
  <r>
    <d v="2014-07-08T00:00:00"/>
    <x v="0"/>
    <x v="6"/>
    <x v="5"/>
    <x v="3"/>
    <x v="1"/>
    <x v="8"/>
    <s v="Printer Paper"/>
    <n v="1801"/>
    <n v="7"/>
    <n v="26.87"/>
  </r>
  <r>
    <d v="2014-07-10T00:00:00"/>
    <x v="0"/>
    <x v="6"/>
    <x v="11"/>
    <x v="0"/>
    <x v="1"/>
    <x v="9"/>
    <s v="Binder Pack"/>
    <n v="2489.9"/>
    <n v="1"/>
    <n v="173.11"/>
  </r>
  <r>
    <d v="2014-07-10T00:00:00"/>
    <x v="0"/>
    <x v="6"/>
    <x v="7"/>
    <x v="9"/>
    <x v="2"/>
    <x v="6"/>
    <s v="Inkjet Copier"/>
    <n v="2410.86"/>
    <n v="6"/>
    <n v="259.52"/>
  </r>
  <r>
    <d v="2014-07-11T00:00:00"/>
    <x v="0"/>
    <x v="6"/>
    <x v="10"/>
    <x v="8"/>
    <x v="2"/>
    <x v="5"/>
    <s v="Mouse"/>
    <n v="136.71"/>
    <n v="9"/>
    <n v="23.21"/>
  </r>
  <r>
    <d v="2014-07-11T00:00:00"/>
    <x v="0"/>
    <x v="6"/>
    <x v="4"/>
    <x v="4"/>
    <x v="1"/>
    <x v="11"/>
    <s v="Storage Box"/>
    <n v="120.95"/>
    <n v="7"/>
    <n v="21.45"/>
  </r>
  <r>
    <d v="2014-07-12T00:00:00"/>
    <x v="0"/>
    <x v="6"/>
    <x v="10"/>
    <x v="6"/>
    <x v="2"/>
    <x v="3"/>
    <s v="Smartphone"/>
    <n v="1319.39"/>
    <n v="10"/>
    <n v="250.04"/>
  </r>
  <r>
    <d v="2014-07-13T00:00:00"/>
    <x v="0"/>
    <x v="6"/>
    <x v="4"/>
    <x v="2"/>
    <x v="2"/>
    <x v="5"/>
    <s v="Keyboard"/>
    <n v="1539.32"/>
    <n v="6"/>
    <n v="90.14"/>
  </r>
  <r>
    <d v="2014-07-13T00:00:00"/>
    <x v="0"/>
    <x v="6"/>
    <x v="0"/>
    <x v="5"/>
    <x v="2"/>
    <x v="5"/>
    <s v="Keyboard"/>
    <n v="3151.81"/>
    <n v="7"/>
    <n v="266.02"/>
  </r>
  <r>
    <d v="2014-07-13T00:00:00"/>
    <x v="0"/>
    <x v="6"/>
    <x v="11"/>
    <x v="2"/>
    <x v="2"/>
    <x v="6"/>
    <s v="Laser Copier"/>
    <n v="3865.7"/>
    <n v="7"/>
    <n v="232.11"/>
  </r>
  <r>
    <d v="2014-07-13T00:00:00"/>
    <x v="0"/>
    <x v="6"/>
    <x v="8"/>
    <x v="5"/>
    <x v="1"/>
    <x v="8"/>
    <s v="A4 Paper Pack"/>
    <n v="2316.5300000000002"/>
    <n v="5"/>
    <n v="370.65"/>
  </r>
  <r>
    <d v="2014-07-13T00:00:00"/>
    <x v="0"/>
    <x v="6"/>
    <x v="2"/>
    <x v="3"/>
    <x v="0"/>
    <x v="0"/>
    <s v="Wall Decor"/>
    <n v="2981.01"/>
    <n v="1"/>
    <n v="598.5"/>
  </r>
  <r>
    <d v="2014-07-13T00:00:00"/>
    <x v="0"/>
    <x v="6"/>
    <x v="7"/>
    <x v="8"/>
    <x v="1"/>
    <x v="9"/>
    <s v="Ring Binder"/>
    <n v="3424.99"/>
    <n v="9"/>
    <n v="130.47"/>
  </r>
  <r>
    <d v="2014-07-14T00:00:00"/>
    <x v="0"/>
    <x v="6"/>
    <x v="8"/>
    <x v="2"/>
    <x v="0"/>
    <x v="10"/>
    <s v="Wooden Bookcase"/>
    <n v="1777.52"/>
    <n v="4"/>
    <n v="148.18"/>
  </r>
  <r>
    <d v="2014-07-14T00:00:00"/>
    <x v="0"/>
    <x v="6"/>
    <x v="7"/>
    <x v="8"/>
    <x v="1"/>
    <x v="7"/>
    <s v="Sketch Kit"/>
    <n v="4916.3999999999996"/>
    <n v="4"/>
    <n v="428.53"/>
  </r>
  <r>
    <d v="2014-07-15T00:00:00"/>
    <x v="0"/>
    <x v="6"/>
    <x v="2"/>
    <x v="1"/>
    <x v="2"/>
    <x v="6"/>
    <s v="Inkjet Copier"/>
    <n v="4273.03"/>
    <n v="5"/>
    <n v="113"/>
  </r>
  <r>
    <d v="2014-07-15T00:00:00"/>
    <x v="0"/>
    <x v="6"/>
    <x v="3"/>
    <x v="0"/>
    <x v="0"/>
    <x v="2"/>
    <s v="Conference Table"/>
    <n v="3053.29"/>
    <n v="10"/>
    <n v="328.15"/>
  </r>
  <r>
    <d v="2014-07-16T00:00:00"/>
    <x v="0"/>
    <x v="6"/>
    <x v="6"/>
    <x v="9"/>
    <x v="2"/>
    <x v="6"/>
    <s v="Inkjet Copier"/>
    <n v="1533.7"/>
    <n v="6"/>
    <n v="35.51"/>
  </r>
  <r>
    <d v="2014-07-16T00:00:00"/>
    <x v="0"/>
    <x v="6"/>
    <x v="9"/>
    <x v="6"/>
    <x v="1"/>
    <x v="1"/>
    <s v="Heater"/>
    <n v="2492.13"/>
    <n v="6"/>
    <n v="690.96"/>
  </r>
  <r>
    <d v="2014-07-17T00:00:00"/>
    <x v="0"/>
    <x v="6"/>
    <x v="5"/>
    <x v="2"/>
    <x v="2"/>
    <x v="6"/>
    <s v="Inkjet Copier"/>
    <n v="4600.91"/>
    <n v="1"/>
    <n v="76"/>
  </r>
  <r>
    <d v="2014-07-17T00:00:00"/>
    <x v="0"/>
    <x v="6"/>
    <x v="3"/>
    <x v="6"/>
    <x v="1"/>
    <x v="8"/>
    <s v="Printer Paper"/>
    <n v="756.53"/>
    <n v="1"/>
    <n v="171.71"/>
  </r>
  <r>
    <d v="2014-07-18T00:00:00"/>
    <x v="0"/>
    <x v="6"/>
    <x v="9"/>
    <x v="5"/>
    <x v="0"/>
    <x v="10"/>
    <s v="Wooden Bookcase"/>
    <n v="388.5"/>
    <n v="4"/>
    <n v="105.39"/>
  </r>
  <r>
    <d v="2014-07-19T00:00:00"/>
    <x v="0"/>
    <x v="6"/>
    <x v="3"/>
    <x v="0"/>
    <x v="0"/>
    <x v="10"/>
    <s v="Metal Bookcase"/>
    <n v="1930.36"/>
    <n v="2"/>
    <n v="158.97"/>
  </r>
  <r>
    <d v="2014-07-20T00:00:00"/>
    <x v="0"/>
    <x v="6"/>
    <x v="10"/>
    <x v="6"/>
    <x v="2"/>
    <x v="6"/>
    <s v="Laser Copier"/>
    <n v="2987.11"/>
    <n v="9"/>
    <n v="670.77"/>
  </r>
  <r>
    <d v="2014-07-20T00:00:00"/>
    <x v="0"/>
    <x v="6"/>
    <x v="11"/>
    <x v="5"/>
    <x v="2"/>
    <x v="5"/>
    <s v="USB Drive"/>
    <n v="2927.5"/>
    <n v="9"/>
    <n v="699.28"/>
  </r>
  <r>
    <d v="2014-07-21T00:00:00"/>
    <x v="0"/>
    <x v="6"/>
    <x v="1"/>
    <x v="8"/>
    <x v="0"/>
    <x v="10"/>
    <s v="Wooden Bookcase"/>
    <n v="2892.84"/>
    <n v="2"/>
    <n v="381.17"/>
  </r>
  <r>
    <d v="2014-07-21T00:00:00"/>
    <x v="0"/>
    <x v="6"/>
    <x v="3"/>
    <x v="4"/>
    <x v="2"/>
    <x v="5"/>
    <s v="USB Drive"/>
    <n v="257.60000000000002"/>
    <n v="5"/>
    <n v="8.57"/>
  </r>
  <r>
    <d v="2014-07-21T00:00:00"/>
    <x v="0"/>
    <x v="6"/>
    <x v="3"/>
    <x v="3"/>
    <x v="2"/>
    <x v="5"/>
    <s v="Mouse"/>
    <n v="2471.8000000000002"/>
    <n v="7"/>
    <n v="352.55"/>
  </r>
  <r>
    <d v="2014-07-22T00:00:00"/>
    <x v="0"/>
    <x v="6"/>
    <x v="10"/>
    <x v="1"/>
    <x v="2"/>
    <x v="3"/>
    <s v="Smartphone"/>
    <n v="4108.46"/>
    <n v="9"/>
    <n v="850.39"/>
  </r>
  <r>
    <d v="2014-07-23T00:00:00"/>
    <x v="0"/>
    <x v="6"/>
    <x v="8"/>
    <x v="4"/>
    <x v="2"/>
    <x v="6"/>
    <s v="Inkjet Copier"/>
    <n v="2338.3200000000002"/>
    <n v="4"/>
    <n v="63.91"/>
  </r>
  <r>
    <d v="2014-07-24T00:00:00"/>
    <x v="0"/>
    <x v="6"/>
    <x v="7"/>
    <x v="9"/>
    <x v="0"/>
    <x v="4"/>
    <s v="Executive Chair"/>
    <n v="1412.55"/>
    <n v="2"/>
    <n v="95.23"/>
  </r>
  <r>
    <d v="2014-07-25T00:00:00"/>
    <x v="0"/>
    <x v="6"/>
    <x v="0"/>
    <x v="6"/>
    <x v="0"/>
    <x v="4"/>
    <s v="Executive Chair"/>
    <n v="2025.19"/>
    <n v="1"/>
    <n v="423.69"/>
  </r>
  <r>
    <d v="2014-07-26T00:00:00"/>
    <x v="0"/>
    <x v="6"/>
    <x v="9"/>
    <x v="4"/>
    <x v="1"/>
    <x v="9"/>
    <s v="Binder Pack"/>
    <n v="1061.06"/>
    <n v="3"/>
    <n v="49.01"/>
  </r>
  <r>
    <d v="2014-07-27T00:00:00"/>
    <x v="0"/>
    <x v="6"/>
    <x v="4"/>
    <x v="8"/>
    <x v="1"/>
    <x v="8"/>
    <s v="Printer Paper"/>
    <n v="2082.15"/>
    <n v="3"/>
    <n v="23.23"/>
  </r>
  <r>
    <d v="2014-07-28T00:00:00"/>
    <x v="0"/>
    <x v="6"/>
    <x v="3"/>
    <x v="1"/>
    <x v="1"/>
    <x v="9"/>
    <s v="Ring Binder"/>
    <n v="2866.89"/>
    <n v="9"/>
    <n v="599.15"/>
  </r>
  <r>
    <d v="2014-07-28T00:00:00"/>
    <x v="0"/>
    <x v="6"/>
    <x v="4"/>
    <x v="0"/>
    <x v="1"/>
    <x v="7"/>
    <s v="Color Set"/>
    <n v="4357.76"/>
    <n v="9"/>
    <n v="680.07"/>
  </r>
  <r>
    <d v="2014-07-29T00:00:00"/>
    <x v="0"/>
    <x v="6"/>
    <x v="4"/>
    <x v="9"/>
    <x v="0"/>
    <x v="10"/>
    <s v="Metal Bookcase"/>
    <n v="3947.17"/>
    <n v="4"/>
    <n v="64.260000000000005"/>
  </r>
  <r>
    <d v="2014-07-30T00:00:00"/>
    <x v="0"/>
    <x v="6"/>
    <x v="1"/>
    <x v="9"/>
    <x v="2"/>
    <x v="6"/>
    <s v="Laser Copier"/>
    <n v="4286.8599999999997"/>
    <n v="9"/>
    <n v="407.32"/>
  </r>
  <r>
    <d v="2014-07-30T00:00:00"/>
    <x v="0"/>
    <x v="6"/>
    <x v="4"/>
    <x v="9"/>
    <x v="2"/>
    <x v="3"/>
    <s v="IP Phone"/>
    <n v="1932.95"/>
    <n v="2"/>
    <n v="80.17"/>
  </r>
  <r>
    <d v="2014-07-31T00:00:00"/>
    <x v="0"/>
    <x v="6"/>
    <x v="5"/>
    <x v="1"/>
    <x v="1"/>
    <x v="1"/>
    <s v="Air Cleaner"/>
    <n v="477.15"/>
    <n v="8"/>
    <n v="106.26"/>
  </r>
  <r>
    <d v="2014-08-01T00:00:00"/>
    <x v="0"/>
    <x v="7"/>
    <x v="7"/>
    <x v="5"/>
    <x v="1"/>
    <x v="8"/>
    <s v="A4 Paper Pack"/>
    <n v="174.34"/>
    <n v="8"/>
    <n v="2.56"/>
  </r>
  <r>
    <d v="2014-08-01T00:00:00"/>
    <x v="0"/>
    <x v="7"/>
    <x v="3"/>
    <x v="3"/>
    <x v="1"/>
    <x v="1"/>
    <s v="Air Cleaner"/>
    <n v="2028.4"/>
    <n v="9"/>
    <n v="18.75"/>
  </r>
  <r>
    <d v="2014-08-01T00:00:00"/>
    <x v="0"/>
    <x v="7"/>
    <x v="2"/>
    <x v="4"/>
    <x v="2"/>
    <x v="5"/>
    <s v="Mouse"/>
    <n v="4442.03"/>
    <n v="1"/>
    <n v="215.85"/>
  </r>
  <r>
    <d v="2014-08-03T00:00:00"/>
    <x v="0"/>
    <x v="7"/>
    <x v="5"/>
    <x v="9"/>
    <x v="2"/>
    <x v="3"/>
    <s v="Smartphone"/>
    <n v="1013.03"/>
    <n v="9"/>
    <n v="56.86"/>
  </r>
  <r>
    <d v="2014-08-03T00:00:00"/>
    <x v="0"/>
    <x v="7"/>
    <x v="10"/>
    <x v="7"/>
    <x v="2"/>
    <x v="3"/>
    <s v="IP Phone"/>
    <n v="1727.1"/>
    <n v="7"/>
    <n v="247.53"/>
  </r>
  <r>
    <d v="2014-08-03T00:00:00"/>
    <x v="0"/>
    <x v="7"/>
    <x v="5"/>
    <x v="2"/>
    <x v="0"/>
    <x v="0"/>
    <s v="Desk Lamp"/>
    <n v="3799.37"/>
    <n v="8"/>
    <n v="636.01"/>
  </r>
  <r>
    <d v="2014-08-04T00:00:00"/>
    <x v="0"/>
    <x v="7"/>
    <x v="6"/>
    <x v="1"/>
    <x v="1"/>
    <x v="11"/>
    <s v="Drawer Unit"/>
    <n v="1521.68"/>
    <n v="5"/>
    <n v="273.83999999999997"/>
  </r>
  <r>
    <d v="2014-08-04T00:00:00"/>
    <x v="0"/>
    <x v="7"/>
    <x v="7"/>
    <x v="8"/>
    <x v="1"/>
    <x v="9"/>
    <s v="Ring Binder"/>
    <n v="3247.2"/>
    <n v="1"/>
    <n v="89.84"/>
  </r>
  <r>
    <d v="2014-08-04T00:00:00"/>
    <x v="0"/>
    <x v="7"/>
    <x v="9"/>
    <x v="1"/>
    <x v="0"/>
    <x v="4"/>
    <s v="Ergonomic Chair"/>
    <n v="3035.78"/>
    <n v="3"/>
    <n v="625.21"/>
  </r>
  <r>
    <d v="2014-08-04T00:00:00"/>
    <x v="0"/>
    <x v="7"/>
    <x v="11"/>
    <x v="8"/>
    <x v="1"/>
    <x v="8"/>
    <s v="Printer Paper"/>
    <n v="3327"/>
    <n v="5"/>
    <n v="545.12"/>
  </r>
  <r>
    <d v="2014-08-06T00:00:00"/>
    <x v="0"/>
    <x v="7"/>
    <x v="3"/>
    <x v="2"/>
    <x v="0"/>
    <x v="10"/>
    <s v="Metal Bookcase"/>
    <n v="3220.99"/>
    <n v="3"/>
    <n v="504.22"/>
  </r>
  <r>
    <d v="2014-08-06T00:00:00"/>
    <x v="0"/>
    <x v="7"/>
    <x v="11"/>
    <x v="3"/>
    <x v="1"/>
    <x v="8"/>
    <s v="A4 Paper Pack"/>
    <n v="3839.14"/>
    <n v="1"/>
    <n v="98.47"/>
  </r>
  <r>
    <d v="2014-08-06T00:00:00"/>
    <x v="0"/>
    <x v="7"/>
    <x v="6"/>
    <x v="1"/>
    <x v="1"/>
    <x v="11"/>
    <s v="Storage Box"/>
    <n v="1915.67"/>
    <n v="2"/>
    <n v="155.61000000000001"/>
  </r>
  <r>
    <d v="2014-08-09T00:00:00"/>
    <x v="0"/>
    <x v="7"/>
    <x v="2"/>
    <x v="7"/>
    <x v="2"/>
    <x v="3"/>
    <s v="Smartphone"/>
    <n v="1708.18"/>
    <n v="10"/>
    <n v="49.32"/>
  </r>
  <r>
    <d v="2014-08-09T00:00:00"/>
    <x v="0"/>
    <x v="7"/>
    <x v="2"/>
    <x v="6"/>
    <x v="1"/>
    <x v="1"/>
    <s v="Air Cleaner"/>
    <n v="4552.29"/>
    <n v="4"/>
    <n v="1152.78"/>
  </r>
  <r>
    <d v="2014-08-10T00:00:00"/>
    <x v="0"/>
    <x v="7"/>
    <x v="3"/>
    <x v="4"/>
    <x v="2"/>
    <x v="3"/>
    <s v="Smartphone"/>
    <n v="2670.02"/>
    <n v="4"/>
    <n v="44.26"/>
  </r>
  <r>
    <d v="2014-08-10T00:00:00"/>
    <x v="0"/>
    <x v="7"/>
    <x v="5"/>
    <x v="8"/>
    <x v="0"/>
    <x v="0"/>
    <s v="Desk Lamp"/>
    <n v="324.08999999999997"/>
    <n v="5"/>
    <n v="70.599999999999994"/>
  </r>
  <r>
    <d v="2014-08-11T00:00:00"/>
    <x v="0"/>
    <x v="7"/>
    <x v="3"/>
    <x v="9"/>
    <x v="1"/>
    <x v="9"/>
    <s v="Binder Pack"/>
    <n v="4657.76"/>
    <n v="5"/>
    <n v="664.61"/>
  </r>
  <r>
    <d v="2014-08-11T00:00:00"/>
    <x v="0"/>
    <x v="7"/>
    <x v="7"/>
    <x v="6"/>
    <x v="1"/>
    <x v="1"/>
    <s v="Air Cleaner"/>
    <n v="580.30999999999995"/>
    <n v="4"/>
    <n v="37.020000000000003"/>
  </r>
  <r>
    <d v="2014-08-12T00:00:00"/>
    <x v="0"/>
    <x v="7"/>
    <x v="10"/>
    <x v="4"/>
    <x v="0"/>
    <x v="10"/>
    <s v="Wooden Bookcase"/>
    <n v="1783.03"/>
    <n v="5"/>
    <n v="481.85"/>
  </r>
  <r>
    <d v="2014-08-12T00:00:00"/>
    <x v="0"/>
    <x v="7"/>
    <x v="0"/>
    <x v="8"/>
    <x v="1"/>
    <x v="7"/>
    <s v="Sketch Kit"/>
    <n v="3683.74"/>
    <n v="3"/>
    <n v="735.32"/>
  </r>
  <r>
    <d v="2014-08-13T00:00:00"/>
    <x v="0"/>
    <x v="7"/>
    <x v="3"/>
    <x v="6"/>
    <x v="0"/>
    <x v="4"/>
    <s v="Office Chair"/>
    <n v="3242.73"/>
    <n v="6"/>
    <n v="889.91"/>
  </r>
  <r>
    <d v="2014-08-13T00:00:00"/>
    <x v="0"/>
    <x v="7"/>
    <x v="6"/>
    <x v="2"/>
    <x v="0"/>
    <x v="10"/>
    <s v="Metal Bookcase"/>
    <n v="707.94"/>
    <n v="4"/>
    <n v="174.6"/>
  </r>
  <r>
    <d v="2014-08-15T00:00:00"/>
    <x v="0"/>
    <x v="7"/>
    <x v="6"/>
    <x v="4"/>
    <x v="1"/>
    <x v="8"/>
    <s v="Printer Paper"/>
    <n v="3264.3"/>
    <n v="7"/>
    <n v="43.42"/>
  </r>
  <r>
    <d v="2014-08-16T00:00:00"/>
    <x v="0"/>
    <x v="7"/>
    <x v="2"/>
    <x v="3"/>
    <x v="0"/>
    <x v="4"/>
    <s v="Executive Chair"/>
    <n v="2986.43"/>
    <n v="6"/>
    <n v="98.62"/>
  </r>
  <r>
    <d v="2014-08-16T00:00:00"/>
    <x v="0"/>
    <x v="7"/>
    <x v="2"/>
    <x v="9"/>
    <x v="2"/>
    <x v="3"/>
    <s v="IP Phone"/>
    <n v="4232.33"/>
    <n v="7"/>
    <n v="707.7"/>
  </r>
  <r>
    <d v="2014-08-16T00:00:00"/>
    <x v="0"/>
    <x v="7"/>
    <x v="8"/>
    <x v="3"/>
    <x v="0"/>
    <x v="2"/>
    <s v="Study Table"/>
    <n v="866.07"/>
    <n v="3"/>
    <n v="124.82"/>
  </r>
  <r>
    <d v="2014-08-16T00:00:00"/>
    <x v="0"/>
    <x v="7"/>
    <x v="8"/>
    <x v="8"/>
    <x v="1"/>
    <x v="1"/>
    <s v="Heater"/>
    <n v="1273.29"/>
    <n v="8"/>
    <n v="357.04"/>
  </r>
  <r>
    <d v="2014-08-17T00:00:00"/>
    <x v="0"/>
    <x v="7"/>
    <x v="0"/>
    <x v="7"/>
    <x v="0"/>
    <x v="2"/>
    <s v="Study Table"/>
    <n v="318.49"/>
    <n v="7"/>
    <n v="68.7"/>
  </r>
  <r>
    <d v="2014-08-17T00:00:00"/>
    <x v="0"/>
    <x v="7"/>
    <x v="9"/>
    <x v="3"/>
    <x v="2"/>
    <x v="6"/>
    <s v="Inkjet Copier"/>
    <n v="4106.53"/>
    <n v="1"/>
    <n v="541.66999999999996"/>
  </r>
  <r>
    <d v="2014-08-17T00:00:00"/>
    <x v="0"/>
    <x v="7"/>
    <x v="7"/>
    <x v="1"/>
    <x v="1"/>
    <x v="7"/>
    <s v="Sketch Kit"/>
    <n v="3942.67"/>
    <n v="7"/>
    <n v="1159.49"/>
  </r>
  <r>
    <d v="2014-08-18T00:00:00"/>
    <x v="0"/>
    <x v="7"/>
    <x v="11"/>
    <x v="2"/>
    <x v="1"/>
    <x v="9"/>
    <s v="Ring Binder"/>
    <n v="2615.0300000000002"/>
    <n v="7"/>
    <n v="161.76"/>
  </r>
  <r>
    <d v="2014-08-18T00:00:00"/>
    <x v="0"/>
    <x v="7"/>
    <x v="8"/>
    <x v="9"/>
    <x v="1"/>
    <x v="8"/>
    <s v="Printer Paper"/>
    <n v="2840.15"/>
    <n v="4"/>
    <n v="244"/>
  </r>
  <r>
    <d v="2014-08-18T00:00:00"/>
    <x v="0"/>
    <x v="7"/>
    <x v="10"/>
    <x v="7"/>
    <x v="0"/>
    <x v="0"/>
    <s v="Desk Lamp"/>
    <n v="4249.83"/>
    <n v="6"/>
    <n v="445.5"/>
  </r>
  <r>
    <d v="2014-08-19T00:00:00"/>
    <x v="0"/>
    <x v="7"/>
    <x v="11"/>
    <x v="2"/>
    <x v="0"/>
    <x v="10"/>
    <s v="Metal Bookcase"/>
    <n v="2224.96"/>
    <n v="6"/>
    <n v="115.55"/>
  </r>
  <r>
    <d v="2014-08-19T00:00:00"/>
    <x v="0"/>
    <x v="7"/>
    <x v="8"/>
    <x v="4"/>
    <x v="0"/>
    <x v="0"/>
    <s v="Wall Decor"/>
    <n v="1000.24"/>
    <n v="2"/>
    <n v="252.57"/>
  </r>
  <r>
    <d v="2014-08-20T00:00:00"/>
    <x v="0"/>
    <x v="7"/>
    <x v="5"/>
    <x v="4"/>
    <x v="1"/>
    <x v="8"/>
    <s v="Printer Paper"/>
    <n v="2440.25"/>
    <n v="8"/>
    <n v="293.62"/>
  </r>
  <r>
    <d v="2014-08-20T00:00:00"/>
    <x v="0"/>
    <x v="7"/>
    <x v="5"/>
    <x v="7"/>
    <x v="0"/>
    <x v="4"/>
    <s v="Executive Chair"/>
    <n v="230.66"/>
    <n v="7"/>
    <n v="54.63"/>
  </r>
  <r>
    <d v="2014-08-20T00:00:00"/>
    <x v="0"/>
    <x v="7"/>
    <x v="6"/>
    <x v="0"/>
    <x v="0"/>
    <x v="10"/>
    <s v="Wooden Bookcase"/>
    <n v="2585.89"/>
    <n v="6"/>
    <n v="527.14"/>
  </r>
  <r>
    <d v="2014-08-20T00:00:00"/>
    <x v="0"/>
    <x v="7"/>
    <x v="8"/>
    <x v="8"/>
    <x v="0"/>
    <x v="4"/>
    <s v="Ergonomic Chair"/>
    <n v="4743.68"/>
    <n v="8"/>
    <n v="690.48"/>
  </r>
  <r>
    <d v="2014-08-21T00:00:00"/>
    <x v="0"/>
    <x v="7"/>
    <x v="8"/>
    <x v="6"/>
    <x v="2"/>
    <x v="3"/>
    <s v="Smartphone"/>
    <n v="1435.26"/>
    <n v="4"/>
    <n v="311.75"/>
  </r>
  <r>
    <d v="2014-08-21T00:00:00"/>
    <x v="0"/>
    <x v="7"/>
    <x v="3"/>
    <x v="8"/>
    <x v="0"/>
    <x v="4"/>
    <s v="Ergonomic Chair"/>
    <n v="3479.77"/>
    <n v="10"/>
    <n v="768"/>
  </r>
  <r>
    <d v="2014-08-24T00:00:00"/>
    <x v="0"/>
    <x v="7"/>
    <x v="9"/>
    <x v="6"/>
    <x v="1"/>
    <x v="1"/>
    <s v="Air Cleaner"/>
    <n v="1297.04"/>
    <n v="8"/>
    <n v="145.33000000000001"/>
  </r>
  <r>
    <d v="2014-08-24T00:00:00"/>
    <x v="0"/>
    <x v="7"/>
    <x v="0"/>
    <x v="1"/>
    <x v="0"/>
    <x v="0"/>
    <s v="Desk Lamp"/>
    <n v="3710.92"/>
    <n v="1"/>
    <n v="212.56"/>
  </r>
  <r>
    <d v="2014-08-25T00:00:00"/>
    <x v="0"/>
    <x v="7"/>
    <x v="1"/>
    <x v="9"/>
    <x v="1"/>
    <x v="9"/>
    <s v="Binder Pack"/>
    <n v="3651.88"/>
    <n v="5"/>
    <n v="924.96"/>
  </r>
  <r>
    <d v="2014-08-27T00:00:00"/>
    <x v="0"/>
    <x v="7"/>
    <x v="4"/>
    <x v="9"/>
    <x v="2"/>
    <x v="5"/>
    <s v="Mouse"/>
    <n v="4943.75"/>
    <n v="8"/>
    <n v="1293.32"/>
  </r>
  <r>
    <d v="2014-08-27T00:00:00"/>
    <x v="0"/>
    <x v="7"/>
    <x v="3"/>
    <x v="9"/>
    <x v="2"/>
    <x v="3"/>
    <s v="IP Phone"/>
    <n v="3646.72"/>
    <n v="5"/>
    <n v="594.85"/>
  </r>
  <r>
    <d v="2014-08-28T00:00:00"/>
    <x v="0"/>
    <x v="7"/>
    <x v="4"/>
    <x v="0"/>
    <x v="2"/>
    <x v="3"/>
    <s v="Smartphone"/>
    <n v="2437.7800000000002"/>
    <n v="6"/>
    <n v="150.78"/>
  </r>
  <r>
    <d v="2014-08-29T00:00:00"/>
    <x v="0"/>
    <x v="7"/>
    <x v="8"/>
    <x v="7"/>
    <x v="1"/>
    <x v="11"/>
    <s v="Storage Box"/>
    <n v="678.61"/>
    <n v="7"/>
    <n v="54.37"/>
  </r>
  <r>
    <d v="2014-08-29T00:00:00"/>
    <x v="0"/>
    <x v="7"/>
    <x v="11"/>
    <x v="2"/>
    <x v="1"/>
    <x v="9"/>
    <s v="Ring Binder"/>
    <n v="3693"/>
    <n v="8"/>
    <n v="1098.77"/>
  </r>
  <r>
    <d v="2014-08-30T00:00:00"/>
    <x v="0"/>
    <x v="7"/>
    <x v="7"/>
    <x v="8"/>
    <x v="1"/>
    <x v="7"/>
    <s v="Sketch Kit"/>
    <n v="4780.3900000000003"/>
    <n v="3"/>
    <n v="191.24"/>
  </r>
  <r>
    <d v="2014-08-30T00:00:00"/>
    <x v="0"/>
    <x v="7"/>
    <x v="3"/>
    <x v="6"/>
    <x v="1"/>
    <x v="8"/>
    <s v="Printer Paper"/>
    <n v="4596.92"/>
    <n v="3"/>
    <n v="590.51"/>
  </r>
  <r>
    <d v="2014-08-30T00:00:00"/>
    <x v="0"/>
    <x v="7"/>
    <x v="6"/>
    <x v="6"/>
    <x v="2"/>
    <x v="5"/>
    <s v="Mouse"/>
    <n v="530.79999999999995"/>
    <n v="9"/>
    <n v="83.63"/>
  </r>
  <r>
    <d v="2014-08-31T00:00:00"/>
    <x v="0"/>
    <x v="7"/>
    <x v="2"/>
    <x v="0"/>
    <x v="1"/>
    <x v="7"/>
    <s v="Color Set"/>
    <n v="4776.93"/>
    <n v="8"/>
    <n v="94.22"/>
  </r>
  <r>
    <d v="2014-08-31T00:00:00"/>
    <x v="0"/>
    <x v="7"/>
    <x v="0"/>
    <x v="4"/>
    <x v="1"/>
    <x v="8"/>
    <s v="Printer Paper"/>
    <n v="2880.44"/>
    <n v="3"/>
    <n v="38.909999999999997"/>
  </r>
  <r>
    <d v="2014-09-01T00:00:00"/>
    <x v="0"/>
    <x v="8"/>
    <x v="11"/>
    <x v="7"/>
    <x v="0"/>
    <x v="4"/>
    <s v="Office Chair"/>
    <n v="4015.75"/>
    <n v="4"/>
    <n v="266.33999999999997"/>
  </r>
  <r>
    <d v="2014-09-01T00:00:00"/>
    <x v="0"/>
    <x v="8"/>
    <x v="5"/>
    <x v="6"/>
    <x v="1"/>
    <x v="11"/>
    <s v="Drawer Unit"/>
    <n v="2947.27"/>
    <n v="4"/>
    <n v="262.05"/>
  </r>
  <r>
    <d v="2014-09-02T00:00:00"/>
    <x v="0"/>
    <x v="8"/>
    <x v="5"/>
    <x v="2"/>
    <x v="0"/>
    <x v="10"/>
    <s v="Metal Bookcase"/>
    <n v="4093.13"/>
    <n v="7"/>
    <n v="1123.55"/>
  </r>
  <r>
    <d v="2014-09-03T00:00:00"/>
    <x v="0"/>
    <x v="8"/>
    <x v="0"/>
    <x v="7"/>
    <x v="1"/>
    <x v="8"/>
    <s v="A4 Paper Pack"/>
    <n v="3324.53"/>
    <n v="10"/>
    <n v="326.99"/>
  </r>
  <r>
    <d v="2014-09-03T00:00:00"/>
    <x v="0"/>
    <x v="8"/>
    <x v="2"/>
    <x v="1"/>
    <x v="2"/>
    <x v="3"/>
    <s v="Smartphone"/>
    <n v="4892.1499999999996"/>
    <n v="10"/>
    <n v="819.32"/>
  </r>
  <r>
    <d v="2014-09-03T00:00:00"/>
    <x v="0"/>
    <x v="8"/>
    <x v="9"/>
    <x v="3"/>
    <x v="2"/>
    <x v="5"/>
    <s v="Mouse"/>
    <n v="71.05"/>
    <n v="9"/>
    <n v="14.2"/>
  </r>
  <r>
    <d v="2014-09-04T00:00:00"/>
    <x v="0"/>
    <x v="8"/>
    <x v="7"/>
    <x v="6"/>
    <x v="2"/>
    <x v="3"/>
    <s v="Smartphone"/>
    <n v="4161.96"/>
    <n v="4"/>
    <n v="240.14"/>
  </r>
  <r>
    <d v="2014-09-04T00:00:00"/>
    <x v="0"/>
    <x v="8"/>
    <x v="1"/>
    <x v="6"/>
    <x v="1"/>
    <x v="11"/>
    <s v="Drawer Unit"/>
    <n v="509.39"/>
    <n v="5"/>
    <n v="31.58"/>
  </r>
  <r>
    <d v="2014-09-04T00:00:00"/>
    <x v="0"/>
    <x v="8"/>
    <x v="11"/>
    <x v="2"/>
    <x v="2"/>
    <x v="3"/>
    <s v="IP Phone"/>
    <n v="170.22"/>
    <n v="6"/>
    <n v="47.95"/>
  </r>
  <r>
    <d v="2014-09-04T00:00:00"/>
    <x v="0"/>
    <x v="8"/>
    <x v="3"/>
    <x v="3"/>
    <x v="1"/>
    <x v="8"/>
    <s v="A4 Paper Pack"/>
    <n v="3403.33"/>
    <n v="2"/>
    <n v="306.91000000000003"/>
  </r>
  <r>
    <d v="2014-09-05T00:00:00"/>
    <x v="0"/>
    <x v="8"/>
    <x v="1"/>
    <x v="8"/>
    <x v="1"/>
    <x v="1"/>
    <s v="Heater"/>
    <n v="3858.25"/>
    <n v="1"/>
    <n v="1120.83"/>
  </r>
  <r>
    <d v="2014-09-06T00:00:00"/>
    <x v="0"/>
    <x v="8"/>
    <x v="6"/>
    <x v="7"/>
    <x v="2"/>
    <x v="5"/>
    <s v="USB Drive"/>
    <n v="3422.51"/>
    <n v="3"/>
    <n v="125.54"/>
  </r>
  <r>
    <d v="2014-09-06T00:00:00"/>
    <x v="0"/>
    <x v="8"/>
    <x v="11"/>
    <x v="1"/>
    <x v="2"/>
    <x v="6"/>
    <s v="Laser Copier"/>
    <n v="814.44"/>
    <n v="10"/>
    <n v="100.57"/>
  </r>
  <r>
    <d v="2014-09-07T00:00:00"/>
    <x v="0"/>
    <x v="8"/>
    <x v="4"/>
    <x v="9"/>
    <x v="2"/>
    <x v="3"/>
    <s v="Smartphone"/>
    <n v="484.89"/>
    <n v="3"/>
    <n v="38.39"/>
  </r>
  <r>
    <d v="2014-09-08T00:00:00"/>
    <x v="0"/>
    <x v="8"/>
    <x v="3"/>
    <x v="3"/>
    <x v="2"/>
    <x v="5"/>
    <s v="USB Drive"/>
    <n v="3608.53"/>
    <n v="6"/>
    <n v="194.43"/>
  </r>
  <r>
    <d v="2014-09-08T00:00:00"/>
    <x v="0"/>
    <x v="8"/>
    <x v="7"/>
    <x v="0"/>
    <x v="1"/>
    <x v="9"/>
    <s v="Ring Binder"/>
    <n v="56.49"/>
    <n v="7"/>
    <n v="6.3"/>
  </r>
  <r>
    <d v="2014-09-09T00:00:00"/>
    <x v="0"/>
    <x v="8"/>
    <x v="1"/>
    <x v="0"/>
    <x v="1"/>
    <x v="11"/>
    <s v="Storage Box"/>
    <n v="3985.97"/>
    <n v="2"/>
    <n v="271.2"/>
  </r>
  <r>
    <d v="2014-09-09T00:00:00"/>
    <x v="0"/>
    <x v="8"/>
    <x v="4"/>
    <x v="0"/>
    <x v="1"/>
    <x v="9"/>
    <s v="Ring Binder"/>
    <n v="4959.8900000000003"/>
    <n v="4"/>
    <n v="446.78"/>
  </r>
  <r>
    <d v="2014-09-09T00:00:00"/>
    <x v="0"/>
    <x v="8"/>
    <x v="6"/>
    <x v="9"/>
    <x v="1"/>
    <x v="8"/>
    <s v="Printer Paper"/>
    <n v="2566.36"/>
    <n v="9"/>
    <n v="156.58000000000001"/>
  </r>
  <r>
    <d v="2014-09-10T00:00:00"/>
    <x v="0"/>
    <x v="8"/>
    <x v="3"/>
    <x v="4"/>
    <x v="0"/>
    <x v="2"/>
    <s v="Conference Table"/>
    <n v="4275.88"/>
    <n v="3"/>
    <n v="410.59"/>
  </r>
  <r>
    <d v="2014-09-11T00:00:00"/>
    <x v="0"/>
    <x v="8"/>
    <x v="3"/>
    <x v="8"/>
    <x v="0"/>
    <x v="4"/>
    <s v="Ergonomic Chair"/>
    <n v="4344.47"/>
    <n v="3"/>
    <n v="256.92"/>
  </r>
  <r>
    <d v="2014-09-11T00:00:00"/>
    <x v="0"/>
    <x v="8"/>
    <x v="5"/>
    <x v="0"/>
    <x v="1"/>
    <x v="7"/>
    <s v="Color Set"/>
    <n v="2130.23"/>
    <n v="1"/>
    <n v="211.67"/>
  </r>
  <r>
    <d v="2014-09-13T00:00:00"/>
    <x v="0"/>
    <x v="8"/>
    <x v="2"/>
    <x v="8"/>
    <x v="0"/>
    <x v="2"/>
    <s v="Conference Table"/>
    <n v="236.45"/>
    <n v="4"/>
    <n v="1.95"/>
  </r>
  <r>
    <d v="2014-09-13T00:00:00"/>
    <x v="0"/>
    <x v="8"/>
    <x v="1"/>
    <x v="9"/>
    <x v="1"/>
    <x v="9"/>
    <s v="Binder Pack"/>
    <n v="4287.66"/>
    <n v="10"/>
    <n v="1223.98"/>
  </r>
  <r>
    <d v="2014-09-13T00:00:00"/>
    <x v="0"/>
    <x v="8"/>
    <x v="10"/>
    <x v="4"/>
    <x v="1"/>
    <x v="7"/>
    <s v="Sketch Kit"/>
    <n v="4342.7299999999996"/>
    <n v="4"/>
    <n v="23.93"/>
  </r>
  <r>
    <d v="2014-09-14T00:00:00"/>
    <x v="0"/>
    <x v="8"/>
    <x v="7"/>
    <x v="8"/>
    <x v="2"/>
    <x v="5"/>
    <s v="Mouse"/>
    <n v="2203.4699999999998"/>
    <n v="9"/>
    <n v="141.03"/>
  </r>
  <r>
    <d v="2014-09-16T00:00:00"/>
    <x v="0"/>
    <x v="8"/>
    <x v="9"/>
    <x v="6"/>
    <x v="1"/>
    <x v="1"/>
    <s v="Heater"/>
    <n v="1692.01"/>
    <n v="9"/>
    <n v="80.150000000000006"/>
  </r>
  <r>
    <d v="2014-09-16T00:00:00"/>
    <x v="0"/>
    <x v="8"/>
    <x v="10"/>
    <x v="5"/>
    <x v="1"/>
    <x v="11"/>
    <s v="Drawer Unit"/>
    <n v="1608.68"/>
    <n v="9"/>
    <n v="107.02"/>
  </r>
  <r>
    <d v="2014-09-16T00:00:00"/>
    <x v="0"/>
    <x v="8"/>
    <x v="1"/>
    <x v="2"/>
    <x v="1"/>
    <x v="8"/>
    <s v="Printer Paper"/>
    <n v="2194.7199999999998"/>
    <n v="4"/>
    <n v="115.55"/>
  </r>
  <r>
    <d v="2014-09-16T00:00:00"/>
    <x v="0"/>
    <x v="8"/>
    <x v="8"/>
    <x v="6"/>
    <x v="0"/>
    <x v="0"/>
    <s v="Desk Lamp"/>
    <n v="4794.59"/>
    <n v="6"/>
    <n v="1201.53"/>
  </r>
  <r>
    <d v="2014-09-17T00:00:00"/>
    <x v="0"/>
    <x v="8"/>
    <x v="2"/>
    <x v="5"/>
    <x v="1"/>
    <x v="8"/>
    <s v="Printer Paper"/>
    <n v="543.47"/>
    <n v="2"/>
    <n v="113.69"/>
  </r>
  <r>
    <d v="2014-09-17T00:00:00"/>
    <x v="0"/>
    <x v="8"/>
    <x v="4"/>
    <x v="4"/>
    <x v="2"/>
    <x v="5"/>
    <s v="Keyboard"/>
    <n v="1328.38"/>
    <n v="7"/>
    <n v="91.29"/>
  </r>
  <r>
    <d v="2014-09-17T00:00:00"/>
    <x v="0"/>
    <x v="8"/>
    <x v="4"/>
    <x v="3"/>
    <x v="1"/>
    <x v="8"/>
    <s v="Printer Paper"/>
    <n v="3886.26"/>
    <n v="1"/>
    <n v="414.54"/>
  </r>
  <r>
    <d v="2014-09-17T00:00:00"/>
    <x v="0"/>
    <x v="8"/>
    <x v="1"/>
    <x v="3"/>
    <x v="1"/>
    <x v="7"/>
    <s v="Color Set"/>
    <n v="1295.81"/>
    <n v="1"/>
    <n v="170.79"/>
  </r>
  <r>
    <d v="2014-09-17T00:00:00"/>
    <x v="0"/>
    <x v="8"/>
    <x v="3"/>
    <x v="3"/>
    <x v="1"/>
    <x v="9"/>
    <s v="Ring Binder"/>
    <n v="737.38"/>
    <n v="9"/>
    <n v="160.4"/>
  </r>
  <r>
    <d v="2014-09-18T00:00:00"/>
    <x v="0"/>
    <x v="8"/>
    <x v="4"/>
    <x v="1"/>
    <x v="1"/>
    <x v="7"/>
    <s v="Color Set"/>
    <n v="293.89"/>
    <n v="9"/>
    <n v="87.96"/>
  </r>
  <r>
    <d v="2014-09-18T00:00:00"/>
    <x v="0"/>
    <x v="8"/>
    <x v="5"/>
    <x v="1"/>
    <x v="0"/>
    <x v="2"/>
    <s v="Study Table"/>
    <n v="300.98"/>
    <n v="4"/>
    <n v="2.52"/>
  </r>
  <r>
    <d v="2014-09-18T00:00:00"/>
    <x v="0"/>
    <x v="8"/>
    <x v="5"/>
    <x v="1"/>
    <x v="1"/>
    <x v="1"/>
    <s v="Air Cleaner"/>
    <n v="27.68"/>
    <n v="1"/>
    <n v="4"/>
  </r>
  <r>
    <d v="2014-09-21T00:00:00"/>
    <x v="0"/>
    <x v="8"/>
    <x v="2"/>
    <x v="5"/>
    <x v="0"/>
    <x v="0"/>
    <s v="Wall Decor"/>
    <n v="2241.85"/>
    <n v="3"/>
    <n v="14.36"/>
  </r>
  <r>
    <d v="2014-09-22T00:00:00"/>
    <x v="0"/>
    <x v="8"/>
    <x v="1"/>
    <x v="0"/>
    <x v="2"/>
    <x v="6"/>
    <s v="Laser Copier"/>
    <n v="4606.13"/>
    <n v="6"/>
    <n v="1297.21"/>
  </r>
  <r>
    <d v="2014-09-23T00:00:00"/>
    <x v="0"/>
    <x v="8"/>
    <x v="3"/>
    <x v="8"/>
    <x v="2"/>
    <x v="5"/>
    <s v="Keyboard"/>
    <n v="2699.81"/>
    <n v="3"/>
    <n v="264.61"/>
  </r>
  <r>
    <d v="2014-09-24T00:00:00"/>
    <x v="0"/>
    <x v="8"/>
    <x v="0"/>
    <x v="1"/>
    <x v="0"/>
    <x v="4"/>
    <s v="Executive Chair"/>
    <n v="3896.43"/>
    <n v="7"/>
    <n v="152.04"/>
  </r>
  <r>
    <d v="2014-09-24T00:00:00"/>
    <x v="0"/>
    <x v="8"/>
    <x v="10"/>
    <x v="0"/>
    <x v="1"/>
    <x v="9"/>
    <s v="Binder Pack"/>
    <n v="1465.4"/>
    <n v="1"/>
    <n v="232.81"/>
  </r>
  <r>
    <d v="2014-09-25T00:00:00"/>
    <x v="0"/>
    <x v="8"/>
    <x v="3"/>
    <x v="4"/>
    <x v="2"/>
    <x v="3"/>
    <s v="IP Phone"/>
    <n v="1091.8"/>
    <n v="3"/>
    <n v="45.42"/>
  </r>
  <r>
    <d v="2014-09-25T00:00:00"/>
    <x v="0"/>
    <x v="8"/>
    <x v="6"/>
    <x v="8"/>
    <x v="0"/>
    <x v="0"/>
    <s v="Wall Decor"/>
    <n v="800.26"/>
    <n v="4"/>
    <n v="158.97"/>
  </r>
  <r>
    <d v="2014-09-26T00:00:00"/>
    <x v="0"/>
    <x v="8"/>
    <x v="2"/>
    <x v="8"/>
    <x v="2"/>
    <x v="6"/>
    <s v="Laser Copier"/>
    <n v="1234.1099999999999"/>
    <n v="4"/>
    <n v="219.59"/>
  </r>
  <r>
    <d v="2014-09-26T00:00:00"/>
    <x v="0"/>
    <x v="8"/>
    <x v="11"/>
    <x v="6"/>
    <x v="1"/>
    <x v="1"/>
    <s v="Air Cleaner"/>
    <n v="2982.61"/>
    <n v="2"/>
    <n v="542.52"/>
  </r>
  <r>
    <d v="2014-09-26T00:00:00"/>
    <x v="0"/>
    <x v="8"/>
    <x v="3"/>
    <x v="3"/>
    <x v="2"/>
    <x v="3"/>
    <s v="IP Phone"/>
    <n v="2524.25"/>
    <n v="2"/>
    <n v="239.77"/>
  </r>
  <r>
    <d v="2014-09-26T00:00:00"/>
    <x v="0"/>
    <x v="8"/>
    <x v="7"/>
    <x v="7"/>
    <x v="0"/>
    <x v="2"/>
    <s v="Study Table"/>
    <n v="1148.9000000000001"/>
    <n v="2"/>
    <n v="57.77"/>
  </r>
  <r>
    <d v="2014-09-26T00:00:00"/>
    <x v="0"/>
    <x v="8"/>
    <x v="3"/>
    <x v="6"/>
    <x v="0"/>
    <x v="0"/>
    <s v="Wall Decor"/>
    <n v="4754.08"/>
    <n v="9"/>
    <n v="319.27"/>
  </r>
  <r>
    <d v="2014-09-27T00:00:00"/>
    <x v="0"/>
    <x v="8"/>
    <x v="8"/>
    <x v="2"/>
    <x v="2"/>
    <x v="5"/>
    <s v="Mouse"/>
    <n v="4966.26"/>
    <n v="10"/>
    <n v="15.69"/>
  </r>
  <r>
    <d v="2014-09-27T00:00:00"/>
    <x v="0"/>
    <x v="8"/>
    <x v="0"/>
    <x v="4"/>
    <x v="1"/>
    <x v="8"/>
    <s v="Printer Paper"/>
    <n v="2856.32"/>
    <n v="2"/>
    <n v="698.84"/>
  </r>
  <r>
    <d v="2014-09-27T00:00:00"/>
    <x v="0"/>
    <x v="8"/>
    <x v="10"/>
    <x v="9"/>
    <x v="2"/>
    <x v="5"/>
    <s v="Keyboard"/>
    <n v="1186.01"/>
    <n v="7"/>
    <n v="6.72"/>
  </r>
  <r>
    <d v="2014-09-28T00:00:00"/>
    <x v="0"/>
    <x v="8"/>
    <x v="1"/>
    <x v="6"/>
    <x v="2"/>
    <x v="6"/>
    <s v="Laser Copier"/>
    <n v="1312.62"/>
    <n v="7"/>
    <n v="9.32"/>
  </r>
  <r>
    <d v="2014-09-28T00:00:00"/>
    <x v="0"/>
    <x v="8"/>
    <x v="0"/>
    <x v="4"/>
    <x v="0"/>
    <x v="10"/>
    <s v="Metal Bookcase"/>
    <n v="3068.62"/>
    <n v="6"/>
    <n v="913.45"/>
  </r>
  <r>
    <d v="2014-09-28T00:00:00"/>
    <x v="0"/>
    <x v="8"/>
    <x v="10"/>
    <x v="7"/>
    <x v="1"/>
    <x v="11"/>
    <s v="Drawer Unit"/>
    <n v="4532.8900000000003"/>
    <n v="5"/>
    <n v="397.58"/>
  </r>
  <r>
    <d v="2014-09-29T00:00:00"/>
    <x v="0"/>
    <x v="8"/>
    <x v="0"/>
    <x v="4"/>
    <x v="1"/>
    <x v="1"/>
    <s v="Air Cleaner"/>
    <n v="4380.51"/>
    <n v="9"/>
    <n v="546.52"/>
  </r>
  <r>
    <d v="2014-09-30T00:00:00"/>
    <x v="0"/>
    <x v="8"/>
    <x v="6"/>
    <x v="8"/>
    <x v="0"/>
    <x v="0"/>
    <s v="Desk Lamp"/>
    <n v="961.94"/>
    <n v="10"/>
    <n v="227.64"/>
  </r>
  <r>
    <d v="2014-10-01T00:00:00"/>
    <x v="0"/>
    <x v="9"/>
    <x v="8"/>
    <x v="3"/>
    <x v="0"/>
    <x v="2"/>
    <s v="Study Table"/>
    <n v="1145.1099999999999"/>
    <n v="8"/>
    <n v="335.05"/>
  </r>
  <r>
    <d v="2014-10-02T00:00:00"/>
    <x v="0"/>
    <x v="9"/>
    <x v="11"/>
    <x v="3"/>
    <x v="2"/>
    <x v="3"/>
    <s v="Smartphone"/>
    <n v="1969.16"/>
    <n v="9"/>
    <n v="169.8"/>
  </r>
  <r>
    <d v="2014-10-02T00:00:00"/>
    <x v="0"/>
    <x v="9"/>
    <x v="8"/>
    <x v="3"/>
    <x v="2"/>
    <x v="3"/>
    <s v="IP Phone"/>
    <n v="1240.49"/>
    <n v="3"/>
    <n v="92.64"/>
  </r>
  <r>
    <d v="2014-10-03T00:00:00"/>
    <x v="0"/>
    <x v="9"/>
    <x v="9"/>
    <x v="1"/>
    <x v="0"/>
    <x v="4"/>
    <s v="Executive Chair"/>
    <n v="2440.2800000000002"/>
    <n v="4"/>
    <n v="601.66"/>
  </r>
  <r>
    <d v="2014-10-04T00:00:00"/>
    <x v="0"/>
    <x v="9"/>
    <x v="1"/>
    <x v="0"/>
    <x v="1"/>
    <x v="8"/>
    <s v="Printer Paper"/>
    <n v="2470.73"/>
    <n v="6"/>
    <n v="149.75"/>
  </r>
  <r>
    <d v="2014-10-04T00:00:00"/>
    <x v="0"/>
    <x v="9"/>
    <x v="10"/>
    <x v="4"/>
    <x v="0"/>
    <x v="10"/>
    <s v="Wooden Bookcase"/>
    <n v="1698.46"/>
    <n v="2"/>
    <n v="98.35"/>
  </r>
  <r>
    <d v="2014-10-05T00:00:00"/>
    <x v="0"/>
    <x v="9"/>
    <x v="3"/>
    <x v="6"/>
    <x v="2"/>
    <x v="6"/>
    <s v="Laser Copier"/>
    <n v="2164.31"/>
    <n v="8"/>
    <n v="292.44"/>
  </r>
  <r>
    <d v="2014-10-05T00:00:00"/>
    <x v="0"/>
    <x v="9"/>
    <x v="7"/>
    <x v="4"/>
    <x v="1"/>
    <x v="8"/>
    <s v="A4 Paper Pack"/>
    <n v="2569.46"/>
    <n v="3"/>
    <n v="114.7"/>
  </r>
  <r>
    <d v="2014-10-05T00:00:00"/>
    <x v="0"/>
    <x v="9"/>
    <x v="1"/>
    <x v="6"/>
    <x v="0"/>
    <x v="2"/>
    <s v="Conference Table"/>
    <n v="1885.19"/>
    <n v="9"/>
    <n v="469.37"/>
  </r>
  <r>
    <d v="2014-10-06T00:00:00"/>
    <x v="0"/>
    <x v="9"/>
    <x v="2"/>
    <x v="8"/>
    <x v="2"/>
    <x v="6"/>
    <s v="Inkjet Copier"/>
    <n v="554.1"/>
    <n v="8"/>
    <n v="51.13"/>
  </r>
  <r>
    <d v="2014-10-07T00:00:00"/>
    <x v="0"/>
    <x v="9"/>
    <x v="1"/>
    <x v="7"/>
    <x v="1"/>
    <x v="7"/>
    <s v="Color Set"/>
    <n v="3186.92"/>
    <n v="6"/>
    <n v="708.86"/>
  </r>
  <r>
    <d v="2014-10-08T00:00:00"/>
    <x v="0"/>
    <x v="9"/>
    <x v="7"/>
    <x v="7"/>
    <x v="2"/>
    <x v="6"/>
    <s v="Inkjet Copier"/>
    <n v="3517.33"/>
    <n v="1"/>
    <n v="928.16"/>
  </r>
  <r>
    <d v="2014-10-10T00:00:00"/>
    <x v="0"/>
    <x v="9"/>
    <x v="4"/>
    <x v="7"/>
    <x v="1"/>
    <x v="11"/>
    <s v="Storage Box"/>
    <n v="503.49"/>
    <n v="9"/>
    <n v="122.83"/>
  </r>
  <r>
    <d v="2014-10-10T00:00:00"/>
    <x v="0"/>
    <x v="9"/>
    <x v="10"/>
    <x v="8"/>
    <x v="0"/>
    <x v="10"/>
    <s v="Metal Bookcase"/>
    <n v="3137.43"/>
    <n v="9"/>
    <n v="19.989999999999998"/>
  </r>
  <r>
    <d v="2014-10-10T00:00:00"/>
    <x v="0"/>
    <x v="9"/>
    <x v="5"/>
    <x v="5"/>
    <x v="2"/>
    <x v="5"/>
    <s v="Keyboard"/>
    <n v="2885.21"/>
    <n v="8"/>
    <n v="464.1"/>
  </r>
  <r>
    <d v="2014-10-11T00:00:00"/>
    <x v="0"/>
    <x v="9"/>
    <x v="5"/>
    <x v="1"/>
    <x v="1"/>
    <x v="1"/>
    <s v="Heater"/>
    <n v="217.89"/>
    <n v="10"/>
    <n v="38.880000000000003"/>
  </r>
  <r>
    <d v="2014-10-12T00:00:00"/>
    <x v="0"/>
    <x v="9"/>
    <x v="0"/>
    <x v="3"/>
    <x v="0"/>
    <x v="4"/>
    <s v="Ergonomic Chair"/>
    <n v="64.63"/>
    <n v="5"/>
    <n v="10.3"/>
  </r>
  <r>
    <d v="2014-10-12T00:00:00"/>
    <x v="0"/>
    <x v="9"/>
    <x v="4"/>
    <x v="8"/>
    <x v="1"/>
    <x v="1"/>
    <s v="Air Cleaner"/>
    <n v="4614.3900000000003"/>
    <n v="2"/>
    <n v="232.52"/>
  </r>
  <r>
    <d v="2014-10-12T00:00:00"/>
    <x v="0"/>
    <x v="9"/>
    <x v="6"/>
    <x v="2"/>
    <x v="1"/>
    <x v="7"/>
    <s v="Color Set"/>
    <n v="3128.46"/>
    <n v="7"/>
    <n v="197.85"/>
  </r>
  <r>
    <d v="2014-10-13T00:00:00"/>
    <x v="0"/>
    <x v="9"/>
    <x v="6"/>
    <x v="2"/>
    <x v="1"/>
    <x v="1"/>
    <s v="Air Cleaner"/>
    <n v="3658.07"/>
    <n v="1"/>
    <n v="988.19"/>
  </r>
  <r>
    <d v="2014-10-13T00:00:00"/>
    <x v="0"/>
    <x v="9"/>
    <x v="0"/>
    <x v="8"/>
    <x v="2"/>
    <x v="6"/>
    <s v="Laser Copier"/>
    <n v="4383.5200000000004"/>
    <n v="2"/>
    <n v="133.46"/>
  </r>
  <r>
    <d v="2014-10-13T00:00:00"/>
    <x v="0"/>
    <x v="9"/>
    <x v="11"/>
    <x v="0"/>
    <x v="2"/>
    <x v="3"/>
    <s v="Smartphone"/>
    <n v="4158.53"/>
    <n v="2"/>
    <n v="740.3"/>
  </r>
  <r>
    <d v="2014-10-14T00:00:00"/>
    <x v="0"/>
    <x v="9"/>
    <x v="11"/>
    <x v="9"/>
    <x v="2"/>
    <x v="3"/>
    <s v="IP Phone"/>
    <n v="1456.24"/>
    <n v="6"/>
    <n v="344.06"/>
  </r>
  <r>
    <d v="2014-10-14T00:00:00"/>
    <x v="0"/>
    <x v="9"/>
    <x v="8"/>
    <x v="7"/>
    <x v="0"/>
    <x v="10"/>
    <s v="Metal Bookcase"/>
    <n v="668.61"/>
    <n v="6"/>
    <n v="60.43"/>
  </r>
  <r>
    <d v="2014-10-15T00:00:00"/>
    <x v="0"/>
    <x v="9"/>
    <x v="11"/>
    <x v="1"/>
    <x v="0"/>
    <x v="4"/>
    <s v="Office Chair"/>
    <n v="1407.99"/>
    <n v="3"/>
    <n v="262.39"/>
  </r>
  <r>
    <d v="2014-10-15T00:00:00"/>
    <x v="0"/>
    <x v="9"/>
    <x v="7"/>
    <x v="9"/>
    <x v="0"/>
    <x v="2"/>
    <s v="Study Table"/>
    <n v="45.84"/>
    <n v="9"/>
    <n v="10.99"/>
  </r>
  <r>
    <d v="2014-10-16T00:00:00"/>
    <x v="0"/>
    <x v="9"/>
    <x v="10"/>
    <x v="1"/>
    <x v="1"/>
    <x v="11"/>
    <s v="Storage Box"/>
    <n v="4745.9799999999996"/>
    <n v="4"/>
    <n v="386.03"/>
  </r>
  <r>
    <d v="2014-10-16T00:00:00"/>
    <x v="0"/>
    <x v="9"/>
    <x v="2"/>
    <x v="6"/>
    <x v="1"/>
    <x v="1"/>
    <s v="Air Cleaner"/>
    <n v="1272.01"/>
    <n v="2"/>
    <n v="362.35"/>
  </r>
  <r>
    <d v="2014-10-17T00:00:00"/>
    <x v="0"/>
    <x v="9"/>
    <x v="5"/>
    <x v="0"/>
    <x v="0"/>
    <x v="10"/>
    <s v="Metal Bookcase"/>
    <n v="3762.22"/>
    <n v="2"/>
    <n v="792.54"/>
  </r>
  <r>
    <d v="2014-10-18T00:00:00"/>
    <x v="0"/>
    <x v="9"/>
    <x v="8"/>
    <x v="3"/>
    <x v="1"/>
    <x v="8"/>
    <s v="Printer Paper"/>
    <n v="1510.24"/>
    <n v="7"/>
    <n v="279.08999999999997"/>
  </r>
  <r>
    <d v="2014-10-19T00:00:00"/>
    <x v="0"/>
    <x v="9"/>
    <x v="11"/>
    <x v="1"/>
    <x v="1"/>
    <x v="1"/>
    <s v="Heater"/>
    <n v="4429.55"/>
    <n v="1"/>
    <n v="534.1"/>
  </r>
  <r>
    <d v="2014-10-20T00:00:00"/>
    <x v="0"/>
    <x v="9"/>
    <x v="3"/>
    <x v="2"/>
    <x v="2"/>
    <x v="5"/>
    <s v="USB Drive"/>
    <n v="4299.55"/>
    <n v="8"/>
    <n v="833.3"/>
  </r>
  <r>
    <d v="2014-10-20T00:00:00"/>
    <x v="0"/>
    <x v="9"/>
    <x v="11"/>
    <x v="8"/>
    <x v="0"/>
    <x v="2"/>
    <s v="Conference Table"/>
    <n v="2878.51"/>
    <n v="8"/>
    <n v="532.04999999999995"/>
  </r>
  <r>
    <d v="2014-10-21T00:00:00"/>
    <x v="0"/>
    <x v="9"/>
    <x v="5"/>
    <x v="1"/>
    <x v="0"/>
    <x v="0"/>
    <s v="Desk Lamp"/>
    <n v="3617.54"/>
    <n v="6"/>
    <n v="729.35"/>
  </r>
  <r>
    <d v="2014-10-21T00:00:00"/>
    <x v="0"/>
    <x v="9"/>
    <x v="4"/>
    <x v="3"/>
    <x v="2"/>
    <x v="3"/>
    <s v="IP Phone"/>
    <n v="2980.05"/>
    <n v="9"/>
    <n v="845.74"/>
  </r>
  <r>
    <d v="2014-10-22T00:00:00"/>
    <x v="0"/>
    <x v="9"/>
    <x v="9"/>
    <x v="5"/>
    <x v="0"/>
    <x v="4"/>
    <s v="Office Chair"/>
    <n v="2474.3000000000002"/>
    <n v="5"/>
    <n v="641.85"/>
  </r>
  <r>
    <d v="2014-10-23T00:00:00"/>
    <x v="0"/>
    <x v="9"/>
    <x v="2"/>
    <x v="1"/>
    <x v="0"/>
    <x v="2"/>
    <s v="Study Table"/>
    <n v="462.9"/>
    <n v="9"/>
    <n v="107.22"/>
  </r>
  <r>
    <d v="2014-10-24T00:00:00"/>
    <x v="0"/>
    <x v="9"/>
    <x v="11"/>
    <x v="6"/>
    <x v="0"/>
    <x v="2"/>
    <s v="Conference Table"/>
    <n v="2300.94"/>
    <n v="8"/>
    <n v="662.67"/>
  </r>
  <r>
    <d v="2014-10-24T00:00:00"/>
    <x v="0"/>
    <x v="9"/>
    <x v="8"/>
    <x v="4"/>
    <x v="1"/>
    <x v="8"/>
    <s v="A4 Paper Pack"/>
    <n v="3037.98"/>
    <n v="5"/>
    <n v="499.04"/>
  </r>
  <r>
    <d v="2014-10-25T00:00:00"/>
    <x v="0"/>
    <x v="9"/>
    <x v="4"/>
    <x v="8"/>
    <x v="2"/>
    <x v="5"/>
    <s v="Mouse"/>
    <n v="2124.33"/>
    <n v="10"/>
    <n v="628.20000000000005"/>
  </r>
  <r>
    <d v="2014-10-25T00:00:00"/>
    <x v="0"/>
    <x v="9"/>
    <x v="2"/>
    <x v="0"/>
    <x v="2"/>
    <x v="3"/>
    <s v="Smartphone"/>
    <n v="3738.59"/>
    <n v="4"/>
    <n v="891.05"/>
  </r>
  <r>
    <d v="2014-10-25T00:00:00"/>
    <x v="0"/>
    <x v="9"/>
    <x v="5"/>
    <x v="6"/>
    <x v="1"/>
    <x v="9"/>
    <s v="Binder Pack"/>
    <n v="3073.37"/>
    <n v="10"/>
    <n v="875.06"/>
  </r>
  <r>
    <d v="2014-10-26T00:00:00"/>
    <x v="0"/>
    <x v="9"/>
    <x v="6"/>
    <x v="1"/>
    <x v="0"/>
    <x v="4"/>
    <s v="Executive Chair"/>
    <n v="3629.3"/>
    <n v="1"/>
    <n v="464.42"/>
  </r>
  <r>
    <d v="2014-10-27T00:00:00"/>
    <x v="0"/>
    <x v="9"/>
    <x v="4"/>
    <x v="4"/>
    <x v="0"/>
    <x v="10"/>
    <s v="Wooden Bookcase"/>
    <n v="4278.74"/>
    <n v="6"/>
    <n v="965.76"/>
  </r>
  <r>
    <d v="2014-10-27T00:00:00"/>
    <x v="0"/>
    <x v="9"/>
    <x v="2"/>
    <x v="6"/>
    <x v="2"/>
    <x v="6"/>
    <s v="Laser Copier"/>
    <n v="3520.19"/>
    <n v="4"/>
    <n v="546.89"/>
  </r>
  <r>
    <d v="2014-10-27T00:00:00"/>
    <x v="0"/>
    <x v="9"/>
    <x v="4"/>
    <x v="5"/>
    <x v="1"/>
    <x v="7"/>
    <s v="Color Set"/>
    <n v="2768.49"/>
    <n v="3"/>
    <n v="62.03"/>
  </r>
  <r>
    <d v="2014-10-27T00:00:00"/>
    <x v="0"/>
    <x v="9"/>
    <x v="1"/>
    <x v="8"/>
    <x v="2"/>
    <x v="6"/>
    <s v="Inkjet Copier"/>
    <n v="4768.1400000000003"/>
    <n v="9"/>
    <n v="1344.99"/>
  </r>
  <r>
    <d v="2014-10-27T00:00:00"/>
    <x v="0"/>
    <x v="9"/>
    <x v="5"/>
    <x v="5"/>
    <x v="2"/>
    <x v="5"/>
    <s v="USB Drive"/>
    <n v="1010.75"/>
    <n v="1"/>
    <n v="158.02000000000001"/>
  </r>
  <r>
    <d v="2014-10-27T00:00:00"/>
    <x v="0"/>
    <x v="9"/>
    <x v="7"/>
    <x v="1"/>
    <x v="1"/>
    <x v="11"/>
    <s v="Drawer Unit"/>
    <n v="3265.81"/>
    <n v="6"/>
    <n v="175.67"/>
  </r>
  <r>
    <d v="2014-10-28T00:00:00"/>
    <x v="0"/>
    <x v="9"/>
    <x v="4"/>
    <x v="9"/>
    <x v="1"/>
    <x v="8"/>
    <s v="A4 Paper Pack"/>
    <n v="4817.8999999999996"/>
    <n v="2"/>
    <n v="956.37"/>
  </r>
  <r>
    <d v="2014-10-28T00:00:00"/>
    <x v="0"/>
    <x v="9"/>
    <x v="0"/>
    <x v="6"/>
    <x v="0"/>
    <x v="4"/>
    <s v="Executive Chair"/>
    <n v="1673.48"/>
    <n v="7"/>
    <n v="275.52"/>
  </r>
  <r>
    <d v="2014-10-31T00:00:00"/>
    <x v="0"/>
    <x v="9"/>
    <x v="0"/>
    <x v="1"/>
    <x v="0"/>
    <x v="4"/>
    <s v="Executive Chair"/>
    <n v="3844.85"/>
    <n v="5"/>
    <n v="337.62"/>
  </r>
  <r>
    <d v="2014-11-01T00:00:00"/>
    <x v="0"/>
    <x v="10"/>
    <x v="7"/>
    <x v="2"/>
    <x v="2"/>
    <x v="3"/>
    <s v="Smartphone"/>
    <n v="431.47"/>
    <n v="9"/>
    <n v="71.290000000000006"/>
  </r>
  <r>
    <d v="2014-11-01T00:00:00"/>
    <x v="0"/>
    <x v="10"/>
    <x v="7"/>
    <x v="6"/>
    <x v="2"/>
    <x v="6"/>
    <s v="Inkjet Copier"/>
    <n v="3759.12"/>
    <n v="7"/>
    <n v="500.67"/>
  </r>
  <r>
    <d v="2014-11-02T00:00:00"/>
    <x v="0"/>
    <x v="10"/>
    <x v="7"/>
    <x v="8"/>
    <x v="0"/>
    <x v="2"/>
    <s v="Conference Table"/>
    <n v="4322.01"/>
    <n v="10"/>
    <n v="23.14"/>
  </r>
  <r>
    <d v="2014-11-02T00:00:00"/>
    <x v="0"/>
    <x v="10"/>
    <x v="11"/>
    <x v="4"/>
    <x v="1"/>
    <x v="8"/>
    <s v="Printer Paper"/>
    <n v="1563.23"/>
    <n v="9"/>
    <n v="239.4"/>
  </r>
  <r>
    <d v="2014-11-03T00:00:00"/>
    <x v="0"/>
    <x v="10"/>
    <x v="5"/>
    <x v="8"/>
    <x v="2"/>
    <x v="6"/>
    <s v="Laser Copier"/>
    <n v="3838.29"/>
    <n v="2"/>
    <n v="657.04"/>
  </r>
  <r>
    <d v="2014-11-03T00:00:00"/>
    <x v="0"/>
    <x v="10"/>
    <x v="9"/>
    <x v="2"/>
    <x v="1"/>
    <x v="9"/>
    <s v="Ring Binder"/>
    <n v="4085.38"/>
    <n v="8"/>
    <n v="195.39"/>
  </r>
  <r>
    <d v="2014-11-03T00:00:00"/>
    <x v="0"/>
    <x v="10"/>
    <x v="8"/>
    <x v="2"/>
    <x v="0"/>
    <x v="0"/>
    <s v="Desk Lamp"/>
    <n v="4772.8100000000004"/>
    <n v="6"/>
    <n v="672.85"/>
  </r>
  <r>
    <d v="2014-11-03T00:00:00"/>
    <x v="0"/>
    <x v="10"/>
    <x v="1"/>
    <x v="6"/>
    <x v="0"/>
    <x v="4"/>
    <s v="Ergonomic Chair"/>
    <n v="1989.74"/>
    <n v="3"/>
    <n v="199.13"/>
  </r>
  <r>
    <d v="2014-11-04T00:00:00"/>
    <x v="0"/>
    <x v="10"/>
    <x v="10"/>
    <x v="7"/>
    <x v="1"/>
    <x v="7"/>
    <s v="Color Set"/>
    <n v="4106.49"/>
    <n v="10"/>
    <n v="1192.52"/>
  </r>
  <r>
    <d v="2014-11-04T00:00:00"/>
    <x v="0"/>
    <x v="10"/>
    <x v="6"/>
    <x v="6"/>
    <x v="1"/>
    <x v="9"/>
    <s v="Ring Binder"/>
    <n v="3030.74"/>
    <n v="6"/>
    <n v="642.29999999999995"/>
  </r>
  <r>
    <d v="2014-11-05T00:00:00"/>
    <x v="0"/>
    <x v="10"/>
    <x v="4"/>
    <x v="6"/>
    <x v="2"/>
    <x v="3"/>
    <s v="IP Phone"/>
    <n v="2355.16"/>
    <n v="1"/>
    <n v="704.32"/>
  </r>
  <r>
    <d v="2014-11-07T00:00:00"/>
    <x v="0"/>
    <x v="10"/>
    <x v="11"/>
    <x v="5"/>
    <x v="0"/>
    <x v="0"/>
    <s v="Desk Lamp"/>
    <n v="3575.97"/>
    <n v="4"/>
    <n v="356.12"/>
  </r>
  <r>
    <d v="2014-11-07T00:00:00"/>
    <x v="0"/>
    <x v="10"/>
    <x v="7"/>
    <x v="4"/>
    <x v="2"/>
    <x v="6"/>
    <s v="Laser Copier"/>
    <n v="3833.62"/>
    <n v="9"/>
    <n v="399.88"/>
  </r>
  <r>
    <d v="2014-11-07T00:00:00"/>
    <x v="0"/>
    <x v="10"/>
    <x v="3"/>
    <x v="7"/>
    <x v="0"/>
    <x v="0"/>
    <s v="Wall Decor"/>
    <n v="4139.32"/>
    <n v="3"/>
    <n v="798.52"/>
  </r>
  <r>
    <d v="2014-11-09T00:00:00"/>
    <x v="0"/>
    <x v="10"/>
    <x v="10"/>
    <x v="7"/>
    <x v="1"/>
    <x v="9"/>
    <s v="Ring Binder"/>
    <n v="2707.03"/>
    <n v="9"/>
    <n v="211.54"/>
  </r>
  <r>
    <d v="2014-11-11T00:00:00"/>
    <x v="0"/>
    <x v="10"/>
    <x v="6"/>
    <x v="2"/>
    <x v="2"/>
    <x v="3"/>
    <s v="Smartphone"/>
    <n v="2042.74"/>
    <n v="1"/>
    <n v="375.74"/>
  </r>
  <r>
    <d v="2014-11-12T00:00:00"/>
    <x v="0"/>
    <x v="10"/>
    <x v="7"/>
    <x v="8"/>
    <x v="1"/>
    <x v="11"/>
    <s v="Storage Box"/>
    <n v="1535.71"/>
    <n v="8"/>
    <n v="19.309999999999999"/>
  </r>
  <r>
    <d v="2014-11-12T00:00:00"/>
    <x v="0"/>
    <x v="10"/>
    <x v="9"/>
    <x v="8"/>
    <x v="0"/>
    <x v="10"/>
    <s v="Wooden Bookcase"/>
    <n v="3858.02"/>
    <n v="6"/>
    <n v="600.14"/>
  </r>
  <r>
    <d v="2014-11-12T00:00:00"/>
    <x v="0"/>
    <x v="10"/>
    <x v="6"/>
    <x v="2"/>
    <x v="2"/>
    <x v="3"/>
    <s v="IP Phone"/>
    <n v="4924.9799999999996"/>
    <n v="4"/>
    <n v="542.91999999999996"/>
  </r>
  <r>
    <d v="2014-11-12T00:00:00"/>
    <x v="0"/>
    <x v="10"/>
    <x v="10"/>
    <x v="6"/>
    <x v="0"/>
    <x v="4"/>
    <s v="Executive Chair"/>
    <n v="3117.22"/>
    <n v="4"/>
    <n v="289.10000000000002"/>
  </r>
  <r>
    <d v="2014-11-13T00:00:00"/>
    <x v="0"/>
    <x v="10"/>
    <x v="2"/>
    <x v="2"/>
    <x v="1"/>
    <x v="8"/>
    <s v="Printer Paper"/>
    <n v="192.14"/>
    <n v="2"/>
    <n v="4.0599999999999996"/>
  </r>
  <r>
    <d v="2014-11-14T00:00:00"/>
    <x v="0"/>
    <x v="10"/>
    <x v="3"/>
    <x v="5"/>
    <x v="2"/>
    <x v="3"/>
    <s v="IP Phone"/>
    <n v="4251.92"/>
    <n v="1"/>
    <n v="466.57"/>
  </r>
  <r>
    <d v="2014-11-15T00:00:00"/>
    <x v="0"/>
    <x v="10"/>
    <x v="8"/>
    <x v="5"/>
    <x v="0"/>
    <x v="4"/>
    <s v="Ergonomic Chair"/>
    <n v="351.11"/>
    <n v="4"/>
    <n v="14.36"/>
  </r>
  <r>
    <d v="2014-11-16T00:00:00"/>
    <x v="0"/>
    <x v="10"/>
    <x v="8"/>
    <x v="4"/>
    <x v="1"/>
    <x v="11"/>
    <s v="Storage Box"/>
    <n v="3147.67"/>
    <n v="8"/>
    <n v="705.64"/>
  </r>
  <r>
    <d v="2014-11-16T00:00:00"/>
    <x v="0"/>
    <x v="10"/>
    <x v="8"/>
    <x v="0"/>
    <x v="0"/>
    <x v="2"/>
    <s v="Study Table"/>
    <n v="4614.2"/>
    <n v="3"/>
    <n v="745.3"/>
  </r>
  <r>
    <d v="2014-11-16T00:00:00"/>
    <x v="0"/>
    <x v="10"/>
    <x v="8"/>
    <x v="6"/>
    <x v="2"/>
    <x v="6"/>
    <s v="Inkjet Copier"/>
    <n v="4835.8100000000004"/>
    <n v="3"/>
    <n v="1262.82"/>
  </r>
  <r>
    <d v="2014-11-18T00:00:00"/>
    <x v="0"/>
    <x v="10"/>
    <x v="9"/>
    <x v="3"/>
    <x v="2"/>
    <x v="5"/>
    <s v="Keyboard"/>
    <n v="3049.17"/>
    <n v="10"/>
    <n v="39.5"/>
  </r>
  <r>
    <d v="2014-11-18T00:00:00"/>
    <x v="0"/>
    <x v="10"/>
    <x v="5"/>
    <x v="9"/>
    <x v="2"/>
    <x v="3"/>
    <s v="Smartphone"/>
    <n v="1372.25"/>
    <n v="5"/>
    <n v="352.12"/>
  </r>
  <r>
    <d v="2014-11-19T00:00:00"/>
    <x v="0"/>
    <x v="10"/>
    <x v="9"/>
    <x v="6"/>
    <x v="2"/>
    <x v="3"/>
    <s v="Smartphone"/>
    <n v="401.85"/>
    <n v="1"/>
    <n v="85.81"/>
  </r>
  <r>
    <d v="2014-11-19T00:00:00"/>
    <x v="0"/>
    <x v="10"/>
    <x v="4"/>
    <x v="2"/>
    <x v="1"/>
    <x v="9"/>
    <s v="Binder Pack"/>
    <n v="3987.19"/>
    <n v="7"/>
    <n v="190.91"/>
  </r>
  <r>
    <d v="2014-11-20T00:00:00"/>
    <x v="0"/>
    <x v="10"/>
    <x v="7"/>
    <x v="2"/>
    <x v="1"/>
    <x v="11"/>
    <s v="Storage Box"/>
    <n v="4374.7299999999996"/>
    <n v="9"/>
    <n v="42.09"/>
  </r>
  <r>
    <d v="2014-11-20T00:00:00"/>
    <x v="0"/>
    <x v="10"/>
    <x v="9"/>
    <x v="9"/>
    <x v="1"/>
    <x v="9"/>
    <s v="Ring Binder"/>
    <n v="75.58"/>
    <n v="7"/>
    <n v="11.28"/>
  </r>
  <r>
    <d v="2014-11-20T00:00:00"/>
    <x v="0"/>
    <x v="10"/>
    <x v="0"/>
    <x v="5"/>
    <x v="0"/>
    <x v="4"/>
    <s v="Office Chair"/>
    <n v="1903.3"/>
    <n v="4"/>
    <n v="488.32"/>
  </r>
  <r>
    <d v="2014-11-21T00:00:00"/>
    <x v="0"/>
    <x v="10"/>
    <x v="2"/>
    <x v="6"/>
    <x v="1"/>
    <x v="8"/>
    <s v="A4 Paper Pack"/>
    <n v="3901.99"/>
    <n v="8"/>
    <n v="870.89"/>
  </r>
  <r>
    <d v="2014-11-21T00:00:00"/>
    <x v="0"/>
    <x v="10"/>
    <x v="2"/>
    <x v="6"/>
    <x v="2"/>
    <x v="5"/>
    <s v="USB Drive"/>
    <n v="1882.87"/>
    <n v="6"/>
    <n v="211.95"/>
  </r>
  <r>
    <d v="2014-11-21T00:00:00"/>
    <x v="0"/>
    <x v="10"/>
    <x v="1"/>
    <x v="0"/>
    <x v="1"/>
    <x v="11"/>
    <s v="Storage Box"/>
    <n v="1261.08"/>
    <n v="3"/>
    <n v="268.73"/>
  </r>
  <r>
    <d v="2014-11-22T00:00:00"/>
    <x v="0"/>
    <x v="10"/>
    <x v="10"/>
    <x v="6"/>
    <x v="2"/>
    <x v="6"/>
    <s v="Laser Copier"/>
    <n v="3714.48"/>
    <n v="10"/>
    <n v="1015.85"/>
  </r>
  <r>
    <d v="2014-11-22T00:00:00"/>
    <x v="0"/>
    <x v="10"/>
    <x v="8"/>
    <x v="3"/>
    <x v="1"/>
    <x v="9"/>
    <s v="Binder Pack"/>
    <n v="3459.19"/>
    <n v="8"/>
    <n v="80.400000000000006"/>
  </r>
  <r>
    <d v="2014-11-22T00:00:00"/>
    <x v="0"/>
    <x v="10"/>
    <x v="7"/>
    <x v="3"/>
    <x v="1"/>
    <x v="9"/>
    <s v="Binder Pack"/>
    <n v="1953.31"/>
    <n v="7"/>
    <n v="393.63"/>
  </r>
  <r>
    <d v="2014-11-23T00:00:00"/>
    <x v="0"/>
    <x v="10"/>
    <x v="6"/>
    <x v="5"/>
    <x v="2"/>
    <x v="3"/>
    <s v="IP Phone"/>
    <n v="900.8"/>
    <n v="9"/>
    <n v="121.85"/>
  </r>
  <r>
    <d v="2014-11-23T00:00:00"/>
    <x v="0"/>
    <x v="10"/>
    <x v="4"/>
    <x v="0"/>
    <x v="1"/>
    <x v="7"/>
    <s v="Color Set"/>
    <n v="1250.93"/>
    <n v="9"/>
    <n v="321.3"/>
  </r>
  <r>
    <d v="2014-11-24T00:00:00"/>
    <x v="0"/>
    <x v="10"/>
    <x v="7"/>
    <x v="6"/>
    <x v="2"/>
    <x v="5"/>
    <s v="Mouse"/>
    <n v="913.35"/>
    <n v="4"/>
    <n v="243.06"/>
  </r>
  <r>
    <d v="2014-11-24T00:00:00"/>
    <x v="0"/>
    <x v="10"/>
    <x v="5"/>
    <x v="9"/>
    <x v="0"/>
    <x v="4"/>
    <s v="Executive Chair"/>
    <n v="634.11"/>
    <n v="6"/>
    <n v="146.79"/>
  </r>
  <r>
    <d v="2014-11-25T00:00:00"/>
    <x v="0"/>
    <x v="10"/>
    <x v="6"/>
    <x v="1"/>
    <x v="1"/>
    <x v="8"/>
    <s v="Printer Paper"/>
    <n v="4048.33"/>
    <n v="10"/>
    <n v="1046.3699999999999"/>
  </r>
  <r>
    <d v="2014-11-25T00:00:00"/>
    <x v="0"/>
    <x v="10"/>
    <x v="11"/>
    <x v="6"/>
    <x v="2"/>
    <x v="3"/>
    <s v="IP Phone"/>
    <n v="3909.84"/>
    <n v="2"/>
    <n v="596"/>
  </r>
  <r>
    <d v="2014-11-27T00:00:00"/>
    <x v="0"/>
    <x v="10"/>
    <x v="5"/>
    <x v="0"/>
    <x v="2"/>
    <x v="3"/>
    <s v="Smartphone"/>
    <n v="519.36"/>
    <n v="4"/>
    <n v="16.29"/>
  </r>
  <r>
    <d v="2014-11-28T00:00:00"/>
    <x v="0"/>
    <x v="10"/>
    <x v="9"/>
    <x v="2"/>
    <x v="1"/>
    <x v="1"/>
    <s v="Air Cleaner"/>
    <n v="1516.28"/>
    <n v="8"/>
    <n v="32.24"/>
  </r>
  <r>
    <d v="2014-11-28T00:00:00"/>
    <x v="0"/>
    <x v="10"/>
    <x v="8"/>
    <x v="2"/>
    <x v="1"/>
    <x v="9"/>
    <s v="Binder Pack"/>
    <n v="2663.58"/>
    <n v="3"/>
    <n v="469.1"/>
  </r>
  <r>
    <d v="2014-11-28T00:00:00"/>
    <x v="0"/>
    <x v="10"/>
    <x v="9"/>
    <x v="3"/>
    <x v="0"/>
    <x v="10"/>
    <s v="Metal Bookcase"/>
    <n v="3949.36"/>
    <n v="9"/>
    <n v="713.18"/>
  </r>
  <r>
    <d v="2014-11-28T00:00:00"/>
    <x v="0"/>
    <x v="10"/>
    <x v="4"/>
    <x v="7"/>
    <x v="2"/>
    <x v="5"/>
    <s v="Mouse"/>
    <n v="635.54999999999995"/>
    <n v="5"/>
    <n v="157.13"/>
  </r>
  <r>
    <d v="2014-11-29T00:00:00"/>
    <x v="0"/>
    <x v="10"/>
    <x v="6"/>
    <x v="5"/>
    <x v="0"/>
    <x v="10"/>
    <s v="Metal Bookcase"/>
    <n v="2231.0500000000002"/>
    <n v="6"/>
    <n v="180.15"/>
  </r>
  <r>
    <d v="2014-11-30T00:00:00"/>
    <x v="0"/>
    <x v="10"/>
    <x v="10"/>
    <x v="4"/>
    <x v="1"/>
    <x v="9"/>
    <s v="Ring Binder"/>
    <n v="3261.82"/>
    <n v="9"/>
    <n v="292.72000000000003"/>
  </r>
  <r>
    <d v="2014-11-30T00:00:00"/>
    <x v="0"/>
    <x v="10"/>
    <x v="7"/>
    <x v="7"/>
    <x v="2"/>
    <x v="6"/>
    <s v="Laser Copier"/>
    <n v="1331.83"/>
    <n v="3"/>
    <n v="344.17"/>
  </r>
  <r>
    <d v="2014-11-30T00:00:00"/>
    <x v="0"/>
    <x v="10"/>
    <x v="2"/>
    <x v="2"/>
    <x v="1"/>
    <x v="8"/>
    <s v="Printer Paper"/>
    <n v="4332.4399999999996"/>
    <n v="5"/>
    <n v="1293.81"/>
  </r>
  <r>
    <d v="2014-11-30T00:00:00"/>
    <x v="0"/>
    <x v="10"/>
    <x v="4"/>
    <x v="7"/>
    <x v="2"/>
    <x v="3"/>
    <s v="IP Phone"/>
    <n v="4040.46"/>
    <n v="7"/>
    <n v="799.57"/>
  </r>
  <r>
    <d v="2014-12-01T00:00:00"/>
    <x v="0"/>
    <x v="11"/>
    <x v="7"/>
    <x v="2"/>
    <x v="2"/>
    <x v="6"/>
    <s v="Laser Copier"/>
    <n v="2061.7800000000002"/>
    <n v="7"/>
    <n v="218.3"/>
  </r>
  <r>
    <d v="2014-12-01T00:00:00"/>
    <x v="0"/>
    <x v="11"/>
    <x v="3"/>
    <x v="8"/>
    <x v="2"/>
    <x v="5"/>
    <s v="Mouse"/>
    <n v="764.06"/>
    <n v="8"/>
    <n v="117.61"/>
  </r>
  <r>
    <d v="2014-12-02T00:00:00"/>
    <x v="0"/>
    <x v="11"/>
    <x v="8"/>
    <x v="8"/>
    <x v="0"/>
    <x v="2"/>
    <s v="Conference Table"/>
    <n v="1134.03"/>
    <n v="5"/>
    <n v="318.12"/>
  </r>
  <r>
    <d v="2014-12-02T00:00:00"/>
    <x v="0"/>
    <x v="11"/>
    <x v="5"/>
    <x v="2"/>
    <x v="0"/>
    <x v="10"/>
    <s v="Metal Bookcase"/>
    <n v="2805.13"/>
    <n v="4"/>
    <n v="630.11"/>
  </r>
  <r>
    <d v="2014-12-02T00:00:00"/>
    <x v="0"/>
    <x v="11"/>
    <x v="7"/>
    <x v="3"/>
    <x v="1"/>
    <x v="11"/>
    <s v="Drawer Unit"/>
    <n v="3876.91"/>
    <n v="10"/>
    <n v="334.39"/>
  </r>
  <r>
    <d v="2014-12-02T00:00:00"/>
    <x v="0"/>
    <x v="11"/>
    <x v="4"/>
    <x v="0"/>
    <x v="2"/>
    <x v="6"/>
    <s v="Inkjet Copier"/>
    <n v="3439.71"/>
    <n v="6"/>
    <n v="568.64"/>
  </r>
  <r>
    <d v="2014-12-04T00:00:00"/>
    <x v="0"/>
    <x v="11"/>
    <x v="5"/>
    <x v="3"/>
    <x v="1"/>
    <x v="11"/>
    <s v="Drawer Unit"/>
    <n v="3120.19"/>
    <n v="5"/>
    <n v="521.49"/>
  </r>
  <r>
    <d v="2014-12-04T00:00:00"/>
    <x v="0"/>
    <x v="11"/>
    <x v="3"/>
    <x v="9"/>
    <x v="2"/>
    <x v="6"/>
    <s v="Laser Copier"/>
    <n v="4389.95"/>
    <n v="1"/>
    <n v="280.75"/>
  </r>
  <r>
    <d v="2014-12-04T00:00:00"/>
    <x v="0"/>
    <x v="11"/>
    <x v="2"/>
    <x v="6"/>
    <x v="0"/>
    <x v="4"/>
    <s v="Executive Chair"/>
    <n v="2236.66"/>
    <n v="4"/>
    <n v="607.23"/>
  </r>
  <r>
    <d v="2014-12-04T00:00:00"/>
    <x v="0"/>
    <x v="11"/>
    <x v="4"/>
    <x v="5"/>
    <x v="2"/>
    <x v="6"/>
    <s v="Inkjet Copier"/>
    <n v="976.13"/>
    <n v="9"/>
    <n v="196.09"/>
  </r>
  <r>
    <d v="2014-12-05T00:00:00"/>
    <x v="0"/>
    <x v="11"/>
    <x v="0"/>
    <x v="0"/>
    <x v="0"/>
    <x v="10"/>
    <s v="Wooden Bookcase"/>
    <n v="2601.86"/>
    <n v="8"/>
    <n v="116.7"/>
  </r>
  <r>
    <d v="2014-12-05T00:00:00"/>
    <x v="0"/>
    <x v="11"/>
    <x v="10"/>
    <x v="4"/>
    <x v="0"/>
    <x v="4"/>
    <s v="Office Chair"/>
    <n v="861.34"/>
    <n v="5"/>
    <n v="35.32"/>
  </r>
  <r>
    <d v="2014-12-07T00:00:00"/>
    <x v="0"/>
    <x v="11"/>
    <x v="0"/>
    <x v="1"/>
    <x v="0"/>
    <x v="2"/>
    <s v="Study Table"/>
    <n v="4471.21"/>
    <n v="4"/>
    <n v="1185.3599999999999"/>
  </r>
  <r>
    <d v="2014-12-07T00:00:00"/>
    <x v="0"/>
    <x v="11"/>
    <x v="7"/>
    <x v="1"/>
    <x v="0"/>
    <x v="2"/>
    <s v="Conference Table"/>
    <n v="2142.13"/>
    <n v="2"/>
    <n v="561.20000000000005"/>
  </r>
  <r>
    <d v="2014-12-07T00:00:00"/>
    <x v="0"/>
    <x v="11"/>
    <x v="3"/>
    <x v="3"/>
    <x v="1"/>
    <x v="8"/>
    <s v="A4 Paper Pack"/>
    <n v="319.77"/>
    <n v="10"/>
    <n v="74.13"/>
  </r>
  <r>
    <d v="2014-12-07T00:00:00"/>
    <x v="0"/>
    <x v="11"/>
    <x v="8"/>
    <x v="7"/>
    <x v="1"/>
    <x v="7"/>
    <s v="Color Set"/>
    <n v="1617.95"/>
    <n v="8"/>
    <n v="370.81"/>
  </r>
  <r>
    <d v="2014-12-09T00:00:00"/>
    <x v="0"/>
    <x v="11"/>
    <x v="11"/>
    <x v="7"/>
    <x v="2"/>
    <x v="5"/>
    <s v="Mouse"/>
    <n v="1332.77"/>
    <n v="1"/>
    <n v="93.71"/>
  </r>
  <r>
    <d v="2014-12-11T00:00:00"/>
    <x v="0"/>
    <x v="11"/>
    <x v="2"/>
    <x v="9"/>
    <x v="1"/>
    <x v="7"/>
    <s v="Sketch Kit"/>
    <n v="1886.67"/>
    <n v="7"/>
    <n v="557.46"/>
  </r>
  <r>
    <d v="2014-12-12T00:00:00"/>
    <x v="0"/>
    <x v="11"/>
    <x v="3"/>
    <x v="1"/>
    <x v="1"/>
    <x v="7"/>
    <s v="Sketch Kit"/>
    <n v="1276.6099999999999"/>
    <n v="5"/>
    <n v="158.05000000000001"/>
  </r>
  <r>
    <d v="2014-12-13T00:00:00"/>
    <x v="0"/>
    <x v="11"/>
    <x v="4"/>
    <x v="2"/>
    <x v="0"/>
    <x v="0"/>
    <s v="Wall Decor"/>
    <n v="2080.21"/>
    <n v="7"/>
    <n v="298.98"/>
  </r>
  <r>
    <d v="2014-12-13T00:00:00"/>
    <x v="0"/>
    <x v="11"/>
    <x v="5"/>
    <x v="1"/>
    <x v="2"/>
    <x v="6"/>
    <s v="Inkjet Copier"/>
    <n v="4960.32"/>
    <n v="7"/>
    <n v="1173.8599999999999"/>
  </r>
  <r>
    <d v="2014-12-14T00:00:00"/>
    <x v="0"/>
    <x v="11"/>
    <x v="0"/>
    <x v="7"/>
    <x v="2"/>
    <x v="6"/>
    <s v="Inkjet Copier"/>
    <n v="2513.17"/>
    <n v="3"/>
    <n v="433.91"/>
  </r>
  <r>
    <d v="2014-12-15T00:00:00"/>
    <x v="0"/>
    <x v="11"/>
    <x v="4"/>
    <x v="0"/>
    <x v="1"/>
    <x v="9"/>
    <s v="Binder Pack"/>
    <n v="1745.97"/>
    <n v="6"/>
    <n v="262.88"/>
  </r>
  <r>
    <d v="2014-12-15T00:00:00"/>
    <x v="0"/>
    <x v="11"/>
    <x v="6"/>
    <x v="1"/>
    <x v="0"/>
    <x v="10"/>
    <s v="Metal Bookcase"/>
    <n v="2650.63"/>
    <n v="2"/>
    <n v="147.15"/>
  </r>
  <r>
    <d v="2014-12-15T00:00:00"/>
    <x v="0"/>
    <x v="11"/>
    <x v="7"/>
    <x v="9"/>
    <x v="2"/>
    <x v="3"/>
    <s v="Smartphone"/>
    <n v="405.22"/>
    <n v="6"/>
    <n v="47.9"/>
  </r>
  <r>
    <d v="2014-12-17T00:00:00"/>
    <x v="0"/>
    <x v="11"/>
    <x v="8"/>
    <x v="2"/>
    <x v="0"/>
    <x v="10"/>
    <s v="Wooden Bookcase"/>
    <n v="3835.96"/>
    <n v="3"/>
    <n v="342.95"/>
  </r>
  <r>
    <d v="2014-12-18T00:00:00"/>
    <x v="0"/>
    <x v="11"/>
    <x v="5"/>
    <x v="4"/>
    <x v="2"/>
    <x v="6"/>
    <s v="Laser Copier"/>
    <n v="2215"/>
    <n v="9"/>
    <n v="309"/>
  </r>
  <r>
    <d v="2014-12-18T00:00:00"/>
    <x v="0"/>
    <x v="11"/>
    <x v="11"/>
    <x v="2"/>
    <x v="1"/>
    <x v="9"/>
    <s v="Binder Pack"/>
    <n v="4515.82"/>
    <n v="7"/>
    <n v="703.68"/>
  </r>
  <r>
    <d v="2014-12-19T00:00:00"/>
    <x v="0"/>
    <x v="11"/>
    <x v="4"/>
    <x v="2"/>
    <x v="1"/>
    <x v="1"/>
    <s v="Air Cleaner"/>
    <n v="2996.3"/>
    <n v="2"/>
    <n v="665.33"/>
  </r>
  <r>
    <d v="2014-12-20T00:00:00"/>
    <x v="0"/>
    <x v="11"/>
    <x v="11"/>
    <x v="5"/>
    <x v="1"/>
    <x v="1"/>
    <s v="Air Cleaner"/>
    <n v="2635.23"/>
    <n v="4"/>
    <n v="4.54"/>
  </r>
  <r>
    <d v="2014-12-20T00:00:00"/>
    <x v="0"/>
    <x v="11"/>
    <x v="5"/>
    <x v="7"/>
    <x v="1"/>
    <x v="8"/>
    <s v="A4 Paper Pack"/>
    <n v="261.16000000000003"/>
    <n v="7"/>
    <n v="71.17"/>
  </r>
  <r>
    <d v="2014-12-20T00:00:00"/>
    <x v="0"/>
    <x v="11"/>
    <x v="5"/>
    <x v="0"/>
    <x v="2"/>
    <x v="5"/>
    <s v="Mouse"/>
    <n v="350.05"/>
    <n v="4"/>
    <n v="41.5"/>
  </r>
  <r>
    <d v="2014-12-21T00:00:00"/>
    <x v="0"/>
    <x v="11"/>
    <x v="9"/>
    <x v="8"/>
    <x v="1"/>
    <x v="11"/>
    <s v="Drawer Unit"/>
    <n v="1520.74"/>
    <n v="5"/>
    <n v="251.2"/>
  </r>
  <r>
    <d v="2014-12-22T00:00:00"/>
    <x v="0"/>
    <x v="11"/>
    <x v="11"/>
    <x v="2"/>
    <x v="1"/>
    <x v="1"/>
    <s v="Heater"/>
    <n v="4782.58"/>
    <n v="5"/>
    <n v="1054.75"/>
  </r>
  <r>
    <d v="2014-12-23T00:00:00"/>
    <x v="0"/>
    <x v="11"/>
    <x v="9"/>
    <x v="3"/>
    <x v="1"/>
    <x v="1"/>
    <s v="Heater"/>
    <n v="1047.1400000000001"/>
    <n v="1"/>
    <n v="137.58000000000001"/>
  </r>
  <r>
    <d v="2014-12-23T00:00:00"/>
    <x v="0"/>
    <x v="11"/>
    <x v="7"/>
    <x v="5"/>
    <x v="1"/>
    <x v="9"/>
    <s v="Ring Binder"/>
    <n v="2932.97"/>
    <n v="10"/>
    <n v="36.47"/>
  </r>
  <r>
    <d v="2014-12-24T00:00:00"/>
    <x v="0"/>
    <x v="11"/>
    <x v="2"/>
    <x v="7"/>
    <x v="1"/>
    <x v="11"/>
    <s v="Storage Box"/>
    <n v="4908.4399999999996"/>
    <n v="3"/>
    <n v="771.23"/>
  </r>
  <r>
    <d v="2014-12-24T00:00:00"/>
    <x v="0"/>
    <x v="11"/>
    <x v="11"/>
    <x v="2"/>
    <x v="1"/>
    <x v="8"/>
    <s v="Printer Paper"/>
    <n v="3407.45"/>
    <n v="8"/>
    <n v="490.89"/>
  </r>
  <r>
    <d v="2014-12-24T00:00:00"/>
    <x v="0"/>
    <x v="11"/>
    <x v="9"/>
    <x v="6"/>
    <x v="2"/>
    <x v="5"/>
    <s v="USB Drive"/>
    <n v="3916.06"/>
    <n v="8"/>
    <n v="646.54"/>
  </r>
  <r>
    <d v="2014-12-25T00:00:00"/>
    <x v="0"/>
    <x v="11"/>
    <x v="11"/>
    <x v="7"/>
    <x v="1"/>
    <x v="11"/>
    <s v="Storage Box"/>
    <n v="481.86"/>
    <n v="7"/>
    <n v="0.68"/>
  </r>
  <r>
    <d v="2014-12-25T00:00:00"/>
    <x v="0"/>
    <x v="11"/>
    <x v="7"/>
    <x v="3"/>
    <x v="2"/>
    <x v="6"/>
    <s v="Inkjet Copier"/>
    <n v="2002.28"/>
    <n v="1"/>
    <n v="387.18"/>
  </r>
  <r>
    <d v="2014-12-25T00:00:00"/>
    <x v="0"/>
    <x v="11"/>
    <x v="1"/>
    <x v="7"/>
    <x v="0"/>
    <x v="2"/>
    <s v="Conference Table"/>
    <n v="2390.1799999999998"/>
    <n v="2"/>
    <n v="375.71"/>
  </r>
  <r>
    <d v="2014-12-27T00:00:00"/>
    <x v="0"/>
    <x v="11"/>
    <x v="11"/>
    <x v="4"/>
    <x v="0"/>
    <x v="4"/>
    <s v="Ergonomic Chair"/>
    <n v="1382.51"/>
    <n v="5"/>
    <n v="251.67"/>
  </r>
  <r>
    <d v="2014-12-27T00:00:00"/>
    <x v="0"/>
    <x v="11"/>
    <x v="8"/>
    <x v="6"/>
    <x v="0"/>
    <x v="10"/>
    <s v="Metal Bookcase"/>
    <n v="3983.84"/>
    <n v="4"/>
    <n v="142.91999999999999"/>
  </r>
  <r>
    <d v="2014-12-29T00:00:00"/>
    <x v="0"/>
    <x v="11"/>
    <x v="0"/>
    <x v="5"/>
    <x v="2"/>
    <x v="5"/>
    <s v="Keyboard"/>
    <n v="4432.78"/>
    <n v="2"/>
    <n v="126.26"/>
  </r>
  <r>
    <d v="2014-12-29T00:00:00"/>
    <x v="0"/>
    <x v="11"/>
    <x v="10"/>
    <x v="0"/>
    <x v="1"/>
    <x v="9"/>
    <s v="Binder Pack"/>
    <n v="3426.87"/>
    <n v="10"/>
    <n v="377.65"/>
  </r>
  <r>
    <d v="2014-12-30T00:00:00"/>
    <x v="0"/>
    <x v="11"/>
    <x v="6"/>
    <x v="6"/>
    <x v="1"/>
    <x v="8"/>
    <s v="Printer Paper"/>
    <n v="1313.39"/>
    <n v="3"/>
    <n v="293.5"/>
  </r>
  <r>
    <d v="2014-12-31T00:00:00"/>
    <x v="0"/>
    <x v="11"/>
    <x v="7"/>
    <x v="0"/>
    <x v="1"/>
    <x v="1"/>
    <s v="Air Cleaner"/>
    <n v="4393.0600000000004"/>
    <n v="4"/>
    <n v="811.55"/>
  </r>
  <r>
    <d v="2015-01-03T00:00:00"/>
    <x v="1"/>
    <x v="0"/>
    <x v="7"/>
    <x v="5"/>
    <x v="2"/>
    <x v="5"/>
    <s v="Keyboard"/>
    <n v="2988.78"/>
    <n v="5"/>
    <n v="849.36"/>
  </r>
  <r>
    <d v="2015-01-04T00:00:00"/>
    <x v="1"/>
    <x v="0"/>
    <x v="2"/>
    <x v="5"/>
    <x v="0"/>
    <x v="0"/>
    <s v="Desk Lamp"/>
    <n v="3147.9"/>
    <n v="8"/>
    <n v="260.35000000000002"/>
  </r>
  <r>
    <d v="2015-01-05T00:00:00"/>
    <x v="1"/>
    <x v="0"/>
    <x v="1"/>
    <x v="6"/>
    <x v="0"/>
    <x v="4"/>
    <s v="Executive Chair"/>
    <n v="3080.23"/>
    <n v="8"/>
    <n v="352.31"/>
  </r>
  <r>
    <d v="2015-01-05T00:00:00"/>
    <x v="1"/>
    <x v="0"/>
    <x v="4"/>
    <x v="8"/>
    <x v="1"/>
    <x v="8"/>
    <s v="A4 Paper Pack"/>
    <n v="2185.9899999999998"/>
    <n v="7"/>
    <n v="144.96"/>
  </r>
  <r>
    <d v="2015-01-05T00:00:00"/>
    <x v="1"/>
    <x v="0"/>
    <x v="1"/>
    <x v="6"/>
    <x v="0"/>
    <x v="4"/>
    <s v="Executive Chair"/>
    <n v="3707.81"/>
    <n v="8"/>
    <n v="326.3"/>
  </r>
  <r>
    <d v="2015-01-06T00:00:00"/>
    <x v="1"/>
    <x v="0"/>
    <x v="1"/>
    <x v="1"/>
    <x v="2"/>
    <x v="6"/>
    <s v="Laser Copier"/>
    <n v="2746.14"/>
    <n v="4"/>
    <n v="434.21"/>
  </r>
  <r>
    <d v="2015-01-06T00:00:00"/>
    <x v="1"/>
    <x v="0"/>
    <x v="11"/>
    <x v="6"/>
    <x v="2"/>
    <x v="6"/>
    <s v="Laser Copier"/>
    <n v="4699.16"/>
    <n v="10"/>
    <n v="714.67"/>
  </r>
  <r>
    <d v="2015-01-06T00:00:00"/>
    <x v="1"/>
    <x v="0"/>
    <x v="7"/>
    <x v="3"/>
    <x v="0"/>
    <x v="10"/>
    <s v="Wooden Bookcase"/>
    <n v="4179.1099999999997"/>
    <n v="3"/>
    <n v="510.43"/>
  </r>
  <r>
    <d v="2015-01-06T00:00:00"/>
    <x v="1"/>
    <x v="0"/>
    <x v="9"/>
    <x v="2"/>
    <x v="2"/>
    <x v="5"/>
    <s v="USB Drive"/>
    <n v="1878.71"/>
    <n v="3"/>
    <n v="158.32"/>
  </r>
  <r>
    <d v="2015-01-06T00:00:00"/>
    <x v="1"/>
    <x v="0"/>
    <x v="6"/>
    <x v="9"/>
    <x v="0"/>
    <x v="4"/>
    <s v="Office Chair"/>
    <n v="4576.59"/>
    <n v="5"/>
    <n v="947.18"/>
  </r>
  <r>
    <d v="2015-01-07T00:00:00"/>
    <x v="1"/>
    <x v="0"/>
    <x v="4"/>
    <x v="6"/>
    <x v="0"/>
    <x v="2"/>
    <s v="Study Table"/>
    <n v="2951.27"/>
    <n v="8"/>
    <n v="546.89"/>
  </r>
  <r>
    <d v="2015-01-08T00:00:00"/>
    <x v="1"/>
    <x v="0"/>
    <x v="1"/>
    <x v="8"/>
    <x v="2"/>
    <x v="6"/>
    <s v="Inkjet Copier"/>
    <n v="412.04"/>
    <n v="5"/>
    <n v="25.57"/>
  </r>
  <r>
    <d v="2015-01-08T00:00:00"/>
    <x v="1"/>
    <x v="0"/>
    <x v="11"/>
    <x v="5"/>
    <x v="2"/>
    <x v="5"/>
    <s v="USB Drive"/>
    <n v="3466.11"/>
    <n v="7"/>
    <n v="106.82"/>
  </r>
  <r>
    <d v="2015-01-09T00:00:00"/>
    <x v="1"/>
    <x v="0"/>
    <x v="4"/>
    <x v="3"/>
    <x v="1"/>
    <x v="1"/>
    <s v="Air Cleaner"/>
    <n v="1427.5"/>
    <n v="6"/>
    <n v="184.35"/>
  </r>
  <r>
    <d v="2015-01-09T00:00:00"/>
    <x v="1"/>
    <x v="0"/>
    <x v="0"/>
    <x v="1"/>
    <x v="1"/>
    <x v="9"/>
    <s v="Ring Binder"/>
    <n v="2276.42"/>
    <n v="1"/>
    <n v="221.62"/>
  </r>
  <r>
    <d v="2015-01-09T00:00:00"/>
    <x v="1"/>
    <x v="0"/>
    <x v="11"/>
    <x v="2"/>
    <x v="1"/>
    <x v="1"/>
    <s v="Air Cleaner"/>
    <n v="4946.78"/>
    <n v="4"/>
    <n v="303.73"/>
  </r>
  <r>
    <d v="2015-01-10T00:00:00"/>
    <x v="1"/>
    <x v="0"/>
    <x v="1"/>
    <x v="1"/>
    <x v="1"/>
    <x v="8"/>
    <s v="A4 Paper Pack"/>
    <n v="3021.08"/>
    <n v="6"/>
    <n v="45.02"/>
  </r>
  <r>
    <d v="2015-01-10T00:00:00"/>
    <x v="1"/>
    <x v="0"/>
    <x v="9"/>
    <x v="9"/>
    <x v="2"/>
    <x v="5"/>
    <s v="USB Drive"/>
    <n v="4593.04"/>
    <n v="10"/>
    <n v="907.13"/>
  </r>
  <r>
    <d v="2015-01-10T00:00:00"/>
    <x v="1"/>
    <x v="0"/>
    <x v="1"/>
    <x v="7"/>
    <x v="1"/>
    <x v="11"/>
    <s v="Drawer Unit"/>
    <n v="2656.02"/>
    <n v="6"/>
    <n v="748.8"/>
  </r>
  <r>
    <d v="2015-01-11T00:00:00"/>
    <x v="1"/>
    <x v="0"/>
    <x v="11"/>
    <x v="3"/>
    <x v="1"/>
    <x v="1"/>
    <s v="Air Cleaner"/>
    <n v="922.23"/>
    <n v="7"/>
    <n v="162.94"/>
  </r>
  <r>
    <d v="2015-01-12T00:00:00"/>
    <x v="1"/>
    <x v="0"/>
    <x v="10"/>
    <x v="9"/>
    <x v="0"/>
    <x v="10"/>
    <s v="Metal Bookcase"/>
    <n v="2557.9499999999998"/>
    <n v="10"/>
    <n v="0.08"/>
  </r>
  <r>
    <d v="2015-01-15T00:00:00"/>
    <x v="1"/>
    <x v="0"/>
    <x v="6"/>
    <x v="0"/>
    <x v="0"/>
    <x v="2"/>
    <s v="Conference Table"/>
    <n v="3970.64"/>
    <n v="2"/>
    <n v="870.66"/>
  </r>
  <r>
    <d v="2015-01-15T00:00:00"/>
    <x v="1"/>
    <x v="0"/>
    <x v="0"/>
    <x v="4"/>
    <x v="1"/>
    <x v="1"/>
    <s v="Heater"/>
    <n v="951.06"/>
    <n v="10"/>
    <n v="71.97"/>
  </r>
  <r>
    <d v="2015-01-16T00:00:00"/>
    <x v="1"/>
    <x v="0"/>
    <x v="11"/>
    <x v="9"/>
    <x v="2"/>
    <x v="5"/>
    <s v="USB Drive"/>
    <n v="2884.68"/>
    <n v="7"/>
    <n v="524.29"/>
  </r>
  <r>
    <d v="2015-01-17T00:00:00"/>
    <x v="1"/>
    <x v="0"/>
    <x v="0"/>
    <x v="7"/>
    <x v="0"/>
    <x v="2"/>
    <s v="Conference Table"/>
    <n v="4059.7"/>
    <n v="5"/>
    <n v="461.05"/>
  </r>
  <r>
    <d v="2015-01-17T00:00:00"/>
    <x v="1"/>
    <x v="0"/>
    <x v="8"/>
    <x v="9"/>
    <x v="2"/>
    <x v="3"/>
    <s v="IP Phone"/>
    <n v="3386.86"/>
    <n v="1"/>
    <n v="901.53"/>
  </r>
  <r>
    <d v="2015-01-17T00:00:00"/>
    <x v="1"/>
    <x v="0"/>
    <x v="3"/>
    <x v="6"/>
    <x v="0"/>
    <x v="2"/>
    <s v="Study Table"/>
    <n v="1785.13"/>
    <n v="5"/>
    <n v="179.37"/>
  </r>
  <r>
    <d v="2015-01-18T00:00:00"/>
    <x v="1"/>
    <x v="0"/>
    <x v="9"/>
    <x v="9"/>
    <x v="0"/>
    <x v="4"/>
    <s v="Office Chair"/>
    <n v="3805.4"/>
    <n v="9"/>
    <n v="642.88"/>
  </r>
  <r>
    <d v="2015-01-19T00:00:00"/>
    <x v="1"/>
    <x v="0"/>
    <x v="5"/>
    <x v="6"/>
    <x v="2"/>
    <x v="5"/>
    <s v="Mouse"/>
    <n v="511.74"/>
    <n v="3"/>
    <n v="71.180000000000007"/>
  </r>
  <r>
    <d v="2015-01-19T00:00:00"/>
    <x v="1"/>
    <x v="0"/>
    <x v="0"/>
    <x v="5"/>
    <x v="1"/>
    <x v="7"/>
    <s v="Color Set"/>
    <n v="4241.1000000000004"/>
    <n v="3"/>
    <n v="1173.24"/>
  </r>
  <r>
    <d v="2015-01-20T00:00:00"/>
    <x v="1"/>
    <x v="0"/>
    <x v="0"/>
    <x v="1"/>
    <x v="2"/>
    <x v="6"/>
    <s v="Laser Copier"/>
    <n v="1250.9100000000001"/>
    <n v="9"/>
    <n v="368.55"/>
  </r>
  <r>
    <d v="2015-01-20T00:00:00"/>
    <x v="1"/>
    <x v="0"/>
    <x v="6"/>
    <x v="8"/>
    <x v="1"/>
    <x v="11"/>
    <s v="Drawer Unit"/>
    <n v="3448.42"/>
    <n v="3"/>
    <n v="1010.54"/>
  </r>
  <r>
    <d v="2015-01-20T00:00:00"/>
    <x v="1"/>
    <x v="0"/>
    <x v="11"/>
    <x v="2"/>
    <x v="1"/>
    <x v="11"/>
    <s v="Storage Box"/>
    <n v="4967.3"/>
    <n v="7"/>
    <n v="611.04999999999995"/>
  </r>
  <r>
    <d v="2015-01-21T00:00:00"/>
    <x v="1"/>
    <x v="0"/>
    <x v="10"/>
    <x v="9"/>
    <x v="0"/>
    <x v="0"/>
    <s v="Wall Decor"/>
    <n v="1845.17"/>
    <n v="3"/>
    <n v="535.38"/>
  </r>
  <r>
    <d v="2015-01-21T00:00:00"/>
    <x v="1"/>
    <x v="0"/>
    <x v="6"/>
    <x v="9"/>
    <x v="0"/>
    <x v="4"/>
    <s v="Ergonomic Chair"/>
    <n v="4658.24"/>
    <n v="2"/>
    <n v="526.72"/>
  </r>
  <r>
    <d v="2015-01-22T00:00:00"/>
    <x v="1"/>
    <x v="0"/>
    <x v="5"/>
    <x v="6"/>
    <x v="0"/>
    <x v="4"/>
    <s v="Office Chair"/>
    <n v="2695.45"/>
    <n v="3"/>
    <n v="770.79"/>
  </r>
  <r>
    <d v="2015-01-22T00:00:00"/>
    <x v="1"/>
    <x v="0"/>
    <x v="7"/>
    <x v="0"/>
    <x v="2"/>
    <x v="6"/>
    <s v="Inkjet Copier"/>
    <n v="186.8"/>
    <n v="3"/>
    <n v="47.92"/>
  </r>
  <r>
    <d v="2015-01-23T00:00:00"/>
    <x v="1"/>
    <x v="0"/>
    <x v="2"/>
    <x v="8"/>
    <x v="1"/>
    <x v="11"/>
    <s v="Drawer Unit"/>
    <n v="488.01"/>
    <n v="5"/>
    <n v="29.38"/>
  </r>
  <r>
    <d v="2015-01-23T00:00:00"/>
    <x v="1"/>
    <x v="0"/>
    <x v="7"/>
    <x v="8"/>
    <x v="2"/>
    <x v="3"/>
    <s v="Smartphone"/>
    <n v="245.58"/>
    <n v="7"/>
    <n v="68.930000000000007"/>
  </r>
  <r>
    <d v="2015-01-24T00:00:00"/>
    <x v="1"/>
    <x v="0"/>
    <x v="2"/>
    <x v="9"/>
    <x v="1"/>
    <x v="11"/>
    <s v="Drawer Unit"/>
    <n v="591.19000000000005"/>
    <n v="8"/>
    <n v="37.71"/>
  </r>
  <r>
    <d v="2015-01-24T00:00:00"/>
    <x v="1"/>
    <x v="0"/>
    <x v="9"/>
    <x v="3"/>
    <x v="0"/>
    <x v="2"/>
    <s v="Conference Table"/>
    <n v="2281.4499999999998"/>
    <n v="6"/>
    <n v="195.73"/>
  </r>
  <r>
    <d v="2015-01-25T00:00:00"/>
    <x v="1"/>
    <x v="0"/>
    <x v="10"/>
    <x v="0"/>
    <x v="2"/>
    <x v="6"/>
    <s v="Inkjet Copier"/>
    <n v="2021.42"/>
    <n v="5"/>
    <n v="571.58000000000004"/>
  </r>
  <r>
    <d v="2015-01-25T00:00:00"/>
    <x v="1"/>
    <x v="0"/>
    <x v="2"/>
    <x v="7"/>
    <x v="1"/>
    <x v="11"/>
    <s v="Storage Box"/>
    <n v="1372.39"/>
    <n v="2"/>
    <n v="362.79"/>
  </r>
  <r>
    <d v="2015-01-26T00:00:00"/>
    <x v="1"/>
    <x v="0"/>
    <x v="7"/>
    <x v="8"/>
    <x v="0"/>
    <x v="10"/>
    <s v="Metal Bookcase"/>
    <n v="81.28"/>
    <n v="9"/>
    <n v="6.7"/>
  </r>
  <r>
    <d v="2015-01-26T00:00:00"/>
    <x v="1"/>
    <x v="0"/>
    <x v="7"/>
    <x v="9"/>
    <x v="0"/>
    <x v="10"/>
    <s v="Wooden Bookcase"/>
    <n v="208.41"/>
    <n v="8"/>
    <n v="14.26"/>
  </r>
  <r>
    <d v="2015-01-29T00:00:00"/>
    <x v="1"/>
    <x v="0"/>
    <x v="11"/>
    <x v="8"/>
    <x v="0"/>
    <x v="4"/>
    <s v="Executive Chair"/>
    <n v="28.39"/>
    <n v="7"/>
    <n v="2.63"/>
  </r>
  <r>
    <d v="2015-01-29T00:00:00"/>
    <x v="1"/>
    <x v="0"/>
    <x v="3"/>
    <x v="3"/>
    <x v="1"/>
    <x v="7"/>
    <s v="Color Set"/>
    <n v="1607.22"/>
    <n v="2"/>
    <n v="248.34"/>
  </r>
  <r>
    <d v="2015-01-30T00:00:00"/>
    <x v="1"/>
    <x v="0"/>
    <x v="0"/>
    <x v="0"/>
    <x v="1"/>
    <x v="8"/>
    <s v="A4 Paper Pack"/>
    <n v="2274.81"/>
    <n v="10"/>
    <n v="58.48"/>
  </r>
  <r>
    <d v="2015-01-31T00:00:00"/>
    <x v="1"/>
    <x v="0"/>
    <x v="1"/>
    <x v="3"/>
    <x v="2"/>
    <x v="3"/>
    <s v="Smartphone"/>
    <n v="828.25"/>
    <n v="6"/>
    <n v="75.010000000000005"/>
  </r>
  <r>
    <d v="2015-02-02T00:00:00"/>
    <x v="1"/>
    <x v="1"/>
    <x v="11"/>
    <x v="9"/>
    <x v="1"/>
    <x v="11"/>
    <s v="Storage Box"/>
    <n v="2258.4699999999998"/>
    <n v="8"/>
    <n v="355.33"/>
  </r>
  <r>
    <d v="2015-02-02T00:00:00"/>
    <x v="1"/>
    <x v="1"/>
    <x v="4"/>
    <x v="7"/>
    <x v="0"/>
    <x v="2"/>
    <s v="Study Table"/>
    <n v="2234.65"/>
    <n v="5"/>
    <n v="158.49"/>
  </r>
  <r>
    <d v="2015-02-03T00:00:00"/>
    <x v="1"/>
    <x v="1"/>
    <x v="6"/>
    <x v="0"/>
    <x v="0"/>
    <x v="0"/>
    <s v="Wall Decor"/>
    <n v="4903.43"/>
    <n v="6"/>
    <n v="38.82"/>
  </r>
  <r>
    <d v="2015-02-04T00:00:00"/>
    <x v="1"/>
    <x v="1"/>
    <x v="3"/>
    <x v="9"/>
    <x v="2"/>
    <x v="5"/>
    <s v="Mouse"/>
    <n v="646.36"/>
    <n v="5"/>
    <n v="135.16"/>
  </r>
  <r>
    <d v="2015-02-04T00:00:00"/>
    <x v="1"/>
    <x v="1"/>
    <x v="4"/>
    <x v="6"/>
    <x v="2"/>
    <x v="3"/>
    <s v="Smartphone"/>
    <n v="1029.95"/>
    <n v="9"/>
    <n v="33.19"/>
  </r>
  <r>
    <d v="2015-02-04T00:00:00"/>
    <x v="1"/>
    <x v="1"/>
    <x v="3"/>
    <x v="8"/>
    <x v="1"/>
    <x v="9"/>
    <s v="Ring Binder"/>
    <n v="3661.18"/>
    <n v="1"/>
    <n v="985.81"/>
  </r>
  <r>
    <d v="2015-02-04T00:00:00"/>
    <x v="1"/>
    <x v="1"/>
    <x v="7"/>
    <x v="5"/>
    <x v="0"/>
    <x v="2"/>
    <s v="Study Table"/>
    <n v="4657.55"/>
    <n v="2"/>
    <n v="1185.4000000000001"/>
  </r>
  <r>
    <d v="2015-02-07T00:00:00"/>
    <x v="1"/>
    <x v="1"/>
    <x v="1"/>
    <x v="1"/>
    <x v="0"/>
    <x v="10"/>
    <s v="Wooden Bookcase"/>
    <n v="2862.63"/>
    <n v="8"/>
    <n v="804.69"/>
  </r>
  <r>
    <d v="2015-02-07T00:00:00"/>
    <x v="1"/>
    <x v="1"/>
    <x v="8"/>
    <x v="6"/>
    <x v="2"/>
    <x v="3"/>
    <s v="Smartphone"/>
    <n v="4975.28"/>
    <n v="8"/>
    <n v="378.17"/>
  </r>
  <r>
    <d v="2015-02-07T00:00:00"/>
    <x v="1"/>
    <x v="1"/>
    <x v="8"/>
    <x v="1"/>
    <x v="1"/>
    <x v="11"/>
    <s v="Storage Box"/>
    <n v="2081.9499999999998"/>
    <n v="7"/>
    <n v="381.56"/>
  </r>
  <r>
    <d v="2015-02-10T00:00:00"/>
    <x v="1"/>
    <x v="1"/>
    <x v="10"/>
    <x v="9"/>
    <x v="0"/>
    <x v="2"/>
    <s v="Study Table"/>
    <n v="369.59"/>
    <n v="4"/>
    <n v="72.44"/>
  </r>
  <r>
    <d v="2015-02-11T00:00:00"/>
    <x v="1"/>
    <x v="1"/>
    <x v="2"/>
    <x v="7"/>
    <x v="1"/>
    <x v="9"/>
    <s v="Binder Pack"/>
    <n v="215.01"/>
    <n v="10"/>
    <n v="2.13"/>
  </r>
  <r>
    <d v="2015-02-11T00:00:00"/>
    <x v="1"/>
    <x v="1"/>
    <x v="1"/>
    <x v="4"/>
    <x v="1"/>
    <x v="1"/>
    <s v="Air Cleaner"/>
    <n v="4602.8999999999996"/>
    <n v="2"/>
    <n v="228.94"/>
  </r>
  <r>
    <d v="2015-02-11T00:00:00"/>
    <x v="1"/>
    <x v="1"/>
    <x v="7"/>
    <x v="5"/>
    <x v="1"/>
    <x v="8"/>
    <s v="A4 Paper Pack"/>
    <n v="3334.52"/>
    <n v="9"/>
    <n v="148.01"/>
  </r>
  <r>
    <d v="2015-02-13T00:00:00"/>
    <x v="1"/>
    <x v="1"/>
    <x v="6"/>
    <x v="4"/>
    <x v="1"/>
    <x v="8"/>
    <s v="A4 Paper Pack"/>
    <n v="2993.31"/>
    <n v="10"/>
    <n v="530.57000000000005"/>
  </r>
  <r>
    <d v="2015-02-15T00:00:00"/>
    <x v="1"/>
    <x v="1"/>
    <x v="1"/>
    <x v="4"/>
    <x v="1"/>
    <x v="8"/>
    <s v="A4 Paper Pack"/>
    <n v="3757.79"/>
    <n v="6"/>
    <n v="587.84"/>
  </r>
  <r>
    <d v="2015-02-15T00:00:00"/>
    <x v="1"/>
    <x v="1"/>
    <x v="2"/>
    <x v="5"/>
    <x v="1"/>
    <x v="8"/>
    <s v="Printer Paper"/>
    <n v="1439.87"/>
    <n v="4"/>
    <n v="214.04"/>
  </r>
  <r>
    <d v="2015-02-16T00:00:00"/>
    <x v="1"/>
    <x v="1"/>
    <x v="5"/>
    <x v="5"/>
    <x v="1"/>
    <x v="7"/>
    <s v="Color Set"/>
    <n v="761.67"/>
    <n v="6"/>
    <n v="206"/>
  </r>
  <r>
    <d v="2015-02-17T00:00:00"/>
    <x v="1"/>
    <x v="1"/>
    <x v="9"/>
    <x v="9"/>
    <x v="1"/>
    <x v="1"/>
    <s v="Air Cleaner"/>
    <n v="3843.03"/>
    <n v="5"/>
    <n v="330.56"/>
  </r>
  <r>
    <d v="2015-02-17T00:00:00"/>
    <x v="1"/>
    <x v="1"/>
    <x v="2"/>
    <x v="8"/>
    <x v="0"/>
    <x v="0"/>
    <s v="Wall Decor"/>
    <n v="299.62"/>
    <n v="7"/>
    <n v="34.96"/>
  </r>
  <r>
    <d v="2015-02-17T00:00:00"/>
    <x v="1"/>
    <x v="1"/>
    <x v="2"/>
    <x v="7"/>
    <x v="0"/>
    <x v="0"/>
    <s v="Desk Lamp"/>
    <n v="2601.34"/>
    <n v="5"/>
    <n v="369.82"/>
  </r>
  <r>
    <d v="2015-02-18T00:00:00"/>
    <x v="1"/>
    <x v="1"/>
    <x v="1"/>
    <x v="7"/>
    <x v="1"/>
    <x v="11"/>
    <s v="Drawer Unit"/>
    <n v="1319.08"/>
    <n v="1"/>
    <n v="191.64"/>
  </r>
  <r>
    <d v="2015-02-18T00:00:00"/>
    <x v="1"/>
    <x v="1"/>
    <x v="4"/>
    <x v="1"/>
    <x v="1"/>
    <x v="1"/>
    <s v="Air Cleaner"/>
    <n v="3789.39"/>
    <n v="2"/>
    <n v="1055.1600000000001"/>
  </r>
  <r>
    <d v="2015-02-18T00:00:00"/>
    <x v="1"/>
    <x v="1"/>
    <x v="8"/>
    <x v="5"/>
    <x v="1"/>
    <x v="11"/>
    <s v="Drawer Unit"/>
    <n v="4607.6400000000003"/>
    <n v="6"/>
    <n v="41.66"/>
  </r>
  <r>
    <d v="2015-02-19T00:00:00"/>
    <x v="1"/>
    <x v="1"/>
    <x v="3"/>
    <x v="1"/>
    <x v="2"/>
    <x v="3"/>
    <s v="IP Phone"/>
    <n v="2009.41"/>
    <n v="2"/>
    <n v="445.72"/>
  </r>
  <r>
    <d v="2015-02-20T00:00:00"/>
    <x v="1"/>
    <x v="1"/>
    <x v="5"/>
    <x v="1"/>
    <x v="0"/>
    <x v="0"/>
    <s v="Wall Decor"/>
    <n v="4836.5600000000004"/>
    <n v="5"/>
    <n v="434.89"/>
  </r>
  <r>
    <d v="2015-02-21T00:00:00"/>
    <x v="1"/>
    <x v="1"/>
    <x v="4"/>
    <x v="3"/>
    <x v="1"/>
    <x v="11"/>
    <s v="Drawer Unit"/>
    <n v="1557.89"/>
    <n v="5"/>
    <n v="383.03"/>
  </r>
  <r>
    <d v="2015-02-21T00:00:00"/>
    <x v="1"/>
    <x v="1"/>
    <x v="7"/>
    <x v="8"/>
    <x v="0"/>
    <x v="0"/>
    <s v="Wall Decor"/>
    <n v="2555.0500000000002"/>
    <n v="9"/>
    <n v="542.54999999999995"/>
  </r>
  <r>
    <d v="2015-02-21T00:00:00"/>
    <x v="1"/>
    <x v="1"/>
    <x v="1"/>
    <x v="0"/>
    <x v="1"/>
    <x v="7"/>
    <s v="Color Set"/>
    <n v="1442.55"/>
    <n v="9"/>
    <n v="22.52"/>
  </r>
  <r>
    <d v="2015-02-22T00:00:00"/>
    <x v="1"/>
    <x v="1"/>
    <x v="0"/>
    <x v="6"/>
    <x v="1"/>
    <x v="9"/>
    <s v="Binder Pack"/>
    <n v="1908.51"/>
    <n v="2"/>
    <n v="7.47"/>
  </r>
  <r>
    <d v="2015-02-24T00:00:00"/>
    <x v="1"/>
    <x v="1"/>
    <x v="5"/>
    <x v="2"/>
    <x v="0"/>
    <x v="4"/>
    <s v="Ergonomic Chair"/>
    <n v="3024.4"/>
    <n v="8"/>
    <n v="154.71"/>
  </r>
  <r>
    <d v="2015-02-25T00:00:00"/>
    <x v="1"/>
    <x v="1"/>
    <x v="8"/>
    <x v="0"/>
    <x v="2"/>
    <x v="5"/>
    <s v="Keyboard"/>
    <n v="4067.87"/>
    <n v="10"/>
    <n v="640.62"/>
  </r>
  <r>
    <d v="2015-02-25T00:00:00"/>
    <x v="1"/>
    <x v="1"/>
    <x v="2"/>
    <x v="1"/>
    <x v="2"/>
    <x v="6"/>
    <s v="Inkjet Copier"/>
    <n v="695.51"/>
    <n v="3"/>
    <n v="196.01"/>
  </r>
  <r>
    <d v="2015-02-27T00:00:00"/>
    <x v="1"/>
    <x v="1"/>
    <x v="11"/>
    <x v="7"/>
    <x v="0"/>
    <x v="0"/>
    <s v="Wall Decor"/>
    <n v="4451.33"/>
    <n v="10"/>
    <n v="78.23"/>
  </r>
  <r>
    <d v="2015-02-28T00:00:00"/>
    <x v="1"/>
    <x v="1"/>
    <x v="2"/>
    <x v="8"/>
    <x v="1"/>
    <x v="1"/>
    <s v="Heater"/>
    <n v="4454.2700000000004"/>
    <n v="5"/>
    <n v="92.75"/>
  </r>
  <r>
    <d v="2015-02-28T00:00:00"/>
    <x v="1"/>
    <x v="1"/>
    <x v="11"/>
    <x v="1"/>
    <x v="1"/>
    <x v="7"/>
    <s v="Sketch Kit"/>
    <n v="3003.64"/>
    <n v="6"/>
    <n v="441.68"/>
  </r>
  <r>
    <d v="2015-03-01T00:00:00"/>
    <x v="1"/>
    <x v="2"/>
    <x v="11"/>
    <x v="8"/>
    <x v="1"/>
    <x v="11"/>
    <s v="Storage Box"/>
    <n v="42.4"/>
    <n v="10"/>
    <n v="9.6"/>
  </r>
  <r>
    <d v="2015-03-01T00:00:00"/>
    <x v="1"/>
    <x v="2"/>
    <x v="10"/>
    <x v="2"/>
    <x v="1"/>
    <x v="9"/>
    <s v="Binder Pack"/>
    <n v="3691.25"/>
    <n v="4"/>
    <n v="559.70000000000005"/>
  </r>
  <r>
    <d v="2015-03-02T00:00:00"/>
    <x v="1"/>
    <x v="2"/>
    <x v="6"/>
    <x v="9"/>
    <x v="2"/>
    <x v="3"/>
    <s v="IP Phone"/>
    <n v="1805.49"/>
    <n v="4"/>
    <n v="115.5"/>
  </r>
  <r>
    <d v="2015-03-03T00:00:00"/>
    <x v="1"/>
    <x v="2"/>
    <x v="7"/>
    <x v="8"/>
    <x v="1"/>
    <x v="9"/>
    <s v="Binder Pack"/>
    <n v="3117.12"/>
    <n v="4"/>
    <n v="514.02"/>
  </r>
  <r>
    <d v="2015-03-03T00:00:00"/>
    <x v="1"/>
    <x v="2"/>
    <x v="0"/>
    <x v="0"/>
    <x v="0"/>
    <x v="4"/>
    <s v="Office Chair"/>
    <n v="2140.59"/>
    <n v="3"/>
    <n v="93.07"/>
  </r>
  <r>
    <d v="2015-03-04T00:00:00"/>
    <x v="1"/>
    <x v="2"/>
    <x v="1"/>
    <x v="0"/>
    <x v="1"/>
    <x v="8"/>
    <s v="Printer Paper"/>
    <n v="3404.37"/>
    <n v="2"/>
    <n v="110.82"/>
  </r>
  <r>
    <d v="2015-03-04T00:00:00"/>
    <x v="1"/>
    <x v="2"/>
    <x v="3"/>
    <x v="8"/>
    <x v="1"/>
    <x v="1"/>
    <s v="Heater"/>
    <n v="548.37"/>
    <n v="3"/>
    <n v="8.7100000000000009"/>
  </r>
  <r>
    <d v="2015-03-04T00:00:00"/>
    <x v="1"/>
    <x v="2"/>
    <x v="6"/>
    <x v="8"/>
    <x v="1"/>
    <x v="11"/>
    <s v="Drawer Unit"/>
    <n v="188.52"/>
    <n v="4"/>
    <n v="53.55"/>
  </r>
  <r>
    <d v="2015-03-04T00:00:00"/>
    <x v="1"/>
    <x v="2"/>
    <x v="4"/>
    <x v="6"/>
    <x v="1"/>
    <x v="8"/>
    <s v="A4 Paper Pack"/>
    <n v="2016.87"/>
    <n v="10"/>
    <n v="64.34"/>
  </r>
  <r>
    <d v="2015-03-05T00:00:00"/>
    <x v="1"/>
    <x v="2"/>
    <x v="4"/>
    <x v="1"/>
    <x v="0"/>
    <x v="0"/>
    <s v="Wall Decor"/>
    <n v="3625.53"/>
    <n v="2"/>
    <n v="90.93"/>
  </r>
  <r>
    <d v="2015-03-06T00:00:00"/>
    <x v="1"/>
    <x v="2"/>
    <x v="10"/>
    <x v="0"/>
    <x v="2"/>
    <x v="6"/>
    <s v="Laser Copier"/>
    <n v="1835.87"/>
    <n v="9"/>
    <n v="235.14"/>
  </r>
  <r>
    <d v="2015-03-06T00:00:00"/>
    <x v="1"/>
    <x v="2"/>
    <x v="1"/>
    <x v="0"/>
    <x v="0"/>
    <x v="0"/>
    <s v="Wall Decor"/>
    <n v="2245.27"/>
    <n v="5"/>
    <n v="448.48"/>
  </r>
  <r>
    <d v="2015-03-06T00:00:00"/>
    <x v="1"/>
    <x v="2"/>
    <x v="0"/>
    <x v="0"/>
    <x v="2"/>
    <x v="5"/>
    <s v="Keyboard"/>
    <n v="4993.6899999999996"/>
    <n v="1"/>
    <n v="132.30000000000001"/>
  </r>
  <r>
    <d v="2015-03-08T00:00:00"/>
    <x v="1"/>
    <x v="2"/>
    <x v="9"/>
    <x v="6"/>
    <x v="0"/>
    <x v="2"/>
    <s v="Study Table"/>
    <n v="2650.71"/>
    <n v="2"/>
    <n v="601.13"/>
  </r>
  <r>
    <d v="2015-03-08T00:00:00"/>
    <x v="1"/>
    <x v="2"/>
    <x v="2"/>
    <x v="2"/>
    <x v="0"/>
    <x v="0"/>
    <s v="Wall Decor"/>
    <n v="1299.27"/>
    <n v="1"/>
    <n v="20.95"/>
  </r>
  <r>
    <d v="2015-03-08T00:00:00"/>
    <x v="1"/>
    <x v="2"/>
    <x v="11"/>
    <x v="7"/>
    <x v="2"/>
    <x v="3"/>
    <s v="Smartphone"/>
    <n v="4847.32"/>
    <n v="5"/>
    <n v="1427.18"/>
  </r>
  <r>
    <d v="2015-03-09T00:00:00"/>
    <x v="1"/>
    <x v="2"/>
    <x v="10"/>
    <x v="4"/>
    <x v="1"/>
    <x v="9"/>
    <s v="Binder Pack"/>
    <n v="2626.08"/>
    <n v="6"/>
    <n v="230.22"/>
  </r>
  <r>
    <d v="2015-03-09T00:00:00"/>
    <x v="1"/>
    <x v="2"/>
    <x v="0"/>
    <x v="3"/>
    <x v="1"/>
    <x v="9"/>
    <s v="Ring Binder"/>
    <n v="4342.6899999999996"/>
    <n v="4"/>
    <n v="859.01"/>
  </r>
  <r>
    <d v="2015-03-10T00:00:00"/>
    <x v="1"/>
    <x v="2"/>
    <x v="9"/>
    <x v="3"/>
    <x v="2"/>
    <x v="6"/>
    <s v="Inkjet Copier"/>
    <n v="2423.21"/>
    <n v="6"/>
    <n v="478.16"/>
  </r>
  <r>
    <d v="2015-03-10T00:00:00"/>
    <x v="1"/>
    <x v="2"/>
    <x v="3"/>
    <x v="4"/>
    <x v="1"/>
    <x v="11"/>
    <s v="Storage Box"/>
    <n v="465.47"/>
    <n v="10"/>
    <n v="14.47"/>
  </r>
  <r>
    <d v="2015-03-11T00:00:00"/>
    <x v="1"/>
    <x v="2"/>
    <x v="9"/>
    <x v="6"/>
    <x v="1"/>
    <x v="9"/>
    <s v="Ring Binder"/>
    <n v="3380.83"/>
    <n v="10"/>
    <n v="373.53"/>
  </r>
  <r>
    <d v="2015-03-12T00:00:00"/>
    <x v="1"/>
    <x v="2"/>
    <x v="0"/>
    <x v="7"/>
    <x v="2"/>
    <x v="5"/>
    <s v="Mouse"/>
    <n v="1930.48"/>
    <n v="9"/>
    <n v="351.79"/>
  </r>
  <r>
    <d v="2015-03-14T00:00:00"/>
    <x v="1"/>
    <x v="2"/>
    <x v="8"/>
    <x v="9"/>
    <x v="0"/>
    <x v="0"/>
    <s v="Desk Lamp"/>
    <n v="3995.54"/>
    <n v="9"/>
    <n v="233.12"/>
  </r>
  <r>
    <d v="2015-03-14T00:00:00"/>
    <x v="1"/>
    <x v="2"/>
    <x v="1"/>
    <x v="4"/>
    <x v="2"/>
    <x v="6"/>
    <s v="Laser Copier"/>
    <n v="2321.5300000000002"/>
    <n v="1"/>
    <n v="549.59"/>
  </r>
  <r>
    <d v="2015-03-14T00:00:00"/>
    <x v="1"/>
    <x v="2"/>
    <x v="0"/>
    <x v="8"/>
    <x v="2"/>
    <x v="5"/>
    <s v="Mouse"/>
    <n v="2489.09"/>
    <n v="4"/>
    <n v="353.82"/>
  </r>
  <r>
    <d v="2015-03-14T00:00:00"/>
    <x v="1"/>
    <x v="2"/>
    <x v="9"/>
    <x v="8"/>
    <x v="1"/>
    <x v="9"/>
    <s v="Binder Pack"/>
    <n v="1404.09"/>
    <n v="7"/>
    <n v="58.24"/>
  </r>
  <r>
    <d v="2015-03-15T00:00:00"/>
    <x v="1"/>
    <x v="2"/>
    <x v="7"/>
    <x v="2"/>
    <x v="0"/>
    <x v="2"/>
    <s v="Conference Table"/>
    <n v="3255.48"/>
    <n v="6"/>
    <n v="417.76"/>
  </r>
  <r>
    <d v="2015-03-15T00:00:00"/>
    <x v="1"/>
    <x v="2"/>
    <x v="10"/>
    <x v="7"/>
    <x v="0"/>
    <x v="10"/>
    <s v="Wooden Bookcase"/>
    <n v="2409.31"/>
    <n v="6"/>
    <n v="190.94"/>
  </r>
  <r>
    <d v="2015-03-16T00:00:00"/>
    <x v="1"/>
    <x v="2"/>
    <x v="4"/>
    <x v="1"/>
    <x v="0"/>
    <x v="4"/>
    <s v="Office Chair"/>
    <n v="1117.68"/>
    <n v="6"/>
    <n v="274.11"/>
  </r>
  <r>
    <d v="2015-03-16T00:00:00"/>
    <x v="1"/>
    <x v="2"/>
    <x v="2"/>
    <x v="6"/>
    <x v="2"/>
    <x v="5"/>
    <s v="USB Drive"/>
    <n v="4448.8500000000004"/>
    <n v="3"/>
    <n v="858.75"/>
  </r>
  <r>
    <d v="2015-03-17T00:00:00"/>
    <x v="1"/>
    <x v="2"/>
    <x v="2"/>
    <x v="0"/>
    <x v="2"/>
    <x v="5"/>
    <s v="USB Drive"/>
    <n v="961.7"/>
    <n v="10"/>
    <n v="106.38"/>
  </r>
  <r>
    <d v="2015-03-19T00:00:00"/>
    <x v="1"/>
    <x v="2"/>
    <x v="2"/>
    <x v="4"/>
    <x v="1"/>
    <x v="7"/>
    <s v="Sketch Kit"/>
    <n v="1182.81"/>
    <n v="8"/>
    <n v="188.28"/>
  </r>
  <r>
    <d v="2015-03-19T00:00:00"/>
    <x v="1"/>
    <x v="2"/>
    <x v="4"/>
    <x v="3"/>
    <x v="2"/>
    <x v="5"/>
    <s v="Mouse"/>
    <n v="832.24"/>
    <n v="9"/>
    <n v="51.5"/>
  </r>
  <r>
    <d v="2015-03-19T00:00:00"/>
    <x v="1"/>
    <x v="2"/>
    <x v="3"/>
    <x v="4"/>
    <x v="2"/>
    <x v="3"/>
    <s v="Smartphone"/>
    <n v="556.45000000000005"/>
    <n v="10"/>
    <n v="33.049999999999997"/>
  </r>
  <r>
    <d v="2015-03-20T00:00:00"/>
    <x v="1"/>
    <x v="2"/>
    <x v="5"/>
    <x v="8"/>
    <x v="2"/>
    <x v="3"/>
    <s v="IP Phone"/>
    <n v="764.33"/>
    <n v="9"/>
    <n v="203.35"/>
  </r>
  <r>
    <d v="2015-03-21T00:00:00"/>
    <x v="1"/>
    <x v="2"/>
    <x v="1"/>
    <x v="2"/>
    <x v="2"/>
    <x v="5"/>
    <s v="USB Drive"/>
    <n v="2179.81"/>
    <n v="3"/>
    <n v="271.27"/>
  </r>
  <r>
    <d v="2015-03-22T00:00:00"/>
    <x v="1"/>
    <x v="2"/>
    <x v="10"/>
    <x v="7"/>
    <x v="1"/>
    <x v="7"/>
    <s v="Sketch Kit"/>
    <n v="695.45"/>
    <n v="6"/>
    <n v="78.930000000000007"/>
  </r>
  <r>
    <d v="2015-03-22T00:00:00"/>
    <x v="1"/>
    <x v="2"/>
    <x v="5"/>
    <x v="5"/>
    <x v="1"/>
    <x v="1"/>
    <s v="Air Cleaner"/>
    <n v="3135.36"/>
    <n v="5"/>
    <n v="372.86"/>
  </r>
  <r>
    <d v="2015-03-22T00:00:00"/>
    <x v="1"/>
    <x v="2"/>
    <x v="6"/>
    <x v="4"/>
    <x v="0"/>
    <x v="10"/>
    <s v="Wooden Bookcase"/>
    <n v="912"/>
    <n v="8"/>
    <n v="268.77999999999997"/>
  </r>
  <r>
    <d v="2015-03-23T00:00:00"/>
    <x v="1"/>
    <x v="2"/>
    <x v="6"/>
    <x v="7"/>
    <x v="0"/>
    <x v="10"/>
    <s v="Metal Bookcase"/>
    <n v="1689.62"/>
    <n v="10"/>
    <n v="129.33000000000001"/>
  </r>
  <r>
    <d v="2015-03-23T00:00:00"/>
    <x v="1"/>
    <x v="2"/>
    <x v="11"/>
    <x v="0"/>
    <x v="1"/>
    <x v="11"/>
    <s v="Storage Box"/>
    <n v="827"/>
    <n v="8"/>
    <n v="74.709999999999994"/>
  </r>
  <r>
    <d v="2015-03-24T00:00:00"/>
    <x v="1"/>
    <x v="2"/>
    <x v="2"/>
    <x v="7"/>
    <x v="2"/>
    <x v="3"/>
    <s v="IP Phone"/>
    <n v="4497.4799999999996"/>
    <n v="3"/>
    <n v="269.31"/>
  </r>
  <r>
    <d v="2015-03-24T00:00:00"/>
    <x v="1"/>
    <x v="2"/>
    <x v="0"/>
    <x v="3"/>
    <x v="1"/>
    <x v="11"/>
    <s v="Storage Box"/>
    <n v="327.67"/>
    <n v="2"/>
    <n v="40.78"/>
  </r>
  <r>
    <d v="2015-03-25T00:00:00"/>
    <x v="1"/>
    <x v="2"/>
    <x v="10"/>
    <x v="3"/>
    <x v="1"/>
    <x v="8"/>
    <s v="Printer Paper"/>
    <n v="2162.8200000000002"/>
    <n v="10"/>
    <n v="109.6"/>
  </r>
  <r>
    <d v="2015-03-25T00:00:00"/>
    <x v="1"/>
    <x v="2"/>
    <x v="1"/>
    <x v="5"/>
    <x v="1"/>
    <x v="9"/>
    <s v="Ring Binder"/>
    <n v="1505.41"/>
    <n v="8"/>
    <n v="418.3"/>
  </r>
  <r>
    <d v="2015-03-26T00:00:00"/>
    <x v="1"/>
    <x v="2"/>
    <x v="11"/>
    <x v="4"/>
    <x v="0"/>
    <x v="4"/>
    <s v="Executive Chair"/>
    <n v="2200.31"/>
    <n v="10"/>
    <n v="355.66"/>
  </r>
  <r>
    <d v="2015-03-28T00:00:00"/>
    <x v="1"/>
    <x v="2"/>
    <x v="6"/>
    <x v="3"/>
    <x v="2"/>
    <x v="5"/>
    <s v="USB Drive"/>
    <n v="158.5"/>
    <n v="7"/>
    <n v="32.380000000000003"/>
  </r>
  <r>
    <d v="2015-03-29T00:00:00"/>
    <x v="1"/>
    <x v="2"/>
    <x v="6"/>
    <x v="0"/>
    <x v="2"/>
    <x v="5"/>
    <s v="Mouse"/>
    <n v="433.26"/>
    <n v="5"/>
    <n v="33.44"/>
  </r>
  <r>
    <d v="2015-03-29T00:00:00"/>
    <x v="1"/>
    <x v="2"/>
    <x v="3"/>
    <x v="1"/>
    <x v="1"/>
    <x v="9"/>
    <s v="Ring Binder"/>
    <n v="4084.11"/>
    <n v="10"/>
    <n v="940.34"/>
  </r>
  <r>
    <d v="2015-03-31T00:00:00"/>
    <x v="1"/>
    <x v="2"/>
    <x v="1"/>
    <x v="6"/>
    <x v="1"/>
    <x v="1"/>
    <s v="Air Cleaner"/>
    <n v="348.36"/>
    <n v="3"/>
    <n v="29.74"/>
  </r>
  <r>
    <d v="2015-03-31T00:00:00"/>
    <x v="1"/>
    <x v="2"/>
    <x v="4"/>
    <x v="6"/>
    <x v="2"/>
    <x v="5"/>
    <s v="Mouse"/>
    <n v="3121.74"/>
    <n v="2"/>
    <n v="579.38"/>
  </r>
  <r>
    <d v="2015-04-01T00:00:00"/>
    <x v="1"/>
    <x v="3"/>
    <x v="9"/>
    <x v="1"/>
    <x v="0"/>
    <x v="2"/>
    <s v="Conference Table"/>
    <n v="3073.94"/>
    <n v="3"/>
    <n v="211.06"/>
  </r>
  <r>
    <d v="2015-04-01T00:00:00"/>
    <x v="1"/>
    <x v="3"/>
    <x v="10"/>
    <x v="4"/>
    <x v="2"/>
    <x v="3"/>
    <s v="IP Phone"/>
    <n v="3010.83"/>
    <n v="7"/>
    <n v="331.07"/>
  </r>
  <r>
    <d v="2015-04-02T00:00:00"/>
    <x v="1"/>
    <x v="3"/>
    <x v="2"/>
    <x v="6"/>
    <x v="0"/>
    <x v="0"/>
    <s v="Wall Decor"/>
    <n v="1788.83"/>
    <n v="10"/>
    <n v="14.09"/>
  </r>
  <r>
    <d v="2015-04-03T00:00:00"/>
    <x v="1"/>
    <x v="3"/>
    <x v="9"/>
    <x v="8"/>
    <x v="2"/>
    <x v="3"/>
    <s v="Smartphone"/>
    <n v="1840.64"/>
    <n v="2"/>
    <n v="435.79"/>
  </r>
  <r>
    <d v="2015-04-03T00:00:00"/>
    <x v="1"/>
    <x v="3"/>
    <x v="9"/>
    <x v="0"/>
    <x v="2"/>
    <x v="3"/>
    <s v="IP Phone"/>
    <n v="3250.19"/>
    <n v="7"/>
    <n v="21.75"/>
  </r>
  <r>
    <d v="2015-04-03T00:00:00"/>
    <x v="1"/>
    <x v="3"/>
    <x v="10"/>
    <x v="1"/>
    <x v="0"/>
    <x v="0"/>
    <s v="Desk Lamp"/>
    <n v="551.64"/>
    <n v="7"/>
    <n v="141.47"/>
  </r>
  <r>
    <d v="2015-04-04T00:00:00"/>
    <x v="1"/>
    <x v="3"/>
    <x v="6"/>
    <x v="7"/>
    <x v="0"/>
    <x v="0"/>
    <s v="Desk Lamp"/>
    <n v="3787"/>
    <n v="2"/>
    <n v="502.36"/>
  </r>
  <r>
    <d v="2015-04-05T00:00:00"/>
    <x v="1"/>
    <x v="3"/>
    <x v="8"/>
    <x v="8"/>
    <x v="1"/>
    <x v="11"/>
    <s v="Storage Box"/>
    <n v="2590.58"/>
    <n v="8"/>
    <n v="242.45"/>
  </r>
  <r>
    <d v="2015-04-06T00:00:00"/>
    <x v="1"/>
    <x v="3"/>
    <x v="9"/>
    <x v="0"/>
    <x v="1"/>
    <x v="1"/>
    <s v="Heater"/>
    <n v="2208.9299999999998"/>
    <n v="1"/>
    <n v="564.71"/>
  </r>
  <r>
    <d v="2015-04-06T00:00:00"/>
    <x v="1"/>
    <x v="3"/>
    <x v="9"/>
    <x v="6"/>
    <x v="2"/>
    <x v="6"/>
    <s v="Laser Copier"/>
    <n v="1341.77"/>
    <n v="6"/>
    <n v="286.38"/>
  </r>
  <r>
    <d v="2015-04-06T00:00:00"/>
    <x v="1"/>
    <x v="3"/>
    <x v="0"/>
    <x v="6"/>
    <x v="1"/>
    <x v="1"/>
    <s v="Air Cleaner"/>
    <n v="634.12"/>
    <n v="7"/>
    <n v="129.35"/>
  </r>
  <r>
    <d v="2015-04-07T00:00:00"/>
    <x v="1"/>
    <x v="3"/>
    <x v="10"/>
    <x v="7"/>
    <x v="1"/>
    <x v="8"/>
    <s v="A4 Paper Pack"/>
    <n v="1145.05"/>
    <n v="7"/>
    <n v="140.80000000000001"/>
  </r>
  <r>
    <d v="2015-04-07T00:00:00"/>
    <x v="1"/>
    <x v="3"/>
    <x v="9"/>
    <x v="6"/>
    <x v="1"/>
    <x v="1"/>
    <s v="Air Cleaner"/>
    <n v="1440.28"/>
    <n v="5"/>
    <n v="373.93"/>
  </r>
  <r>
    <d v="2015-04-07T00:00:00"/>
    <x v="1"/>
    <x v="3"/>
    <x v="2"/>
    <x v="6"/>
    <x v="2"/>
    <x v="3"/>
    <s v="Smartphone"/>
    <n v="4661.84"/>
    <n v="4"/>
    <n v="202.95"/>
  </r>
  <r>
    <d v="2015-04-07T00:00:00"/>
    <x v="1"/>
    <x v="3"/>
    <x v="7"/>
    <x v="9"/>
    <x v="2"/>
    <x v="3"/>
    <s v="Smartphone"/>
    <n v="3334.95"/>
    <n v="3"/>
    <n v="988.66"/>
  </r>
  <r>
    <d v="2015-04-07T00:00:00"/>
    <x v="1"/>
    <x v="3"/>
    <x v="3"/>
    <x v="7"/>
    <x v="2"/>
    <x v="3"/>
    <s v="Smartphone"/>
    <n v="840.83"/>
    <n v="5"/>
    <n v="249.47"/>
  </r>
  <r>
    <d v="2015-04-08T00:00:00"/>
    <x v="1"/>
    <x v="3"/>
    <x v="6"/>
    <x v="8"/>
    <x v="0"/>
    <x v="2"/>
    <s v="Study Table"/>
    <n v="1941.11"/>
    <n v="8"/>
    <n v="517.01"/>
  </r>
  <r>
    <d v="2015-04-09T00:00:00"/>
    <x v="1"/>
    <x v="3"/>
    <x v="3"/>
    <x v="0"/>
    <x v="2"/>
    <x v="5"/>
    <s v="USB Drive"/>
    <n v="589.89"/>
    <n v="9"/>
    <n v="131.65"/>
  </r>
  <r>
    <d v="2015-04-10T00:00:00"/>
    <x v="1"/>
    <x v="3"/>
    <x v="11"/>
    <x v="0"/>
    <x v="0"/>
    <x v="0"/>
    <s v="Desk Lamp"/>
    <n v="1395.35"/>
    <n v="8"/>
    <n v="47.15"/>
  </r>
  <r>
    <d v="2015-04-11T00:00:00"/>
    <x v="1"/>
    <x v="3"/>
    <x v="4"/>
    <x v="7"/>
    <x v="2"/>
    <x v="5"/>
    <s v="USB Drive"/>
    <n v="3204.97"/>
    <n v="2"/>
    <n v="189.01"/>
  </r>
  <r>
    <d v="2015-04-11T00:00:00"/>
    <x v="1"/>
    <x v="3"/>
    <x v="6"/>
    <x v="0"/>
    <x v="1"/>
    <x v="9"/>
    <s v="Binder Pack"/>
    <n v="4046.35"/>
    <n v="2"/>
    <n v="206.78"/>
  </r>
  <r>
    <d v="2015-04-12T00:00:00"/>
    <x v="1"/>
    <x v="3"/>
    <x v="3"/>
    <x v="5"/>
    <x v="2"/>
    <x v="3"/>
    <s v="IP Phone"/>
    <n v="4320.47"/>
    <n v="9"/>
    <n v="299.27"/>
  </r>
  <r>
    <d v="2015-04-12T00:00:00"/>
    <x v="1"/>
    <x v="3"/>
    <x v="9"/>
    <x v="4"/>
    <x v="0"/>
    <x v="0"/>
    <s v="Desk Lamp"/>
    <n v="3185.09"/>
    <n v="7"/>
    <n v="572.13"/>
  </r>
  <r>
    <d v="2015-04-13T00:00:00"/>
    <x v="1"/>
    <x v="3"/>
    <x v="4"/>
    <x v="7"/>
    <x v="1"/>
    <x v="11"/>
    <s v="Storage Box"/>
    <n v="4449.55"/>
    <n v="7"/>
    <n v="1028.3599999999999"/>
  </r>
  <r>
    <d v="2015-04-13T00:00:00"/>
    <x v="1"/>
    <x v="3"/>
    <x v="9"/>
    <x v="2"/>
    <x v="2"/>
    <x v="6"/>
    <s v="Laser Copier"/>
    <n v="4749.2"/>
    <n v="7"/>
    <n v="493.08"/>
  </r>
  <r>
    <d v="2015-04-13T00:00:00"/>
    <x v="1"/>
    <x v="3"/>
    <x v="10"/>
    <x v="9"/>
    <x v="0"/>
    <x v="10"/>
    <s v="Metal Bookcase"/>
    <n v="4854.47"/>
    <n v="1"/>
    <n v="621.94000000000005"/>
  </r>
  <r>
    <d v="2015-04-13T00:00:00"/>
    <x v="1"/>
    <x v="3"/>
    <x v="2"/>
    <x v="2"/>
    <x v="0"/>
    <x v="0"/>
    <s v="Desk Lamp"/>
    <n v="3204.44"/>
    <n v="2"/>
    <n v="921.75"/>
  </r>
  <r>
    <d v="2015-04-15T00:00:00"/>
    <x v="1"/>
    <x v="3"/>
    <x v="3"/>
    <x v="0"/>
    <x v="1"/>
    <x v="11"/>
    <s v="Storage Box"/>
    <n v="71.12"/>
    <n v="1"/>
    <n v="12.51"/>
  </r>
  <r>
    <d v="2015-04-15T00:00:00"/>
    <x v="1"/>
    <x v="3"/>
    <x v="5"/>
    <x v="2"/>
    <x v="1"/>
    <x v="11"/>
    <s v="Drawer Unit"/>
    <n v="2056.02"/>
    <n v="2"/>
    <n v="446.19"/>
  </r>
  <r>
    <d v="2015-04-15T00:00:00"/>
    <x v="1"/>
    <x v="3"/>
    <x v="5"/>
    <x v="2"/>
    <x v="0"/>
    <x v="2"/>
    <s v="Study Table"/>
    <n v="4995.8599999999997"/>
    <n v="7"/>
    <n v="1174.96"/>
  </r>
  <r>
    <d v="2015-04-16T00:00:00"/>
    <x v="1"/>
    <x v="3"/>
    <x v="2"/>
    <x v="7"/>
    <x v="2"/>
    <x v="3"/>
    <s v="IP Phone"/>
    <n v="1151.57"/>
    <n v="8"/>
    <n v="288.51"/>
  </r>
  <r>
    <d v="2015-04-17T00:00:00"/>
    <x v="1"/>
    <x v="3"/>
    <x v="1"/>
    <x v="0"/>
    <x v="2"/>
    <x v="5"/>
    <s v="Mouse"/>
    <n v="1723.46"/>
    <n v="1"/>
    <n v="229.42"/>
  </r>
  <r>
    <d v="2015-04-18T00:00:00"/>
    <x v="1"/>
    <x v="3"/>
    <x v="4"/>
    <x v="8"/>
    <x v="1"/>
    <x v="1"/>
    <s v="Heater"/>
    <n v="240.05"/>
    <n v="5"/>
    <n v="31.09"/>
  </r>
  <r>
    <d v="2015-04-19T00:00:00"/>
    <x v="1"/>
    <x v="3"/>
    <x v="10"/>
    <x v="9"/>
    <x v="2"/>
    <x v="5"/>
    <s v="Mouse"/>
    <n v="4640.58"/>
    <n v="3"/>
    <n v="1048.1300000000001"/>
  </r>
  <r>
    <d v="2015-04-19T00:00:00"/>
    <x v="1"/>
    <x v="3"/>
    <x v="2"/>
    <x v="5"/>
    <x v="0"/>
    <x v="4"/>
    <s v="Office Chair"/>
    <n v="3254.3"/>
    <n v="3"/>
    <n v="353.65"/>
  </r>
  <r>
    <d v="2015-04-20T00:00:00"/>
    <x v="1"/>
    <x v="3"/>
    <x v="9"/>
    <x v="7"/>
    <x v="1"/>
    <x v="7"/>
    <s v="Sketch Kit"/>
    <n v="1351.78"/>
    <n v="10"/>
    <n v="132.05000000000001"/>
  </r>
  <r>
    <d v="2015-04-20T00:00:00"/>
    <x v="1"/>
    <x v="3"/>
    <x v="2"/>
    <x v="9"/>
    <x v="2"/>
    <x v="3"/>
    <s v="IP Phone"/>
    <n v="2511.1799999999998"/>
    <n v="9"/>
    <n v="356.49"/>
  </r>
  <r>
    <d v="2015-04-21T00:00:00"/>
    <x v="1"/>
    <x v="3"/>
    <x v="7"/>
    <x v="1"/>
    <x v="1"/>
    <x v="11"/>
    <s v="Storage Box"/>
    <n v="3696.42"/>
    <n v="6"/>
    <n v="961.28"/>
  </r>
  <r>
    <d v="2015-04-21T00:00:00"/>
    <x v="1"/>
    <x v="3"/>
    <x v="6"/>
    <x v="4"/>
    <x v="0"/>
    <x v="10"/>
    <s v="Metal Bookcase"/>
    <n v="2409.75"/>
    <n v="10"/>
    <n v="157.79"/>
  </r>
  <r>
    <d v="2015-04-21T00:00:00"/>
    <x v="1"/>
    <x v="3"/>
    <x v="7"/>
    <x v="0"/>
    <x v="0"/>
    <x v="0"/>
    <s v="Wall Decor"/>
    <n v="1057.55"/>
    <n v="5"/>
    <n v="78.06"/>
  </r>
  <r>
    <d v="2015-04-21T00:00:00"/>
    <x v="1"/>
    <x v="3"/>
    <x v="9"/>
    <x v="4"/>
    <x v="0"/>
    <x v="0"/>
    <s v="Desk Lamp"/>
    <n v="4767.01"/>
    <n v="3"/>
    <n v="1127.29"/>
  </r>
  <r>
    <d v="2015-04-22T00:00:00"/>
    <x v="1"/>
    <x v="3"/>
    <x v="6"/>
    <x v="8"/>
    <x v="1"/>
    <x v="7"/>
    <s v="Color Set"/>
    <n v="1591.61"/>
    <n v="9"/>
    <n v="262.33999999999997"/>
  </r>
  <r>
    <d v="2015-04-23T00:00:00"/>
    <x v="1"/>
    <x v="3"/>
    <x v="8"/>
    <x v="4"/>
    <x v="2"/>
    <x v="6"/>
    <s v="Inkjet Copier"/>
    <n v="221.33"/>
    <n v="9"/>
    <n v="5.7"/>
  </r>
  <r>
    <d v="2015-04-26T00:00:00"/>
    <x v="1"/>
    <x v="3"/>
    <x v="4"/>
    <x v="2"/>
    <x v="1"/>
    <x v="7"/>
    <s v="Sketch Kit"/>
    <n v="3249.8"/>
    <n v="8"/>
    <n v="94.66"/>
  </r>
  <r>
    <d v="2015-04-26T00:00:00"/>
    <x v="1"/>
    <x v="3"/>
    <x v="7"/>
    <x v="3"/>
    <x v="1"/>
    <x v="8"/>
    <s v="A4 Paper Pack"/>
    <n v="4731.1099999999997"/>
    <n v="1"/>
    <n v="443.35"/>
  </r>
  <r>
    <d v="2015-04-26T00:00:00"/>
    <x v="1"/>
    <x v="3"/>
    <x v="9"/>
    <x v="9"/>
    <x v="1"/>
    <x v="9"/>
    <s v="Binder Pack"/>
    <n v="2454.0100000000002"/>
    <n v="8"/>
    <n v="54.45"/>
  </r>
  <r>
    <d v="2015-04-29T00:00:00"/>
    <x v="1"/>
    <x v="3"/>
    <x v="5"/>
    <x v="0"/>
    <x v="1"/>
    <x v="1"/>
    <s v="Air Cleaner"/>
    <n v="4524.72"/>
    <n v="10"/>
    <n v="1048.8699999999999"/>
  </r>
  <r>
    <d v="2015-04-29T00:00:00"/>
    <x v="1"/>
    <x v="3"/>
    <x v="3"/>
    <x v="5"/>
    <x v="0"/>
    <x v="10"/>
    <s v="Wooden Bookcase"/>
    <n v="2978.92"/>
    <n v="1"/>
    <n v="822.77"/>
  </r>
  <r>
    <d v="2015-04-30T00:00:00"/>
    <x v="1"/>
    <x v="3"/>
    <x v="3"/>
    <x v="8"/>
    <x v="2"/>
    <x v="5"/>
    <s v="Keyboard"/>
    <n v="2603.5300000000002"/>
    <n v="1"/>
    <n v="265.74"/>
  </r>
  <r>
    <d v="2015-04-30T00:00:00"/>
    <x v="1"/>
    <x v="3"/>
    <x v="10"/>
    <x v="0"/>
    <x v="1"/>
    <x v="9"/>
    <s v="Binder Pack"/>
    <n v="858.26"/>
    <n v="9"/>
    <n v="221.31"/>
  </r>
  <r>
    <d v="2015-05-01T00:00:00"/>
    <x v="1"/>
    <x v="4"/>
    <x v="4"/>
    <x v="7"/>
    <x v="2"/>
    <x v="5"/>
    <s v="Keyboard"/>
    <n v="4625.49"/>
    <n v="8"/>
    <n v="1230.5999999999999"/>
  </r>
  <r>
    <d v="2015-05-02T00:00:00"/>
    <x v="1"/>
    <x v="4"/>
    <x v="6"/>
    <x v="6"/>
    <x v="2"/>
    <x v="6"/>
    <s v="Laser Copier"/>
    <n v="1373.4"/>
    <n v="6"/>
    <n v="173.03"/>
  </r>
  <r>
    <d v="2015-05-02T00:00:00"/>
    <x v="1"/>
    <x v="4"/>
    <x v="9"/>
    <x v="6"/>
    <x v="1"/>
    <x v="8"/>
    <s v="A4 Paper Pack"/>
    <n v="637"/>
    <n v="9"/>
    <n v="184.47"/>
  </r>
  <r>
    <d v="2015-05-02T00:00:00"/>
    <x v="1"/>
    <x v="4"/>
    <x v="7"/>
    <x v="6"/>
    <x v="0"/>
    <x v="10"/>
    <s v="Metal Bookcase"/>
    <n v="1814.18"/>
    <n v="8"/>
    <n v="121.52"/>
  </r>
  <r>
    <d v="2015-05-03T00:00:00"/>
    <x v="1"/>
    <x v="4"/>
    <x v="5"/>
    <x v="4"/>
    <x v="0"/>
    <x v="2"/>
    <s v="Conference Table"/>
    <n v="3700.24"/>
    <n v="7"/>
    <n v="1087.3699999999999"/>
  </r>
  <r>
    <d v="2015-05-04T00:00:00"/>
    <x v="1"/>
    <x v="4"/>
    <x v="6"/>
    <x v="8"/>
    <x v="2"/>
    <x v="5"/>
    <s v="Keyboard"/>
    <n v="1167.56"/>
    <n v="5"/>
    <n v="279.74"/>
  </r>
  <r>
    <d v="2015-05-04T00:00:00"/>
    <x v="1"/>
    <x v="4"/>
    <x v="5"/>
    <x v="6"/>
    <x v="1"/>
    <x v="9"/>
    <s v="Binder Pack"/>
    <n v="1739.2"/>
    <n v="6"/>
    <n v="128.44"/>
  </r>
  <r>
    <d v="2015-05-04T00:00:00"/>
    <x v="1"/>
    <x v="4"/>
    <x v="4"/>
    <x v="9"/>
    <x v="1"/>
    <x v="7"/>
    <s v="Color Set"/>
    <n v="3000.11"/>
    <n v="1"/>
    <n v="378.54"/>
  </r>
  <r>
    <d v="2015-05-07T00:00:00"/>
    <x v="1"/>
    <x v="4"/>
    <x v="7"/>
    <x v="1"/>
    <x v="1"/>
    <x v="8"/>
    <s v="Printer Paper"/>
    <n v="2929.98"/>
    <n v="8"/>
    <n v="265.04000000000002"/>
  </r>
  <r>
    <d v="2015-05-07T00:00:00"/>
    <x v="1"/>
    <x v="4"/>
    <x v="9"/>
    <x v="3"/>
    <x v="1"/>
    <x v="7"/>
    <s v="Color Set"/>
    <n v="1620.77"/>
    <n v="10"/>
    <n v="236.23"/>
  </r>
  <r>
    <d v="2015-05-07T00:00:00"/>
    <x v="1"/>
    <x v="4"/>
    <x v="2"/>
    <x v="6"/>
    <x v="1"/>
    <x v="8"/>
    <s v="Printer Paper"/>
    <n v="1908.91"/>
    <n v="2"/>
    <n v="414.87"/>
  </r>
  <r>
    <d v="2015-05-08T00:00:00"/>
    <x v="1"/>
    <x v="4"/>
    <x v="8"/>
    <x v="2"/>
    <x v="0"/>
    <x v="2"/>
    <s v="Study Table"/>
    <n v="217.7"/>
    <n v="9"/>
    <n v="39.96"/>
  </r>
  <r>
    <d v="2015-05-08T00:00:00"/>
    <x v="1"/>
    <x v="4"/>
    <x v="8"/>
    <x v="7"/>
    <x v="1"/>
    <x v="9"/>
    <s v="Ring Binder"/>
    <n v="457.82"/>
    <n v="6"/>
    <n v="103.31"/>
  </r>
  <r>
    <d v="2015-05-08T00:00:00"/>
    <x v="1"/>
    <x v="4"/>
    <x v="2"/>
    <x v="7"/>
    <x v="0"/>
    <x v="2"/>
    <s v="Conference Table"/>
    <n v="1515.67"/>
    <n v="3"/>
    <n v="359.87"/>
  </r>
  <r>
    <d v="2015-05-09T00:00:00"/>
    <x v="1"/>
    <x v="4"/>
    <x v="3"/>
    <x v="5"/>
    <x v="0"/>
    <x v="0"/>
    <s v="Wall Decor"/>
    <n v="2739.02"/>
    <n v="7"/>
    <n v="204.28"/>
  </r>
  <r>
    <d v="2015-05-09T00:00:00"/>
    <x v="1"/>
    <x v="4"/>
    <x v="10"/>
    <x v="9"/>
    <x v="1"/>
    <x v="7"/>
    <s v="Sketch Kit"/>
    <n v="1515.75"/>
    <n v="6"/>
    <n v="402.96"/>
  </r>
  <r>
    <d v="2015-05-09T00:00:00"/>
    <x v="1"/>
    <x v="4"/>
    <x v="5"/>
    <x v="0"/>
    <x v="0"/>
    <x v="2"/>
    <s v="Conference Table"/>
    <n v="266.47000000000003"/>
    <n v="8"/>
    <n v="32.39"/>
  </r>
  <r>
    <d v="2015-05-10T00:00:00"/>
    <x v="1"/>
    <x v="4"/>
    <x v="6"/>
    <x v="8"/>
    <x v="0"/>
    <x v="2"/>
    <s v="Conference Table"/>
    <n v="421.53"/>
    <n v="1"/>
    <n v="10.24"/>
  </r>
  <r>
    <d v="2015-05-12T00:00:00"/>
    <x v="1"/>
    <x v="4"/>
    <x v="9"/>
    <x v="3"/>
    <x v="2"/>
    <x v="6"/>
    <s v="Inkjet Copier"/>
    <n v="4903.88"/>
    <n v="6"/>
    <n v="408.41"/>
  </r>
  <r>
    <d v="2015-05-13T00:00:00"/>
    <x v="1"/>
    <x v="4"/>
    <x v="8"/>
    <x v="8"/>
    <x v="0"/>
    <x v="4"/>
    <s v="Ergonomic Chair"/>
    <n v="4312.67"/>
    <n v="8"/>
    <n v="876.33"/>
  </r>
  <r>
    <d v="2015-05-13T00:00:00"/>
    <x v="1"/>
    <x v="4"/>
    <x v="3"/>
    <x v="5"/>
    <x v="1"/>
    <x v="8"/>
    <s v="A4 Paper Pack"/>
    <n v="3237.98"/>
    <n v="1"/>
    <n v="732.06"/>
  </r>
  <r>
    <d v="2015-05-13T00:00:00"/>
    <x v="1"/>
    <x v="4"/>
    <x v="9"/>
    <x v="7"/>
    <x v="1"/>
    <x v="11"/>
    <s v="Drawer Unit"/>
    <n v="436.83"/>
    <n v="9"/>
    <n v="9.33"/>
  </r>
  <r>
    <d v="2015-05-14T00:00:00"/>
    <x v="1"/>
    <x v="4"/>
    <x v="4"/>
    <x v="1"/>
    <x v="0"/>
    <x v="10"/>
    <s v="Metal Bookcase"/>
    <n v="4085.57"/>
    <n v="4"/>
    <n v="881.47"/>
  </r>
  <r>
    <d v="2015-05-15T00:00:00"/>
    <x v="1"/>
    <x v="4"/>
    <x v="6"/>
    <x v="5"/>
    <x v="1"/>
    <x v="11"/>
    <s v="Storage Box"/>
    <n v="4736.84"/>
    <n v="7"/>
    <n v="373.62"/>
  </r>
  <r>
    <d v="2015-05-15T00:00:00"/>
    <x v="1"/>
    <x v="4"/>
    <x v="10"/>
    <x v="4"/>
    <x v="1"/>
    <x v="8"/>
    <s v="A4 Paper Pack"/>
    <n v="4474.6000000000004"/>
    <n v="2"/>
    <n v="918.21"/>
  </r>
  <r>
    <d v="2015-05-16T00:00:00"/>
    <x v="1"/>
    <x v="4"/>
    <x v="7"/>
    <x v="9"/>
    <x v="0"/>
    <x v="10"/>
    <s v="Wooden Bookcase"/>
    <n v="1088.51"/>
    <n v="1"/>
    <n v="157.38"/>
  </r>
  <r>
    <d v="2015-05-16T00:00:00"/>
    <x v="1"/>
    <x v="4"/>
    <x v="6"/>
    <x v="3"/>
    <x v="1"/>
    <x v="9"/>
    <s v="Binder Pack"/>
    <n v="2162.58"/>
    <n v="1"/>
    <n v="47.58"/>
  </r>
  <r>
    <d v="2015-05-17T00:00:00"/>
    <x v="1"/>
    <x v="4"/>
    <x v="6"/>
    <x v="1"/>
    <x v="2"/>
    <x v="3"/>
    <s v="Smartphone"/>
    <n v="106.64"/>
    <n v="2"/>
    <n v="6.33"/>
  </r>
  <r>
    <d v="2015-05-18T00:00:00"/>
    <x v="1"/>
    <x v="4"/>
    <x v="2"/>
    <x v="0"/>
    <x v="1"/>
    <x v="7"/>
    <s v="Color Set"/>
    <n v="1125.17"/>
    <n v="6"/>
    <n v="243.66"/>
  </r>
  <r>
    <d v="2015-05-19T00:00:00"/>
    <x v="1"/>
    <x v="4"/>
    <x v="2"/>
    <x v="3"/>
    <x v="0"/>
    <x v="2"/>
    <s v="Conference Table"/>
    <n v="1419.34"/>
    <n v="3"/>
    <n v="16.399999999999999"/>
  </r>
  <r>
    <d v="2015-05-20T00:00:00"/>
    <x v="1"/>
    <x v="4"/>
    <x v="7"/>
    <x v="5"/>
    <x v="0"/>
    <x v="4"/>
    <s v="Executive Chair"/>
    <n v="3960.68"/>
    <n v="6"/>
    <n v="992.54"/>
  </r>
  <r>
    <d v="2015-05-21T00:00:00"/>
    <x v="1"/>
    <x v="4"/>
    <x v="4"/>
    <x v="5"/>
    <x v="0"/>
    <x v="0"/>
    <s v="Wall Decor"/>
    <n v="682.6"/>
    <n v="2"/>
    <n v="147.91"/>
  </r>
  <r>
    <d v="2015-05-21T00:00:00"/>
    <x v="1"/>
    <x v="4"/>
    <x v="3"/>
    <x v="8"/>
    <x v="1"/>
    <x v="1"/>
    <s v="Heater"/>
    <n v="1789.97"/>
    <n v="8"/>
    <n v="421.76"/>
  </r>
  <r>
    <d v="2015-05-21T00:00:00"/>
    <x v="1"/>
    <x v="4"/>
    <x v="0"/>
    <x v="6"/>
    <x v="1"/>
    <x v="11"/>
    <s v="Drawer Unit"/>
    <n v="2477.6"/>
    <n v="6"/>
    <n v="194.35"/>
  </r>
  <r>
    <d v="2015-05-23T00:00:00"/>
    <x v="1"/>
    <x v="4"/>
    <x v="7"/>
    <x v="9"/>
    <x v="2"/>
    <x v="5"/>
    <s v="USB Drive"/>
    <n v="224.36"/>
    <n v="4"/>
    <n v="6.85"/>
  </r>
  <r>
    <d v="2015-05-24T00:00:00"/>
    <x v="1"/>
    <x v="4"/>
    <x v="7"/>
    <x v="8"/>
    <x v="2"/>
    <x v="6"/>
    <s v="Laser Copier"/>
    <n v="788.24"/>
    <n v="1"/>
    <n v="69.17"/>
  </r>
  <r>
    <d v="2015-05-24T00:00:00"/>
    <x v="1"/>
    <x v="4"/>
    <x v="10"/>
    <x v="1"/>
    <x v="0"/>
    <x v="10"/>
    <s v="Metal Bookcase"/>
    <n v="2367.48"/>
    <n v="5"/>
    <n v="242.47"/>
  </r>
  <r>
    <d v="2015-05-25T00:00:00"/>
    <x v="1"/>
    <x v="4"/>
    <x v="0"/>
    <x v="1"/>
    <x v="2"/>
    <x v="3"/>
    <s v="Smartphone"/>
    <n v="2792.5"/>
    <n v="3"/>
    <n v="651.20000000000005"/>
  </r>
  <r>
    <d v="2015-05-25T00:00:00"/>
    <x v="1"/>
    <x v="4"/>
    <x v="8"/>
    <x v="6"/>
    <x v="2"/>
    <x v="3"/>
    <s v="IP Phone"/>
    <n v="3284.45"/>
    <n v="5"/>
    <n v="321.36"/>
  </r>
  <r>
    <d v="2015-05-26T00:00:00"/>
    <x v="1"/>
    <x v="4"/>
    <x v="0"/>
    <x v="2"/>
    <x v="1"/>
    <x v="1"/>
    <s v="Heater"/>
    <n v="1042.76"/>
    <n v="1"/>
    <n v="174.37"/>
  </r>
  <r>
    <d v="2015-05-26T00:00:00"/>
    <x v="1"/>
    <x v="4"/>
    <x v="1"/>
    <x v="6"/>
    <x v="1"/>
    <x v="9"/>
    <s v="Binder Pack"/>
    <n v="2439.12"/>
    <n v="7"/>
    <n v="140.27000000000001"/>
  </r>
  <r>
    <d v="2015-05-27T00:00:00"/>
    <x v="1"/>
    <x v="4"/>
    <x v="2"/>
    <x v="8"/>
    <x v="0"/>
    <x v="0"/>
    <s v="Desk Lamp"/>
    <n v="439.68"/>
    <n v="1"/>
    <n v="23.32"/>
  </r>
  <r>
    <d v="2015-05-28T00:00:00"/>
    <x v="1"/>
    <x v="4"/>
    <x v="10"/>
    <x v="1"/>
    <x v="0"/>
    <x v="4"/>
    <s v="Ergonomic Chair"/>
    <n v="3464.17"/>
    <n v="2"/>
    <n v="791.92"/>
  </r>
  <r>
    <d v="2015-05-29T00:00:00"/>
    <x v="1"/>
    <x v="4"/>
    <x v="9"/>
    <x v="3"/>
    <x v="1"/>
    <x v="9"/>
    <s v="Ring Binder"/>
    <n v="2795.18"/>
    <n v="4"/>
    <n v="580.02"/>
  </r>
  <r>
    <d v="2015-05-29T00:00:00"/>
    <x v="1"/>
    <x v="4"/>
    <x v="10"/>
    <x v="4"/>
    <x v="1"/>
    <x v="9"/>
    <s v="Binder Pack"/>
    <n v="3670.77"/>
    <n v="2"/>
    <n v="575.86"/>
  </r>
  <r>
    <d v="2015-05-30T00:00:00"/>
    <x v="1"/>
    <x v="4"/>
    <x v="11"/>
    <x v="9"/>
    <x v="1"/>
    <x v="7"/>
    <s v="Color Set"/>
    <n v="613.75"/>
    <n v="6"/>
    <n v="156.43"/>
  </r>
  <r>
    <d v="2015-05-30T00:00:00"/>
    <x v="1"/>
    <x v="4"/>
    <x v="2"/>
    <x v="4"/>
    <x v="1"/>
    <x v="8"/>
    <s v="A4 Paper Pack"/>
    <n v="3545.14"/>
    <n v="7"/>
    <n v="886.72"/>
  </r>
  <r>
    <d v="2015-05-31T00:00:00"/>
    <x v="1"/>
    <x v="4"/>
    <x v="3"/>
    <x v="7"/>
    <x v="2"/>
    <x v="5"/>
    <s v="Mouse"/>
    <n v="862.56"/>
    <n v="7"/>
    <n v="14.45"/>
  </r>
  <r>
    <d v="2015-05-31T00:00:00"/>
    <x v="1"/>
    <x v="4"/>
    <x v="3"/>
    <x v="3"/>
    <x v="0"/>
    <x v="10"/>
    <s v="Wooden Bookcase"/>
    <n v="27.27"/>
    <n v="9"/>
    <n v="0.65"/>
  </r>
  <r>
    <d v="2015-06-01T00:00:00"/>
    <x v="1"/>
    <x v="5"/>
    <x v="1"/>
    <x v="0"/>
    <x v="0"/>
    <x v="0"/>
    <s v="Desk Lamp"/>
    <n v="1693.13"/>
    <n v="4"/>
    <n v="386.19"/>
  </r>
  <r>
    <d v="2015-06-03T00:00:00"/>
    <x v="1"/>
    <x v="5"/>
    <x v="10"/>
    <x v="9"/>
    <x v="1"/>
    <x v="11"/>
    <s v="Storage Box"/>
    <n v="3332.18"/>
    <n v="5"/>
    <n v="485.88"/>
  </r>
  <r>
    <d v="2015-06-03T00:00:00"/>
    <x v="1"/>
    <x v="5"/>
    <x v="2"/>
    <x v="9"/>
    <x v="1"/>
    <x v="8"/>
    <s v="A4 Paper Pack"/>
    <n v="704.01"/>
    <n v="8"/>
    <n v="94.71"/>
  </r>
  <r>
    <d v="2015-06-04T00:00:00"/>
    <x v="1"/>
    <x v="5"/>
    <x v="2"/>
    <x v="3"/>
    <x v="0"/>
    <x v="4"/>
    <s v="Executive Chair"/>
    <n v="2327.69"/>
    <n v="7"/>
    <n v="293.29000000000002"/>
  </r>
  <r>
    <d v="2015-06-04T00:00:00"/>
    <x v="1"/>
    <x v="5"/>
    <x v="10"/>
    <x v="2"/>
    <x v="1"/>
    <x v="7"/>
    <s v="Sketch Kit"/>
    <n v="4379.9799999999996"/>
    <n v="8"/>
    <n v="774.49"/>
  </r>
  <r>
    <d v="2015-06-06T00:00:00"/>
    <x v="1"/>
    <x v="5"/>
    <x v="11"/>
    <x v="8"/>
    <x v="1"/>
    <x v="7"/>
    <s v="Sketch Kit"/>
    <n v="3674.77"/>
    <n v="4"/>
    <n v="635.70000000000005"/>
  </r>
  <r>
    <d v="2015-06-06T00:00:00"/>
    <x v="1"/>
    <x v="5"/>
    <x v="5"/>
    <x v="5"/>
    <x v="1"/>
    <x v="7"/>
    <s v="Color Set"/>
    <n v="982.37"/>
    <n v="5"/>
    <n v="31.92"/>
  </r>
  <r>
    <d v="2015-06-07T00:00:00"/>
    <x v="1"/>
    <x v="5"/>
    <x v="3"/>
    <x v="2"/>
    <x v="1"/>
    <x v="8"/>
    <s v="Printer Paper"/>
    <n v="426.32"/>
    <n v="4"/>
    <n v="33.74"/>
  </r>
  <r>
    <d v="2015-06-07T00:00:00"/>
    <x v="1"/>
    <x v="5"/>
    <x v="8"/>
    <x v="8"/>
    <x v="2"/>
    <x v="5"/>
    <s v="Mouse"/>
    <n v="3106.65"/>
    <n v="6"/>
    <n v="427"/>
  </r>
  <r>
    <d v="2015-06-07T00:00:00"/>
    <x v="1"/>
    <x v="5"/>
    <x v="11"/>
    <x v="7"/>
    <x v="2"/>
    <x v="5"/>
    <s v="Keyboard"/>
    <n v="2875.9"/>
    <n v="3"/>
    <n v="151.30000000000001"/>
  </r>
  <r>
    <d v="2015-06-07T00:00:00"/>
    <x v="1"/>
    <x v="5"/>
    <x v="3"/>
    <x v="0"/>
    <x v="0"/>
    <x v="0"/>
    <s v="Desk Lamp"/>
    <n v="842.35"/>
    <n v="4"/>
    <n v="68.430000000000007"/>
  </r>
  <r>
    <d v="2015-06-08T00:00:00"/>
    <x v="1"/>
    <x v="5"/>
    <x v="2"/>
    <x v="0"/>
    <x v="2"/>
    <x v="6"/>
    <s v="Inkjet Copier"/>
    <n v="4558.62"/>
    <n v="1"/>
    <n v="1110.7"/>
  </r>
  <r>
    <d v="2015-06-09T00:00:00"/>
    <x v="1"/>
    <x v="5"/>
    <x v="1"/>
    <x v="7"/>
    <x v="1"/>
    <x v="1"/>
    <s v="Heater"/>
    <n v="823.51"/>
    <n v="1"/>
    <n v="42.81"/>
  </r>
  <r>
    <d v="2015-06-09T00:00:00"/>
    <x v="1"/>
    <x v="5"/>
    <x v="7"/>
    <x v="6"/>
    <x v="0"/>
    <x v="0"/>
    <s v="Wall Decor"/>
    <n v="2241"/>
    <n v="8"/>
    <n v="483.85"/>
  </r>
  <r>
    <d v="2015-06-09T00:00:00"/>
    <x v="1"/>
    <x v="5"/>
    <x v="11"/>
    <x v="7"/>
    <x v="2"/>
    <x v="3"/>
    <s v="Smartphone"/>
    <n v="4011.08"/>
    <n v="2"/>
    <n v="700.9"/>
  </r>
  <r>
    <d v="2015-06-09T00:00:00"/>
    <x v="1"/>
    <x v="5"/>
    <x v="1"/>
    <x v="3"/>
    <x v="2"/>
    <x v="3"/>
    <s v="Smartphone"/>
    <n v="4949.59"/>
    <n v="9"/>
    <n v="766.8"/>
  </r>
  <r>
    <d v="2015-06-10T00:00:00"/>
    <x v="1"/>
    <x v="5"/>
    <x v="10"/>
    <x v="6"/>
    <x v="0"/>
    <x v="10"/>
    <s v="Wooden Bookcase"/>
    <n v="1458.78"/>
    <n v="4"/>
    <n v="411.67"/>
  </r>
  <r>
    <d v="2015-06-11T00:00:00"/>
    <x v="1"/>
    <x v="5"/>
    <x v="9"/>
    <x v="8"/>
    <x v="2"/>
    <x v="3"/>
    <s v="IP Phone"/>
    <n v="188.09"/>
    <n v="8"/>
    <n v="16.989999999999998"/>
  </r>
  <r>
    <d v="2015-06-13T00:00:00"/>
    <x v="1"/>
    <x v="5"/>
    <x v="11"/>
    <x v="0"/>
    <x v="2"/>
    <x v="5"/>
    <s v="Mouse"/>
    <n v="3392.64"/>
    <n v="8"/>
    <n v="662.44"/>
  </r>
  <r>
    <d v="2015-06-13T00:00:00"/>
    <x v="1"/>
    <x v="5"/>
    <x v="5"/>
    <x v="2"/>
    <x v="2"/>
    <x v="6"/>
    <s v="Inkjet Copier"/>
    <n v="430.44"/>
    <n v="5"/>
    <n v="39.99"/>
  </r>
  <r>
    <d v="2015-06-14T00:00:00"/>
    <x v="1"/>
    <x v="5"/>
    <x v="0"/>
    <x v="9"/>
    <x v="0"/>
    <x v="0"/>
    <s v="Desk Lamp"/>
    <n v="3979.64"/>
    <n v="8"/>
    <n v="86.53"/>
  </r>
  <r>
    <d v="2015-06-14T00:00:00"/>
    <x v="1"/>
    <x v="5"/>
    <x v="11"/>
    <x v="8"/>
    <x v="0"/>
    <x v="0"/>
    <s v="Wall Decor"/>
    <n v="189.96"/>
    <n v="1"/>
    <n v="54.78"/>
  </r>
  <r>
    <d v="2015-06-15T00:00:00"/>
    <x v="1"/>
    <x v="5"/>
    <x v="6"/>
    <x v="2"/>
    <x v="2"/>
    <x v="5"/>
    <s v="Mouse"/>
    <n v="4173.25"/>
    <n v="10"/>
    <n v="238.22"/>
  </r>
  <r>
    <d v="2015-06-16T00:00:00"/>
    <x v="1"/>
    <x v="5"/>
    <x v="4"/>
    <x v="8"/>
    <x v="0"/>
    <x v="4"/>
    <s v="Ergonomic Chair"/>
    <n v="3072.59"/>
    <n v="3"/>
    <n v="901.69"/>
  </r>
  <r>
    <d v="2015-06-17T00:00:00"/>
    <x v="1"/>
    <x v="5"/>
    <x v="8"/>
    <x v="3"/>
    <x v="0"/>
    <x v="10"/>
    <s v="Wooden Bookcase"/>
    <n v="3685.26"/>
    <n v="9"/>
    <n v="19.73"/>
  </r>
  <r>
    <d v="2015-06-18T00:00:00"/>
    <x v="1"/>
    <x v="5"/>
    <x v="7"/>
    <x v="4"/>
    <x v="2"/>
    <x v="5"/>
    <s v="Keyboard"/>
    <n v="2762.07"/>
    <n v="10"/>
    <n v="161.69"/>
  </r>
  <r>
    <d v="2015-06-19T00:00:00"/>
    <x v="1"/>
    <x v="5"/>
    <x v="9"/>
    <x v="3"/>
    <x v="0"/>
    <x v="10"/>
    <s v="Wooden Bookcase"/>
    <n v="2649.29"/>
    <n v="3"/>
    <n v="498.39"/>
  </r>
  <r>
    <d v="2015-06-20T00:00:00"/>
    <x v="1"/>
    <x v="5"/>
    <x v="7"/>
    <x v="4"/>
    <x v="0"/>
    <x v="2"/>
    <s v="Conference Table"/>
    <n v="853.46"/>
    <n v="1"/>
    <n v="167.68"/>
  </r>
  <r>
    <d v="2015-06-20T00:00:00"/>
    <x v="1"/>
    <x v="5"/>
    <x v="7"/>
    <x v="6"/>
    <x v="0"/>
    <x v="10"/>
    <s v="Metal Bookcase"/>
    <n v="3564.31"/>
    <n v="2"/>
    <n v="776.63"/>
  </r>
  <r>
    <d v="2015-06-20T00:00:00"/>
    <x v="1"/>
    <x v="5"/>
    <x v="9"/>
    <x v="5"/>
    <x v="2"/>
    <x v="3"/>
    <s v="IP Phone"/>
    <n v="1249.53"/>
    <n v="8"/>
    <n v="210.56"/>
  </r>
  <r>
    <d v="2015-06-20T00:00:00"/>
    <x v="1"/>
    <x v="5"/>
    <x v="6"/>
    <x v="4"/>
    <x v="0"/>
    <x v="10"/>
    <s v="Wooden Bookcase"/>
    <n v="297.45"/>
    <n v="5"/>
    <n v="7.35"/>
  </r>
  <r>
    <d v="2015-06-21T00:00:00"/>
    <x v="1"/>
    <x v="5"/>
    <x v="1"/>
    <x v="7"/>
    <x v="0"/>
    <x v="0"/>
    <s v="Desk Lamp"/>
    <n v="4269.1400000000003"/>
    <n v="5"/>
    <n v="43.39"/>
  </r>
  <r>
    <d v="2015-06-24T00:00:00"/>
    <x v="1"/>
    <x v="5"/>
    <x v="11"/>
    <x v="8"/>
    <x v="0"/>
    <x v="2"/>
    <s v="Conference Table"/>
    <n v="4731.24"/>
    <n v="6"/>
    <n v="1361.08"/>
  </r>
  <r>
    <d v="2015-06-25T00:00:00"/>
    <x v="1"/>
    <x v="5"/>
    <x v="7"/>
    <x v="4"/>
    <x v="1"/>
    <x v="11"/>
    <s v="Storage Box"/>
    <n v="1397.35"/>
    <n v="6"/>
    <n v="298"/>
  </r>
  <r>
    <d v="2015-06-27T00:00:00"/>
    <x v="1"/>
    <x v="5"/>
    <x v="11"/>
    <x v="3"/>
    <x v="2"/>
    <x v="3"/>
    <s v="Smartphone"/>
    <n v="3198.11"/>
    <n v="2"/>
    <n v="851.13"/>
  </r>
  <r>
    <d v="2015-06-27T00:00:00"/>
    <x v="1"/>
    <x v="5"/>
    <x v="6"/>
    <x v="6"/>
    <x v="0"/>
    <x v="4"/>
    <s v="Office Chair"/>
    <n v="4476.29"/>
    <n v="9"/>
    <n v="1045.07"/>
  </r>
  <r>
    <d v="2015-06-27T00:00:00"/>
    <x v="1"/>
    <x v="5"/>
    <x v="4"/>
    <x v="1"/>
    <x v="1"/>
    <x v="11"/>
    <s v="Storage Box"/>
    <n v="2501.48"/>
    <n v="2"/>
    <n v="99.25"/>
  </r>
  <r>
    <d v="2015-06-27T00:00:00"/>
    <x v="1"/>
    <x v="5"/>
    <x v="4"/>
    <x v="7"/>
    <x v="0"/>
    <x v="4"/>
    <s v="Executive Chair"/>
    <n v="4199.28"/>
    <n v="8"/>
    <n v="988.11"/>
  </r>
  <r>
    <d v="2015-06-27T00:00:00"/>
    <x v="1"/>
    <x v="5"/>
    <x v="9"/>
    <x v="1"/>
    <x v="1"/>
    <x v="1"/>
    <s v="Heater"/>
    <n v="3795.47"/>
    <n v="7"/>
    <n v="419.18"/>
  </r>
  <r>
    <d v="2015-06-27T00:00:00"/>
    <x v="1"/>
    <x v="5"/>
    <x v="0"/>
    <x v="1"/>
    <x v="0"/>
    <x v="0"/>
    <s v="Desk Lamp"/>
    <n v="604.99"/>
    <n v="6"/>
    <n v="180.69"/>
  </r>
  <r>
    <d v="2015-06-29T00:00:00"/>
    <x v="1"/>
    <x v="5"/>
    <x v="11"/>
    <x v="5"/>
    <x v="1"/>
    <x v="11"/>
    <s v="Drawer Unit"/>
    <n v="1110.74"/>
    <n v="2"/>
    <n v="323.95999999999998"/>
  </r>
  <r>
    <d v="2015-07-02T00:00:00"/>
    <x v="1"/>
    <x v="6"/>
    <x v="3"/>
    <x v="9"/>
    <x v="1"/>
    <x v="7"/>
    <s v="Sketch Kit"/>
    <n v="509.06"/>
    <n v="2"/>
    <n v="2.73"/>
  </r>
  <r>
    <d v="2015-07-02T00:00:00"/>
    <x v="1"/>
    <x v="6"/>
    <x v="7"/>
    <x v="8"/>
    <x v="0"/>
    <x v="10"/>
    <s v="Wooden Bookcase"/>
    <n v="3925.76"/>
    <n v="6"/>
    <n v="92.72"/>
  </r>
  <r>
    <d v="2015-07-02T00:00:00"/>
    <x v="1"/>
    <x v="6"/>
    <x v="1"/>
    <x v="3"/>
    <x v="0"/>
    <x v="4"/>
    <s v="Executive Chair"/>
    <n v="4467.49"/>
    <n v="5"/>
    <n v="311.01"/>
  </r>
  <r>
    <d v="2015-07-03T00:00:00"/>
    <x v="1"/>
    <x v="6"/>
    <x v="2"/>
    <x v="9"/>
    <x v="2"/>
    <x v="6"/>
    <s v="Inkjet Copier"/>
    <n v="328.35"/>
    <n v="2"/>
    <n v="65.06"/>
  </r>
  <r>
    <d v="2015-07-03T00:00:00"/>
    <x v="1"/>
    <x v="6"/>
    <x v="4"/>
    <x v="7"/>
    <x v="0"/>
    <x v="2"/>
    <s v="Study Table"/>
    <n v="1030.1199999999999"/>
    <n v="9"/>
    <n v="171.38"/>
  </r>
  <r>
    <d v="2015-07-03T00:00:00"/>
    <x v="1"/>
    <x v="6"/>
    <x v="5"/>
    <x v="0"/>
    <x v="0"/>
    <x v="10"/>
    <s v="Wooden Bookcase"/>
    <n v="2003.12"/>
    <n v="4"/>
    <n v="491.43"/>
  </r>
  <r>
    <d v="2015-07-04T00:00:00"/>
    <x v="1"/>
    <x v="6"/>
    <x v="3"/>
    <x v="8"/>
    <x v="2"/>
    <x v="5"/>
    <s v="Keyboard"/>
    <n v="1232.28"/>
    <n v="5"/>
    <n v="35.28"/>
  </r>
  <r>
    <d v="2015-07-04T00:00:00"/>
    <x v="1"/>
    <x v="6"/>
    <x v="2"/>
    <x v="2"/>
    <x v="2"/>
    <x v="6"/>
    <s v="Laser Copier"/>
    <n v="2851.67"/>
    <n v="7"/>
    <n v="508.12"/>
  </r>
  <r>
    <d v="2015-07-04T00:00:00"/>
    <x v="1"/>
    <x v="6"/>
    <x v="11"/>
    <x v="2"/>
    <x v="2"/>
    <x v="5"/>
    <s v="Mouse"/>
    <n v="1594.09"/>
    <n v="1"/>
    <n v="200.72"/>
  </r>
  <r>
    <d v="2015-07-06T00:00:00"/>
    <x v="1"/>
    <x v="6"/>
    <x v="10"/>
    <x v="7"/>
    <x v="1"/>
    <x v="11"/>
    <s v="Drawer Unit"/>
    <n v="4257.3"/>
    <n v="5"/>
    <n v="294.14"/>
  </r>
  <r>
    <d v="2015-07-06T00:00:00"/>
    <x v="1"/>
    <x v="6"/>
    <x v="11"/>
    <x v="3"/>
    <x v="2"/>
    <x v="3"/>
    <s v="IP Phone"/>
    <n v="4443.07"/>
    <n v="2"/>
    <n v="827.13"/>
  </r>
  <r>
    <d v="2015-07-06T00:00:00"/>
    <x v="1"/>
    <x v="6"/>
    <x v="5"/>
    <x v="3"/>
    <x v="0"/>
    <x v="0"/>
    <s v="Wall Decor"/>
    <n v="2806.83"/>
    <n v="2"/>
    <n v="678.93"/>
  </r>
  <r>
    <d v="2015-07-06T00:00:00"/>
    <x v="1"/>
    <x v="6"/>
    <x v="6"/>
    <x v="1"/>
    <x v="2"/>
    <x v="6"/>
    <s v="Inkjet Copier"/>
    <n v="4976.9799999999996"/>
    <n v="9"/>
    <n v="744.65"/>
  </r>
  <r>
    <d v="2015-07-06T00:00:00"/>
    <x v="1"/>
    <x v="6"/>
    <x v="3"/>
    <x v="4"/>
    <x v="2"/>
    <x v="3"/>
    <s v="Smartphone"/>
    <n v="4892.22"/>
    <n v="9"/>
    <n v="372.75"/>
  </r>
  <r>
    <d v="2015-07-07T00:00:00"/>
    <x v="1"/>
    <x v="6"/>
    <x v="7"/>
    <x v="3"/>
    <x v="2"/>
    <x v="5"/>
    <s v="Keyboard"/>
    <n v="850.39"/>
    <n v="10"/>
    <n v="209.42"/>
  </r>
  <r>
    <d v="2015-07-08T00:00:00"/>
    <x v="1"/>
    <x v="6"/>
    <x v="2"/>
    <x v="9"/>
    <x v="2"/>
    <x v="3"/>
    <s v="IP Phone"/>
    <n v="720.02"/>
    <n v="6"/>
    <n v="115.8"/>
  </r>
  <r>
    <d v="2015-07-08T00:00:00"/>
    <x v="1"/>
    <x v="6"/>
    <x v="9"/>
    <x v="2"/>
    <x v="0"/>
    <x v="10"/>
    <s v="Wooden Bookcase"/>
    <n v="1516.15"/>
    <n v="2"/>
    <n v="130.84"/>
  </r>
  <r>
    <d v="2015-07-08T00:00:00"/>
    <x v="1"/>
    <x v="6"/>
    <x v="10"/>
    <x v="3"/>
    <x v="0"/>
    <x v="10"/>
    <s v="Wooden Bookcase"/>
    <n v="1608.25"/>
    <n v="7"/>
    <n v="129.47999999999999"/>
  </r>
  <r>
    <d v="2015-07-09T00:00:00"/>
    <x v="1"/>
    <x v="6"/>
    <x v="1"/>
    <x v="8"/>
    <x v="0"/>
    <x v="4"/>
    <s v="Office Chair"/>
    <n v="3756.85"/>
    <n v="7"/>
    <n v="241.44"/>
  </r>
  <r>
    <d v="2015-07-09T00:00:00"/>
    <x v="1"/>
    <x v="6"/>
    <x v="3"/>
    <x v="0"/>
    <x v="1"/>
    <x v="9"/>
    <s v="Ring Binder"/>
    <n v="3966.19"/>
    <n v="6"/>
    <n v="1178.79"/>
  </r>
  <r>
    <d v="2015-07-09T00:00:00"/>
    <x v="1"/>
    <x v="6"/>
    <x v="0"/>
    <x v="4"/>
    <x v="2"/>
    <x v="5"/>
    <s v="Mouse"/>
    <n v="3682.82"/>
    <n v="2"/>
    <n v="411.33"/>
  </r>
  <r>
    <d v="2015-07-09T00:00:00"/>
    <x v="1"/>
    <x v="6"/>
    <x v="0"/>
    <x v="3"/>
    <x v="2"/>
    <x v="6"/>
    <s v="Inkjet Copier"/>
    <n v="3453.91"/>
    <n v="9"/>
    <n v="105.16"/>
  </r>
  <r>
    <d v="2015-07-10T00:00:00"/>
    <x v="1"/>
    <x v="6"/>
    <x v="9"/>
    <x v="9"/>
    <x v="1"/>
    <x v="1"/>
    <s v="Heater"/>
    <n v="3042.25"/>
    <n v="1"/>
    <n v="758.4"/>
  </r>
  <r>
    <d v="2015-07-10T00:00:00"/>
    <x v="1"/>
    <x v="6"/>
    <x v="8"/>
    <x v="5"/>
    <x v="0"/>
    <x v="0"/>
    <s v="Wall Decor"/>
    <n v="4215.1099999999997"/>
    <n v="2"/>
    <n v="592.59"/>
  </r>
  <r>
    <d v="2015-07-10T00:00:00"/>
    <x v="1"/>
    <x v="6"/>
    <x v="6"/>
    <x v="7"/>
    <x v="2"/>
    <x v="3"/>
    <s v="IP Phone"/>
    <n v="2456.87"/>
    <n v="6"/>
    <n v="597.4"/>
  </r>
  <r>
    <d v="2015-07-11T00:00:00"/>
    <x v="1"/>
    <x v="6"/>
    <x v="4"/>
    <x v="1"/>
    <x v="2"/>
    <x v="5"/>
    <s v="USB Drive"/>
    <n v="2453.31"/>
    <n v="5"/>
    <n v="461.48"/>
  </r>
  <r>
    <d v="2015-07-13T00:00:00"/>
    <x v="1"/>
    <x v="6"/>
    <x v="0"/>
    <x v="1"/>
    <x v="0"/>
    <x v="0"/>
    <s v="Wall Decor"/>
    <n v="3503.1"/>
    <n v="9"/>
    <n v="318.39"/>
  </r>
  <r>
    <d v="2015-07-13T00:00:00"/>
    <x v="1"/>
    <x v="6"/>
    <x v="6"/>
    <x v="6"/>
    <x v="0"/>
    <x v="0"/>
    <s v="Desk Lamp"/>
    <n v="1064.1600000000001"/>
    <n v="10"/>
    <n v="303.56"/>
  </r>
  <r>
    <d v="2015-07-14T00:00:00"/>
    <x v="1"/>
    <x v="6"/>
    <x v="7"/>
    <x v="4"/>
    <x v="0"/>
    <x v="0"/>
    <s v="Wall Decor"/>
    <n v="2016.66"/>
    <n v="2"/>
    <n v="508.42"/>
  </r>
  <r>
    <d v="2015-07-14T00:00:00"/>
    <x v="1"/>
    <x v="6"/>
    <x v="9"/>
    <x v="8"/>
    <x v="0"/>
    <x v="4"/>
    <s v="Office Chair"/>
    <n v="4014.75"/>
    <n v="6"/>
    <n v="1030.79"/>
  </r>
  <r>
    <d v="2015-07-15T00:00:00"/>
    <x v="1"/>
    <x v="6"/>
    <x v="9"/>
    <x v="3"/>
    <x v="1"/>
    <x v="1"/>
    <s v="Heater"/>
    <n v="1214.99"/>
    <n v="10"/>
    <n v="162.94999999999999"/>
  </r>
  <r>
    <d v="2015-07-15T00:00:00"/>
    <x v="1"/>
    <x v="6"/>
    <x v="4"/>
    <x v="8"/>
    <x v="1"/>
    <x v="1"/>
    <s v="Heater"/>
    <n v="3245.29"/>
    <n v="6"/>
    <n v="56.11"/>
  </r>
  <r>
    <d v="2015-07-16T00:00:00"/>
    <x v="1"/>
    <x v="6"/>
    <x v="3"/>
    <x v="6"/>
    <x v="2"/>
    <x v="5"/>
    <s v="USB Drive"/>
    <n v="4537.62"/>
    <n v="6"/>
    <n v="609.64"/>
  </r>
  <r>
    <d v="2015-07-17T00:00:00"/>
    <x v="1"/>
    <x v="6"/>
    <x v="7"/>
    <x v="8"/>
    <x v="0"/>
    <x v="4"/>
    <s v="Executive Chair"/>
    <n v="3524.76"/>
    <n v="7"/>
    <n v="457.04"/>
  </r>
  <r>
    <d v="2015-07-18T00:00:00"/>
    <x v="1"/>
    <x v="6"/>
    <x v="3"/>
    <x v="2"/>
    <x v="2"/>
    <x v="6"/>
    <s v="Inkjet Copier"/>
    <n v="796.28"/>
    <n v="7"/>
    <n v="66.28"/>
  </r>
  <r>
    <d v="2015-07-18T00:00:00"/>
    <x v="1"/>
    <x v="6"/>
    <x v="5"/>
    <x v="8"/>
    <x v="0"/>
    <x v="2"/>
    <s v="Study Table"/>
    <n v="177.55"/>
    <n v="4"/>
    <n v="7.33"/>
  </r>
  <r>
    <d v="2015-07-18T00:00:00"/>
    <x v="1"/>
    <x v="6"/>
    <x v="5"/>
    <x v="1"/>
    <x v="1"/>
    <x v="8"/>
    <s v="A4 Paper Pack"/>
    <n v="802.97"/>
    <n v="4"/>
    <n v="149.31"/>
  </r>
  <r>
    <d v="2015-07-18T00:00:00"/>
    <x v="1"/>
    <x v="6"/>
    <x v="10"/>
    <x v="5"/>
    <x v="2"/>
    <x v="3"/>
    <s v="Smartphone"/>
    <n v="4718.1099999999997"/>
    <n v="3"/>
    <n v="577.92999999999995"/>
  </r>
  <r>
    <d v="2015-07-19T00:00:00"/>
    <x v="1"/>
    <x v="6"/>
    <x v="8"/>
    <x v="1"/>
    <x v="1"/>
    <x v="11"/>
    <s v="Drawer Unit"/>
    <n v="683.99"/>
    <n v="9"/>
    <n v="189.76"/>
  </r>
  <r>
    <d v="2015-07-20T00:00:00"/>
    <x v="1"/>
    <x v="6"/>
    <x v="5"/>
    <x v="5"/>
    <x v="0"/>
    <x v="10"/>
    <s v="Wooden Bookcase"/>
    <n v="1106.93"/>
    <n v="2"/>
    <n v="6.49"/>
  </r>
  <r>
    <d v="2015-07-20T00:00:00"/>
    <x v="1"/>
    <x v="6"/>
    <x v="6"/>
    <x v="7"/>
    <x v="2"/>
    <x v="3"/>
    <s v="IP Phone"/>
    <n v="4243.59"/>
    <n v="7"/>
    <n v="839.93"/>
  </r>
  <r>
    <d v="2015-07-20T00:00:00"/>
    <x v="1"/>
    <x v="6"/>
    <x v="7"/>
    <x v="8"/>
    <x v="1"/>
    <x v="7"/>
    <s v="Color Set"/>
    <n v="3945.5"/>
    <n v="2"/>
    <n v="1135.8399999999999"/>
  </r>
  <r>
    <d v="2015-07-21T00:00:00"/>
    <x v="1"/>
    <x v="6"/>
    <x v="7"/>
    <x v="8"/>
    <x v="1"/>
    <x v="7"/>
    <s v="Sketch Kit"/>
    <n v="3729.78"/>
    <n v="9"/>
    <n v="704.65"/>
  </r>
  <r>
    <d v="2015-07-22T00:00:00"/>
    <x v="1"/>
    <x v="6"/>
    <x v="0"/>
    <x v="3"/>
    <x v="1"/>
    <x v="8"/>
    <s v="Printer Paper"/>
    <n v="293.20999999999998"/>
    <n v="3"/>
    <n v="14.98"/>
  </r>
  <r>
    <d v="2015-07-22T00:00:00"/>
    <x v="1"/>
    <x v="6"/>
    <x v="3"/>
    <x v="0"/>
    <x v="1"/>
    <x v="11"/>
    <s v="Drawer Unit"/>
    <n v="2843.75"/>
    <n v="6"/>
    <n v="551.58000000000004"/>
  </r>
  <r>
    <d v="2015-07-22T00:00:00"/>
    <x v="1"/>
    <x v="6"/>
    <x v="11"/>
    <x v="9"/>
    <x v="2"/>
    <x v="3"/>
    <s v="Smartphone"/>
    <n v="2684.22"/>
    <n v="3"/>
    <n v="659.35"/>
  </r>
  <r>
    <d v="2015-07-24T00:00:00"/>
    <x v="1"/>
    <x v="6"/>
    <x v="0"/>
    <x v="0"/>
    <x v="1"/>
    <x v="8"/>
    <s v="Printer Paper"/>
    <n v="2528.5500000000002"/>
    <n v="4"/>
    <n v="118.1"/>
  </r>
  <r>
    <d v="2015-07-24T00:00:00"/>
    <x v="1"/>
    <x v="6"/>
    <x v="5"/>
    <x v="5"/>
    <x v="0"/>
    <x v="10"/>
    <s v="Wooden Bookcase"/>
    <n v="2712.95"/>
    <n v="5"/>
    <n v="195.84"/>
  </r>
  <r>
    <d v="2015-07-25T00:00:00"/>
    <x v="1"/>
    <x v="6"/>
    <x v="7"/>
    <x v="6"/>
    <x v="1"/>
    <x v="8"/>
    <s v="A4 Paper Pack"/>
    <n v="3440.87"/>
    <n v="3"/>
    <n v="895.92"/>
  </r>
  <r>
    <d v="2015-07-25T00:00:00"/>
    <x v="1"/>
    <x v="6"/>
    <x v="11"/>
    <x v="5"/>
    <x v="1"/>
    <x v="9"/>
    <s v="Ring Binder"/>
    <n v="4149.1899999999996"/>
    <n v="6"/>
    <n v="1056.51"/>
  </r>
  <r>
    <d v="2015-07-25T00:00:00"/>
    <x v="1"/>
    <x v="6"/>
    <x v="0"/>
    <x v="2"/>
    <x v="2"/>
    <x v="6"/>
    <s v="Laser Copier"/>
    <n v="1722.73"/>
    <n v="9"/>
    <n v="380.73"/>
  </r>
  <r>
    <d v="2015-07-26T00:00:00"/>
    <x v="1"/>
    <x v="6"/>
    <x v="1"/>
    <x v="5"/>
    <x v="1"/>
    <x v="7"/>
    <s v="Color Set"/>
    <n v="3339.73"/>
    <n v="1"/>
    <n v="655.34"/>
  </r>
  <r>
    <d v="2015-07-26T00:00:00"/>
    <x v="1"/>
    <x v="6"/>
    <x v="5"/>
    <x v="9"/>
    <x v="2"/>
    <x v="3"/>
    <s v="Smartphone"/>
    <n v="343.14"/>
    <n v="1"/>
    <n v="92.56"/>
  </r>
  <r>
    <d v="2015-07-27T00:00:00"/>
    <x v="1"/>
    <x v="6"/>
    <x v="2"/>
    <x v="7"/>
    <x v="1"/>
    <x v="1"/>
    <s v="Air Cleaner"/>
    <n v="1356.08"/>
    <n v="9"/>
    <n v="28.88"/>
  </r>
  <r>
    <d v="2015-07-29T00:00:00"/>
    <x v="1"/>
    <x v="6"/>
    <x v="4"/>
    <x v="2"/>
    <x v="1"/>
    <x v="1"/>
    <s v="Air Cleaner"/>
    <n v="2979.37"/>
    <n v="10"/>
    <n v="418.82"/>
  </r>
  <r>
    <d v="2015-07-30T00:00:00"/>
    <x v="1"/>
    <x v="6"/>
    <x v="8"/>
    <x v="7"/>
    <x v="2"/>
    <x v="6"/>
    <s v="Inkjet Copier"/>
    <n v="4330.1899999999996"/>
    <n v="1"/>
    <n v="887.4"/>
  </r>
  <r>
    <d v="2015-07-31T00:00:00"/>
    <x v="1"/>
    <x v="6"/>
    <x v="6"/>
    <x v="8"/>
    <x v="1"/>
    <x v="1"/>
    <s v="Air Cleaner"/>
    <n v="3824.11"/>
    <n v="7"/>
    <n v="518.19000000000005"/>
  </r>
  <r>
    <d v="2015-07-31T00:00:00"/>
    <x v="1"/>
    <x v="6"/>
    <x v="5"/>
    <x v="7"/>
    <x v="1"/>
    <x v="7"/>
    <s v="Color Set"/>
    <n v="3937.17"/>
    <n v="4"/>
    <n v="239.18"/>
  </r>
  <r>
    <d v="2015-08-01T00:00:00"/>
    <x v="1"/>
    <x v="7"/>
    <x v="4"/>
    <x v="1"/>
    <x v="2"/>
    <x v="6"/>
    <s v="Laser Copier"/>
    <n v="2347.4499999999998"/>
    <n v="1"/>
    <n v="22.48"/>
  </r>
  <r>
    <d v="2015-08-02T00:00:00"/>
    <x v="1"/>
    <x v="7"/>
    <x v="11"/>
    <x v="9"/>
    <x v="2"/>
    <x v="6"/>
    <s v="Inkjet Copier"/>
    <n v="1734.97"/>
    <n v="1"/>
    <n v="312.92"/>
  </r>
  <r>
    <d v="2015-08-02T00:00:00"/>
    <x v="1"/>
    <x v="7"/>
    <x v="10"/>
    <x v="6"/>
    <x v="1"/>
    <x v="8"/>
    <s v="A4 Paper Pack"/>
    <n v="1438.72"/>
    <n v="7"/>
    <n v="135.63999999999999"/>
  </r>
  <r>
    <d v="2015-08-03T00:00:00"/>
    <x v="1"/>
    <x v="7"/>
    <x v="4"/>
    <x v="3"/>
    <x v="1"/>
    <x v="8"/>
    <s v="Printer Paper"/>
    <n v="1504.11"/>
    <n v="5"/>
    <n v="210.71"/>
  </r>
  <r>
    <d v="2015-08-04T00:00:00"/>
    <x v="1"/>
    <x v="7"/>
    <x v="11"/>
    <x v="9"/>
    <x v="2"/>
    <x v="3"/>
    <s v="Smartphone"/>
    <n v="1634.73"/>
    <n v="3"/>
    <n v="22.07"/>
  </r>
  <r>
    <d v="2015-08-04T00:00:00"/>
    <x v="1"/>
    <x v="7"/>
    <x v="10"/>
    <x v="2"/>
    <x v="0"/>
    <x v="4"/>
    <s v="Executive Chair"/>
    <n v="4705.93"/>
    <n v="10"/>
    <n v="64.290000000000006"/>
  </r>
  <r>
    <d v="2015-08-05T00:00:00"/>
    <x v="1"/>
    <x v="7"/>
    <x v="0"/>
    <x v="5"/>
    <x v="2"/>
    <x v="3"/>
    <s v="IP Phone"/>
    <n v="2848.81"/>
    <n v="9"/>
    <n v="677.47"/>
  </r>
  <r>
    <d v="2015-08-06T00:00:00"/>
    <x v="1"/>
    <x v="7"/>
    <x v="4"/>
    <x v="0"/>
    <x v="1"/>
    <x v="11"/>
    <s v="Drawer Unit"/>
    <n v="2526.0300000000002"/>
    <n v="9"/>
    <n v="601.73"/>
  </r>
  <r>
    <d v="2015-08-06T00:00:00"/>
    <x v="1"/>
    <x v="7"/>
    <x v="7"/>
    <x v="0"/>
    <x v="0"/>
    <x v="10"/>
    <s v="Metal Bookcase"/>
    <n v="4475.3500000000004"/>
    <n v="9"/>
    <n v="198.59"/>
  </r>
  <r>
    <d v="2015-08-07T00:00:00"/>
    <x v="1"/>
    <x v="7"/>
    <x v="6"/>
    <x v="0"/>
    <x v="2"/>
    <x v="5"/>
    <s v="Mouse"/>
    <n v="2246.06"/>
    <n v="6"/>
    <n v="150.84"/>
  </r>
  <r>
    <d v="2015-08-07T00:00:00"/>
    <x v="1"/>
    <x v="7"/>
    <x v="0"/>
    <x v="4"/>
    <x v="0"/>
    <x v="4"/>
    <s v="Executive Chair"/>
    <n v="151.66999999999999"/>
    <n v="3"/>
    <n v="38.119999999999997"/>
  </r>
  <r>
    <d v="2015-08-07T00:00:00"/>
    <x v="1"/>
    <x v="7"/>
    <x v="6"/>
    <x v="0"/>
    <x v="1"/>
    <x v="9"/>
    <s v="Ring Binder"/>
    <n v="288.20999999999998"/>
    <n v="9"/>
    <n v="28.16"/>
  </r>
  <r>
    <d v="2015-08-07T00:00:00"/>
    <x v="1"/>
    <x v="7"/>
    <x v="0"/>
    <x v="5"/>
    <x v="2"/>
    <x v="3"/>
    <s v="IP Phone"/>
    <n v="3130.32"/>
    <n v="7"/>
    <n v="767.21"/>
  </r>
  <r>
    <d v="2015-08-08T00:00:00"/>
    <x v="1"/>
    <x v="7"/>
    <x v="10"/>
    <x v="1"/>
    <x v="2"/>
    <x v="5"/>
    <s v="Keyboard"/>
    <n v="3110.97"/>
    <n v="1"/>
    <n v="886.36"/>
  </r>
  <r>
    <d v="2015-08-10T00:00:00"/>
    <x v="1"/>
    <x v="7"/>
    <x v="9"/>
    <x v="8"/>
    <x v="0"/>
    <x v="10"/>
    <s v="Metal Bookcase"/>
    <n v="2754.44"/>
    <n v="10"/>
    <n v="151.26"/>
  </r>
  <r>
    <d v="2015-08-12T00:00:00"/>
    <x v="1"/>
    <x v="7"/>
    <x v="4"/>
    <x v="1"/>
    <x v="0"/>
    <x v="0"/>
    <s v="Desk Lamp"/>
    <n v="938.31"/>
    <n v="10"/>
    <n v="202.3"/>
  </r>
  <r>
    <d v="2015-08-13T00:00:00"/>
    <x v="1"/>
    <x v="7"/>
    <x v="8"/>
    <x v="2"/>
    <x v="1"/>
    <x v="9"/>
    <s v="Ring Binder"/>
    <n v="3940.56"/>
    <n v="9"/>
    <n v="336.84"/>
  </r>
  <r>
    <d v="2015-08-13T00:00:00"/>
    <x v="1"/>
    <x v="7"/>
    <x v="7"/>
    <x v="8"/>
    <x v="0"/>
    <x v="10"/>
    <s v="Metal Bookcase"/>
    <n v="3400.28"/>
    <n v="7"/>
    <n v="484.96"/>
  </r>
  <r>
    <d v="2015-08-14T00:00:00"/>
    <x v="1"/>
    <x v="7"/>
    <x v="6"/>
    <x v="1"/>
    <x v="0"/>
    <x v="0"/>
    <s v="Desk Lamp"/>
    <n v="2919.81"/>
    <n v="5"/>
    <n v="111.76"/>
  </r>
  <r>
    <d v="2015-08-14T00:00:00"/>
    <x v="1"/>
    <x v="7"/>
    <x v="6"/>
    <x v="0"/>
    <x v="0"/>
    <x v="4"/>
    <s v="Executive Chair"/>
    <n v="545.47"/>
    <n v="2"/>
    <n v="19.329999999999998"/>
  </r>
  <r>
    <d v="2015-08-15T00:00:00"/>
    <x v="1"/>
    <x v="7"/>
    <x v="9"/>
    <x v="2"/>
    <x v="2"/>
    <x v="6"/>
    <s v="Inkjet Copier"/>
    <n v="2965.03"/>
    <n v="8"/>
    <n v="830.16"/>
  </r>
  <r>
    <d v="2015-08-15T00:00:00"/>
    <x v="1"/>
    <x v="7"/>
    <x v="9"/>
    <x v="8"/>
    <x v="2"/>
    <x v="3"/>
    <s v="IP Phone"/>
    <n v="322.88"/>
    <n v="5"/>
    <n v="77.25"/>
  </r>
  <r>
    <d v="2015-08-15T00:00:00"/>
    <x v="1"/>
    <x v="7"/>
    <x v="2"/>
    <x v="2"/>
    <x v="1"/>
    <x v="1"/>
    <s v="Heater"/>
    <n v="2517.15"/>
    <n v="4"/>
    <n v="728.37"/>
  </r>
  <r>
    <d v="2015-08-15T00:00:00"/>
    <x v="1"/>
    <x v="7"/>
    <x v="11"/>
    <x v="6"/>
    <x v="2"/>
    <x v="3"/>
    <s v="IP Phone"/>
    <n v="3248.95"/>
    <n v="6"/>
    <n v="418.42"/>
  </r>
  <r>
    <d v="2015-08-17T00:00:00"/>
    <x v="1"/>
    <x v="7"/>
    <x v="11"/>
    <x v="3"/>
    <x v="2"/>
    <x v="3"/>
    <s v="IP Phone"/>
    <n v="4385.09"/>
    <n v="7"/>
    <n v="1052.79"/>
  </r>
  <r>
    <d v="2015-08-17T00:00:00"/>
    <x v="1"/>
    <x v="7"/>
    <x v="8"/>
    <x v="3"/>
    <x v="2"/>
    <x v="6"/>
    <s v="Inkjet Copier"/>
    <n v="4660.22"/>
    <n v="4"/>
    <n v="124.28"/>
  </r>
  <r>
    <d v="2015-08-18T00:00:00"/>
    <x v="1"/>
    <x v="7"/>
    <x v="2"/>
    <x v="5"/>
    <x v="2"/>
    <x v="3"/>
    <s v="Smartphone"/>
    <n v="2233.3000000000002"/>
    <n v="2"/>
    <n v="211.79"/>
  </r>
  <r>
    <d v="2015-08-18T00:00:00"/>
    <x v="1"/>
    <x v="7"/>
    <x v="8"/>
    <x v="2"/>
    <x v="2"/>
    <x v="3"/>
    <s v="IP Phone"/>
    <n v="1521.16"/>
    <n v="1"/>
    <n v="201.62"/>
  </r>
  <r>
    <d v="2015-08-18T00:00:00"/>
    <x v="1"/>
    <x v="7"/>
    <x v="4"/>
    <x v="2"/>
    <x v="1"/>
    <x v="7"/>
    <s v="Sketch Kit"/>
    <n v="2511.1"/>
    <n v="1"/>
    <n v="410.1"/>
  </r>
  <r>
    <d v="2015-08-19T00:00:00"/>
    <x v="1"/>
    <x v="7"/>
    <x v="10"/>
    <x v="7"/>
    <x v="0"/>
    <x v="4"/>
    <s v="Office Chair"/>
    <n v="4851.9799999999996"/>
    <n v="3"/>
    <n v="947.61"/>
  </r>
  <r>
    <d v="2015-08-19T00:00:00"/>
    <x v="1"/>
    <x v="7"/>
    <x v="3"/>
    <x v="5"/>
    <x v="1"/>
    <x v="8"/>
    <s v="Printer Paper"/>
    <n v="1554.4"/>
    <n v="1"/>
    <n v="204.93"/>
  </r>
  <r>
    <d v="2015-08-20T00:00:00"/>
    <x v="1"/>
    <x v="7"/>
    <x v="11"/>
    <x v="4"/>
    <x v="0"/>
    <x v="10"/>
    <s v="Metal Bookcase"/>
    <n v="1114.93"/>
    <n v="9"/>
    <n v="37.03"/>
  </r>
  <r>
    <d v="2015-08-20T00:00:00"/>
    <x v="1"/>
    <x v="7"/>
    <x v="9"/>
    <x v="1"/>
    <x v="0"/>
    <x v="4"/>
    <s v="Executive Chair"/>
    <n v="3406.63"/>
    <n v="3"/>
    <n v="51.16"/>
  </r>
  <r>
    <d v="2015-08-20T00:00:00"/>
    <x v="1"/>
    <x v="7"/>
    <x v="6"/>
    <x v="4"/>
    <x v="0"/>
    <x v="2"/>
    <s v="Conference Table"/>
    <n v="2383.75"/>
    <n v="4"/>
    <n v="15.56"/>
  </r>
  <r>
    <d v="2015-08-20T00:00:00"/>
    <x v="1"/>
    <x v="7"/>
    <x v="0"/>
    <x v="4"/>
    <x v="2"/>
    <x v="3"/>
    <s v="Smartphone"/>
    <n v="1065.83"/>
    <n v="7"/>
    <n v="53.67"/>
  </r>
  <r>
    <d v="2015-08-22T00:00:00"/>
    <x v="1"/>
    <x v="7"/>
    <x v="0"/>
    <x v="5"/>
    <x v="1"/>
    <x v="8"/>
    <s v="Printer Paper"/>
    <n v="2269.09"/>
    <n v="10"/>
    <n v="319.58"/>
  </r>
  <r>
    <d v="2015-08-24T00:00:00"/>
    <x v="1"/>
    <x v="7"/>
    <x v="11"/>
    <x v="0"/>
    <x v="1"/>
    <x v="8"/>
    <s v="Printer Paper"/>
    <n v="2128.86"/>
    <n v="8"/>
    <n v="273.85000000000002"/>
  </r>
  <r>
    <d v="2015-08-24T00:00:00"/>
    <x v="1"/>
    <x v="7"/>
    <x v="3"/>
    <x v="4"/>
    <x v="0"/>
    <x v="4"/>
    <s v="Executive Chair"/>
    <n v="907.59"/>
    <n v="6"/>
    <n v="229.49"/>
  </r>
  <r>
    <d v="2015-08-24T00:00:00"/>
    <x v="1"/>
    <x v="7"/>
    <x v="9"/>
    <x v="8"/>
    <x v="2"/>
    <x v="6"/>
    <s v="Inkjet Copier"/>
    <n v="691.16"/>
    <n v="9"/>
    <n v="118.72"/>
  </r>
  <r>
    <d v="2015-08-24T00:00:00"/>
    <x v="1"/>
    <x v="7"/>
    <x v="8"/>
    <x v="7"/>
    <x v="1"/>
    <x v="9"/>
    <s v="Binder Pack"/>
    <n v="126.7"/>
    <n v="7"/>
    <n v="8.4"/>
  </r>
  <r>
    <d v="2015-08-24T00:00:00"/>
    <x v="1"/>
    <x v="7"/>
    <x v="5"/>
    <x v="3"/>
    <x v="0"/>
    <x v="2"/>
    <s v="Conference Table"/>
    <n v="3416.7"/>
    <n v="5"/>
    <n v="121.28"/>
  </r>
  <r>
    <d v="2015-08-25T00:00:00"/>
    <x v="1"/>
    <x v="7"/>
    <x v="6"/>
    <x v="4"/>
    <x v="2"/>
    <x v="6"/>
    <s v="Inkjet Copier"/>
    <n v="3693.74"/>
    <n v="3"/>
    <n v="171.81"/>
  </r>
  <r>
    <d v="2015-08-26T00:00:00"/>
    <x v="1"/>
    <x v="7"/>
    <x v="2"/>
    <x v="3"/>
    <x v="1"/>
    <x v="1"/>
    <s v="Air Cleaner"/>
    <n v="403.77"/>
    <n v="10"/>
    <n v="97.04"/>
  </r>
  <r>
    <d v="2015-08-26T00:00:00"/>
    <x v="1"/>
    <x v="7"/>
    <x v="9"/>
    <x v="1"/>
    <x v="2"/>
    <x v="3"/>
    <s v="Smartphone"/>
    <n v="4043.04"/>
    <n v="6"/>
    <n v="503.33"/>
  </r>
  <r>
    <d v="2015-08-26T00:00:00"/>
    <x v="1"/>
    <x v="7"/>
    <x v="3"/>
    <x v="1"/>
    <x v="0"/>
    <x v="10"/>
    <s v="Metal Bookcase"/>
    <n v="3237.01"/>
    <n v="10"/>
    <n v="83.37"/>
  </r>
  <r>
    <d v="2015-08-27T00:00:00"/>
    <x v="1"/>
    <x v="7"/>
    <x v="3"/>
    <x v="6"/>
    <x v="1"/>
    <x v="11"/>
    <s v="Drawer Unit"/>
    <n v="1806.11"/>
    <n v="1"/>
    <n v="481.32"/>
  </r>
  <r>
    <d v="2015-08-27T00:00:00"/>
    <x v="1"/>
    <x v="7"/>
    <x v="9"/>
    <x v="4"/>
    <x v="2"/>
    <x v="6"/>
    <s v="Laser Copier"/>
    <n v="2802.7"/>
    <n v="7"/>
    <n v="13.8"/>
  </r>
  <r>
    <d v="2015-08-27T00:00:00"/>
    <x v="1"/>
    <x v="7"/>
    <x v="3"/>
    <x v="0"/>
    <x v="1"/>
    <x v="11"/>
    <s v="Drawer Unit"/>
    <n v="2201.1799999999998"/>
    <n v="8"/>
    <n v="326.26"/>
  </r>
  <r>
    <d v="2015-08-27T00:00:00"/>
    <x v="1"/>
    <x v="7"/>
    <x v="4"/>
    <x v="6"/>
    <x v="1"/>
    <x v="7"/>
    <s v="Sketch Kit"/>
    <n v="70.95"/>
    <n v="2"/>
    <n v="4.3499999999999996"/>
  </r>
  <r>
    <d v="2015-08-28T00:00:00"/>
    <x v="1"/>
    <x v="7"/>
    <x v="5"/>
    <x v="6"/>
    <x v="0"/>
    <x v="0"/>
    <s v="Wall Decor"/>
    <n v="4628.9799999999996"/>
    <n v="9"/>
    <n v="468.1"/>
  </r>
  <r>
    <d v="2015-08-28T00:00:00"/>
    <x v="1"/>
    <x v="7"/>
    <x v="5"/>
    <x v="7"/>
    <x v="2"/>
    <x v="6"/>
    <s v="Inkjet Copier"/>
    <n v="1419.46"/>
    <n v="9"/>
    <n v="94.27"/>
  </r>
  <r>
    <d v="2015-08-29T00:00:00"/>
    <x v="1"/>
    <x v="7"/>
    <x v="5"/>
    <x v="7"/>
    <x v="2"/>
    <x v="6"/>
    <s v="Laser Copier"/>
    <n v="519.54"/>
    <n v="8"/>
    <n v="84.2"/>
  </r>
  <r>
    <d v="2015-08-31T00:00:00"/>
    <x v="1"/>
    <x v="7"/>
    <x v="11"/>
    <x v="9"/>
    <x v="2"/>
    <x v="3"/>
    <s v="IP Phone"/>
    <n v="1610.6"/>
    <n v="9"/>
    <n v="350.63"/>
  </r>
  <r>
    <d v="2015-08-31T00:00:00"/>
    <x v="1"/>
    <x v="7"/>
    <x v="2"/>
    <x v="0"/>
    <x v="1"/>
    <x v="8"/>
    <s v="Printer Paper"/>
    <n v="3416.75"/>
    <n v="4"/>
    <n v="807.22"/>
  </r>
  <r>
    <d v="2015-09-01T00:00:00"/>
    <x v="1"/>
    <x v="8"/>
    <x v="8"/>
    <x v="3"/>
    <x v="1"/>
    <x v="11"/>
    <s v="Storage Box"/>
    <n v="4730.2"/>
    <n v="4"/>
    <n v="276.23"/>
  </r>
  <r>
    <d v="2015-09-01T00:00:00"/>
    <x v="1"/>
    <x v="8"/>
    <x v="3"/>
    <x v="0"/>
    <x v="2"/>
    <x v="3"/>
    <s v="IP Phone"/>
    <n v="2542.5"/>
    <n v="2"/>
    <n v="729.22"/>
  </r>
  <r>
    <d v="2015-09-01T00:00:00"/>
    <x v="1"/>
    <x v="8"/>
    <x v="8"/>
    <x v="8"/>
    <x v="2"/>
    <x v="6"/>
    <s v="Laser Copier"/>
    <n v="893.9"/>
    <n v="2"/>
    <n v="108.6"/>
  </r>
  <r>
    <d v="2015-09-01T00:00:00"/>
    <x v="1"/>
    <x v="8"/>
    <x v="6"/>
    <x v="1"/>
    <x v="2"/>
    <x v="6"/>
    <s v="Laser Copier"/>
    <n v="2434.19"/>
    <n v="8"/>
    <n v="366.7"/>
  </r>
  <r>
    <d v="2015-09-02T00:00:00"/>
    <x v="1"/>
    <x v="8"/>
    <x v="0"/>
    <x v="1"/>
    <x v="1"/>
    <x v="9"/>
    <s v="Binder Pack"/>
    <n v="2916.92"/>
    <n v="3"/>
    <n v="285.44"/>
  </r>
  <r>
    <d v="2015-09-03T00:00:00"/>
    <x v="1"/>
    <x v="8"/>
    <x v="10"/>
    <x v="8"/>
    <x v="1"/>
    <x v="11"/>
    <s v="Storage Box"/>
    <n v="1619.07"/>
    <n v="9"/>
    <n v="453.72"/>
  </r>
  <r>
    <d v="2015-09-03T00:00:00"/>
    <x v="1"/>
    <x v="8"/>
    <x v="1"/>
    <x v="4"/>
    <x v="1"/>
    <x v="9"/>
    <s v="Ring Binder"/>
    <n v="914.71"/>
    <n v="2"/>
    <n v="54.17"/>
  </r>
  <r>
    <d v="2015-09-05T00:00:00"/>
    <x v="1"/>
    <x v="8"/>
    <x v="1"/>
    <x v="1"/>
    <x v="1"/>
    <x v="7"/>
    <s v="Sketch Kit"/>
    <n v="810.12"/>
    <n v="10"/>
    <n v="10.39"/>
  </r>
  <r>
    <d v="2015-09-05T00:00:00"/>
    <x v="1"/>
    <x v="8"/>
    <x v="4"/>
    <x v="1"/>
    <x v="1"/>
    <x v="1"/>
    <s v="Heater"/>
    <n v="4671.83"/>
    <n v="1"/>
    <n v="853.73"/>
  </r>
  <r>
    <d v="2015-09-05T00:00:00"/>
    <x v="1"/>
    <x v="8"/>
    <x v="2"/>
    <x v="5"/>
    <x v="0"/>
    <x v="0"/>
    <s v="Desk Lamp"/>
    <n v="242.89"/>
    <n v="5"/>
    <n v="59.98"/>
  </r>
  <r>
    <d v="2015-09-06T00:00:00"/>
    <x v="1"/>
    <x v="8"/>
    <x v="5"/>
    <x v="0"/>
    <x v="2"/>
    <x v="3"/>
    <s v="Smartphone"/>
    <n v="3244.64"/>
    <n v="1"/>
    <n v="140.41999999999999"/>
  </r>
  <r>
    <d v="2015-09-06T00:00:00"/>
    <x v="1"/>
    <x v="8"/>
    <x v="10"/>
    <x v="6"/>
    <x v="1"/>
    <x v="1"/>
    <s v="Air Cleaner"/>
    <n v="2630.26"/>
    <n v="3"/>
    <n v="117.86"/>
  </r>
  <r>
    <d v="2015-09-07T00:00:00"/>
    <x v="1"/>
    <x v="8"/>
    <x v="2"/>
    <x v="4"/>
    <x v="0"/>
    <x v="10"/>
    <s v="Metal Bookcase"/>
    <n v="982.14"/>
    <n v="2"/>
    <n v="176.46"/>
  </r>
  <r>
    <d v="2015-09-11T00:00:00"/>
    <x v="1"/>
    <x v="8"/>
    <x v="6"/>
    <x v="6"/>
    <x v="1"/>
    <x v="11"/>
    <s v="Drawer Unit"/>
    <n v="4324.3599999999997"/>
    <n v="5"/>
    <n v="795.97"/>
  </r>
  <r>
    <d v="2015-09-11T00:00:00"/>
    <x v="1"/>
    <x v="8"/>
    <x v="4"/>
    <x v="2"/>
    <x v="2"/>
    <x v="5"/>
    <s v="Keyboard"/>
    <n v="1819.09"/>
    <n v="4"/>
    <n v="207"/>
  </r>
  <r>
    <d v="2015-09-13T00:00:00"/>
    <x v="1"/>
    <x v="8"/>
    <x v="7"/>
    <x v="6"/>
    <x v="1"/>
    <x v="11"/>
    <s v="Drawer Unit"/>
    <n v="1604.7"/>
    <n v="3"/>
    <n v="426.35"/>
  </r>
  <r>
    <d v="2015-09-13T00:00:00"/>
    <x v="1"/>
    <x v="8"/>
    <x v="7"/>
    <x v="3"/>
    <x v="2"/>
    <x v="3"/>
    <s v="IP Phone"/>
    <n v="4676.62"/>
    <n v="8"/>
    <n v="340.78"/>
  </r>
  <r>
    <d v="2015-09-14T00:00:00"/>
    <x v="1"/>
    <x v="8"/>
    <x v="10"/>
    <x v="8"/>
    <x v="0"/>
    <x v="4"/>
    <s v="Executive Chair"/>
    <n v="968.47"/>
    <n v="4"/>
    <n v="97.12"/>
  </r>
  <r>
    <d v="2015-09-14T00:00:00"/>
    <x v="1"/>
    <x v="8"/>
    <x v="11"/>
    <x v="4"/>
    <x v="0"/>
    <x v="2"/>
    <s v="Study Table"/>
    <n v="1143.3"/>
    <n v="2"/>
    <n v="263.11"/>
  </r>
  <r>
    <d v="2015-09-15T00:00:00"/>
    <x v="1"/>
    <x v="8"/>
    <x v="8"/>
    <x v="6"/>
    <x v="1"/>
    <x v="1"/>
    <s v="Heater"/>
    <n v="1942.9"/>
    <n v="1"/>
    <n v="575.95000000000005"/>
  </r>
  <r>
    <d v="2015-09-16T00:00:00"/>
    <x v="1"/>
    <x v="8"/>
    <x v="4"/>
    <x v="9"/>
    <x v="1"/>
    <x v="11"/>
    <s v="Drawer Unit"/>
    <n v="908.89"/>
    <n v="1"/>
    <n v="178.67"/>
  </r>
  <r>
    <d v="2015-09-16T00:00:00"/>
    <x v="1"/>
    <x v="8"/>
    <x v="7"/>
    <x v="6"/>
    <x v="1"/>
    <x v="1"/>
    <s v="Air Cleaner"/>
    <n v="3026.94"/>
    <n v="9"/>
    <n v="52.06"/>
  </r>
  <r>
    <d v="2015-09-17T00:00:00"/>
    <x v="1"/>
    <x v="8"/>
    <x v="8"/>
    <x v="9"/>
    <x v="2"/>
    <x v="3"/>
    <s v="Smartphone"/>
    <n v="881.94"/>
    <n v="3"/>
    <n v="12.52"/>
  </r>
  <r>
    <d v="2015-09-18T00:00:00"/>
    <x v="1"/>
    <x v="8"/>
    <x v="11"/>
    <x v="4"/>
    <x v="1"/>
    <x v="8"/>
    <s v="Printer Paper"/>
    <n v="4874.03"/>
    <n v="6"/>
    <n v="1380.49"/>
  </r>
  <r>
    <d v="2015-09-18T00:00:00"/>
    <x v="1"/>
    <x v="8"/>
    <x v="1"/>
    <x v="2"/>
    <x v="0"/>
    <x v="0"/>
    <s v="Wall Decor"/>
    <n v="3058.77"/>
    <n v="2"/>
    <n v="85.1"/>
  </r>
  <r>
    <d v="2015-09-18T00:00:00"/>
    <x v="1"/>
    <x v="8"/>
    <x v="10"/>
    <x v="2"/>
    <x v="2"/>
    <x v="3"/>
    <s v="Smartphone"/>
    <n v="163.47"/>
    <n v="3"/>
    <n v="38.270000000000003"/>
  </r>
  <r>
    <d v="2015-09-23T00:00:00"/>
    <x v="1"/>
    <x v="8"/>
    <x v="3"/>
    <x v="0"/>
    <x v="2"/>
    <x v="3"/>
    <s v="IP Phone"/>
    <n v="848.38"/>
    <n v="2"/>
    <n v="29.37"/>
  </r>
  <r>
    <d v="2015-09-24T00:00:00"/>
    <x v="1"/>
    <x v="8"/>
    <x v="4"/>
    <x v="5"/>
    <x v="0"/>
    <x v="10"/>
    <s v="Metal Bookcase"/>
    <n v="3036.95"/>
    <n v="7"/>
    <n v="746.35"/>
  </r>
  <r>
    <d v="2015-09-24T00:00:00"/>
    <x v="1"/>
    <x v="8"/>
    <x v="8"/>
    <x v="3"/>
    <x v="0"/>
    <x v="2"/>
    <s v="Study Table"/>
    <n v="3676.57"/>
    <n v="2"/>
    <n v="934.07"/>
  </r>
  <r>
    <d v="2015-09-25T00:00:00"/>
    <x v="1"/>
    <x v="8"/>
    <x v="11"/>
    <x v="4"/>
    <x v="2"/>
    <x v="3"/>
    <s v="IP Phone"/>
    <n v="4555.88"/>
    <n v="10"/>
    <n v="85.45"/>
  </r>
  <r>
    <d v="2015-09-25T00:00:00"/>
    <x v="1"/>
    <x v="8"/>
    <x v="5"/>
    <x v="9"/>
    <x v="1"/>
    <x v="8"/>
    <s v="A4 Paper Pack"/>
    <n v="2076.4699999999998"/>
    <n v="4"/>
    <n v="184.06"/>
  </r>
  <r>
    <d v="2015-09-27T00:00:00"/>
    <x v="1"/>
    <x v="8"/>
    <x v="3"/>
    <x v="5"/>
    <x v="0"/>
    <x v="10"/>
    <s v="Metal Bookcase"/>
    <n v="4283.8100000000004"/>
    <n v="6"/>
    <n v="924.93"/>
  </r>
  <r>
    <d v="2015-09-27T00:00:00"/>
    <x v="1"/>
    <x v="8"/>
    <x v="0"/>
    <x v="6"/>
    <x v="1"/>
    <x v="9"/>
    <s v="Binder Pack"/>
    <n v="313.01"/>
    <n v="2"/>
    <n v="64.17"/>
  </r>
  <r>
    <d v="2015-09-27T00:00:00"/>
    <x v="1"/>
    <x v="8"/>
    <x v="8"/>
    <x v="6"/>
    <x v="0"/>
    <x v="4"/>
    <s v="Office Chair"/>
    <n v="1367.64"/>
    <n v="5"/>
    <n v="295.06"/>
  </r>
  <r>
    <d v="2015-09-29T00:00:00"/>
    <x v="1"/>
    <x v="8"/>
    <x v="5"/>
    <x v="8"/>
    <x v="2"/>
    <x v="5"/>
    <s v="USB Drive"/>
    <n v="2676.08"/>
    <n v="3"/>
    <n v="552.58000000000004"/>
  </r>
  <r>
    <d v="2015-09-29T00:00:00"/>
    <x v="1"/>
    <x v="8"/>
    <x v="9"/>
    <x v="7"/>
    <x v="1"/>
    <x v="1"/>
    <s v="Heater"/>
    <n v="3503.65"/>
    <n v="5"/>
    <n v="261.79000000000002"/>
  </r>
  <r>
    <d v="2015-09-29T00:00:00"/>
    <x v="1"/>
    <x v="8"/>
    <x v="0"/>
    <x v="9"/>
    <x v="0"/>
    <x v="4"/>
    <s v="Office Chair"/>
    <n v="581.59"/>
    <n v="1"/>
    <n v="40.24"/>
  </r>
  <r>
    <d v="2015-09-29T00:00:00"/>
    <x v="1"/>
    <x v="8"/>
    <x v="2"/>
    <x v="4"/>
    <x v="2"/>
    <x v="5"/>
    <s v="USB Drive"/>
    <n v="1688.14"/>
    <n v="2"/>
    <n v="65.88"/>
  </r>
  <r>
    <d v="2015-09-29T00:00:00"/>
    <x v="1"/>
    <x v="8"/>
    <x v="5"/>
    <x v="6"/>
    <x v="0"/>
    <x v="0"/>
    <s v="Desk Lamp"/>
    <n v="1463.66"/>
    <n v="7"/>
    <n v="113.59"/>
  </r>
  <r>
    <d v="2015-09-29T00:00:00"/>
    <x v="1"/>
    <x v="8"/>
    <x v="6"/>
    <x v="0"/>
    <x v="2"/>
    <x v="5"/>
    <s v="USB Drive"/>
    <n v="3419.3"/>
    <n v="4"/>
    <n v="322.08"/>
  </r>
  <r>
    <d v="2015-09-29T00:00:00"/>
    <x v="1"/>
    <x v="8"/>
    <x v="9"/>
    <x v="9"/>
    <x v="1"/>
    <x v="8"/>
    <s v="A4 Paper Pack"/>
    <n v="976"/>
    <n v="2"/>
    <n v="238.46"/>
  </r>
  <r>
    <d v="2015-09-30T00:00:00"/>
    <x v="1"/>
    <x v="8"/>
    <x v="3"/>
    <x v="5"/>
    <x v="0"/>
    <x v="2"/>
    <s v="Conference Table"/>
    <n v="1707.02"/>
    <n v="9"/>
    <n v="433.07"/>
  </r>
  <r>
    <d v="2015-09-30T00:00:00"/>
    <x v="1"/>
    <x v="8"/>
    <x v="2"/>
    <x v="6"/>
    <x v="1"/>
    <x v="8"/>
    <s v="Printer Paper"/>
    <n v="167.46"/>
    <n v="3"/>
    <n v="44.51"/>
  </r>
  <r>
    <d v="2015-10-01T00:00:00"/>
    <x v="1"/>
    <x v="9"/>
    <x v="8"/>
    <x v="7"/>
    <x v="0"/>
    <x v="0"/>
    <s v="Wall Decor"/>
    <n v="2729.01"/>
    <n v="5"/>
    <n v="466.07"/>
  </r>
  <r>
    <d v="2015-10-02T00:00:00"/>
    <x v="1"/>
    <x v="9"/>
    <x v="5"/>
    <x v="6"/>
    <x v="0"/>
    <x v="10"/>
    <s v="Metal Bookcase"/>
    <n v="3739.81"/>
    <n v="6"/>
    <n v="16.07"/>
  </r>
  <r>
    <d v="2015-10-02T00:00:00"/>
    <x v="1"/>
    <x v="9"/>
    <x v="5"/>
    <x v="7"/>
    <x v="2"/>
    <x v="3"/>
    <s v="Smartphone"/>
    <n v="291.85000000000002"/>
    <n v="2"/>
    <n v="45.56"/>
  </r>
  <r>
    <d v="2015-10-03T00:00:00"/>
    <x v="1"/>
    <x v="9"/>
    <x v="6"/>
    <x v="1"/>
    <x v="2"/>
    <x v="3"/>
    <s v="IP Phone"/>
    <n v="243.7"/>
    <n v="7"/>
    <n v="69.02"/>
  </r>
  <r>
    <d v="2015-10-03T00:00:00"/>
    <x v="1"/>
    <x v="9"/>
    <x v="8"/>
    <x v="9"/>
    <x v="0"/>
    <x v="0"/>
    <s v="Wall Decor"/>
    <n v="1456.17"/>
    <n v="4"/>
    <n v="311.79000000000002"/>
  </r>
  <r>
    <d v="2015-10-05T00:00:00"/>
    <x v="1"/>
    <x v="9"/>
    <x v="6"/>
    <x v="3"/>
    <x v="1"/>
    <x v="1"/>
    <s v="Air Cleaner"/>
    <n v="1642.9"/>
    <n v="5"/>
    <n v="489.11"/>
  </r>
  <r>
    <d v="2015-10-05T00:00:00"/>
    <x v="1"/>
    <x v="9"/>
    <x v="8"/>
    <x v="1"/>
    <x v="2"/>
    <x v="6"/>
    <s v="Inkjet Copier"/>
    <n v="2028.48"/>
    <n v="6"/>
    <n v="419.09"/>
  </r>
  <r>
    <d v="2015-10-05T00:00:00"/>
    <x v="1"/>
    <x v="9"/>
    <x v="10"/>
    <x v="3"/>
    <x v="1"/>
    <x v="11"/>
    <s v="Drawer Unit"/>
    <n v="4966.75"/>
    <n v="7"/>
    <n v="248.52"/>
  </r>
  <r>
    <d v="2015-10-05T00:00:00"/>
    <x v="1"/>
    <x v="9"/>
    <x v="3"/>
    <x v="4"/>
    <x v="2"/>
    <x v="3"/>
    <s v="IP Phone"/>
    <n v="3302.19"/>
    <n v="10"/>
    <n v="396.9"/>
  </r>
  <r>
    <d v="2015-10-07T00:00:00"/>
    <x v="1"/>
    <x v="9"/>
    <x v="10"/>
    <x v="0"/>
    <x v="0"/>
    <x v="2"/>
    <s v="Conference Table"/>
    <n v="3265.98"/>
    <n v="9"/>
    <n v="889.78"/>
  </r>
  <r>
    <d v="2015-10-08T00:00:00"/>
    <x v="1"/>
    <x v="9"/>
    <x v="9"/>
    <x v="2"/>
    <x v="0"/>
    <x v="10"/>
    <s v="Wooden Bookcase"/>
    <n v="419.94"/>
    <n v="5"/>
    <n v="94.02"/>
  </r>
  <r>
    <d v="2015-10-08T00:00:00"/>
    <x v="1"/>
    <x v="9"/>
    <x v="2"/>
    <x v="0"/>
    <x v="1"/>
    <x v="7"/>
    <s v="Color Set"/>
    <n v="2057.4699999999998"/>
    <n v="5"/>
    <n v="320.27"/>
  </r>
  <r>
    <d v="2015-10-09T00:00:00"/>
    <x v="1"/>
    <x v="9"/>
    <x v="4"/>
    <x v="7"/>
    <x v="1"/>
    <x v="9"/>
    <s v="Binder Pack"/>
    <n v="4165.3"/>
    <n v="7"/>
    <n v="359.21"/>
  </r>
  <r>
    <d v="2015-10-10T00:00:00"/>
    <x v="1"/>
    <x v="9"/>
    <x v="5"/>
    <x v="8"/>
    <x v="1"/>
    <x v="7"/>
    <s v="Sketch Kit"/>
    <n v="3407.22"/>
    <n v="7"/>
    <n v="60.6"/>
  </r>
  <r>
    <d v="2015-10-12T00:00:00"/>
    <x v="1"/>
    <x v="9"/>
    <x v="9"/>
    <x v="8"/>
    <x v="1"/>
    <x v="8"/>
    <s v="A4 Paper Pack"/>
    <n v="3085.24"/>
    <n v="3"/>
    <n v="320.69"/>
  </r>
  <r>
    <d v="2015-10-12T00:00:00"/>
    <x v="1"/>
    <x v="9"/>
    <x v="0"/>
    <x v="8"/>
    <x v="0"/>
    <x v="4"/>
    <s v="Ergonomic Chair"/>
    <n v="238.85"/>
    <n v="3"/>
    <n v="49.56"/>
  </r>
  <r>
    <d v="2015-10-13T00:00:00"/>
    <x v="1"/>
    <x v="9"/>
    <x v="4"/>
    <x v="8"/>
    <x v="2"/>
    <x v="3"/>
    <s v="Smartphone"/>
    <n v="4684.67"/>
    <n v="1"/>
    <n v="463.09"/>
  </r>
  <r>
    <d v="2015-10-13T00:00:00"/>
    <x v="1"/>
    <x v="9"/>
    <x v="10"/>
    <x v="9"/>
    <x v="0"/>
    <x v="4"/>
    <s v="Office Chair"/>
    <n v="4211.3100000000004"/>
    <n v="2"/>
    <n v="548.57000000000005"/>
  </r>
  <r>
    <d v="2015-10-13T00:00:00"/>
    <x v="1"/>
    <x v="9"/>
    <x v="7"/>
    <x v="2"/>
    <x v="1"/>
    <x v="1"/>
    <s v="Air Cleaner"/>
    <n v="1233.95"/>
    <n v="5"/>
    <n v="72.64"/>
  </r>
  <r>
    <d v="2015-10-14T00:00:00"/>
    <x v="1"/>
    <x v="9"/>
    <x v="5"/>
    <x v="6"/>
    <x v="0"/>
    <x v="10"/>
    <s v="Metal Bookcase"/>
    <n v="3959.55"/>
    <n v="9"/>
    <n v="352.66"/>
  </r>
  <r>
    <d v="2015-10-16T00:00:00"/>
    <x v="1"/>
    <x v="9"/>
    <x v="0"/>
    <x v="2"/>
    <x v="0"/>
    <x v="0"/>
    <s v="Desk Lamp"/>
    <n v="1872.23"/>
    <n v="3"/>
    <n v="47.27"/>
  </r>
  <r>
    <d v="2015-10-16T00:00:00"/>
    <x v="1"/>
    <x v="9"/>
    <x v="10"/>
    <x v="4"/>
    <x v="0"/>
    <x v="10"/>
    <s v="Wooden Bookcase"/>
    <n v="2817.34"/>
    <n v="8"/>
    <n v="599.91"/>
  </r>
  <r>
    <d v="2015-10-17T00:00:00"/>
    <x v="1"/>
    <x v="9"/>
    <x v="11"/>
    <x v="2"/>
    <x v="0"/>
    <x v="2"/>
    <s v="Study Table"/>
    <n v="1756.65"/>
    <n v="7"/>
    <n v="388.44"/>
  </r>
  <r>
    <d v="2015-10-17T00:00:00"/>
    <x v="1"/>
    <x v="9"/>
    <x v="6"/>
    <x v="9"/>
    <x v="0"/>
    <x v="2"/>
    <s v="Study Table"/>
    <n v="2186.31"/>
    <n v="6"/>
    <n v="196.34"/>
  </r>
  <r>
    <d v="2015-10-17T00:00:00"/>
    <x v="1"/>
    <x v="9"/>
    <x v="6"/>
    <x v="3"/>
    <x v="2"/>
    <x v="5"/>
    <s v="Keyboard"/>
    <n v="1764.68"/>
    <n v="3"/>
    <n v="219.7"/>
  </r>
  <r>
    <d v="2015-10-18T00:00:00"/>
    <x v="1"/>
    <x v="9"/>
    <x v="3"/>
    <x v="6"/>
    <x v="0"/>
    <x v="2"/>
    <s v="Conference Table"/>
    <n v="4929.6499999999996"/>
    <n v="1"/>
    <n v="583.36"/>
  </r>
  <r>
    <d v="2015-10-18T00:00:00"/>
    <x v="1"/>
    <x v="9"/>
    <x v="0"/>
    <x v="3"/>
    <x v="0"/>
    <x v="2"/>
    <s v="Study Table"/>
    <n v="969.42"/>
    <n v="8"/>
    <n v="114.4"/>
  </r>
  <r>
    <d v="2015-10-18T00:00:00"/>
    <x v="1"/>
    <x v="9"/>
    <x v="3"/>
    <x v="5"/>
    <x v="2"/>
    <x v="6"/>
    <s v="Laser Copier"/>
    <n v="1467.93"/>
    <n v="5"/>
    <n v="388.45"/>
  </r>
  <r>
    <d v="2015-10-19T00:00:00"/>
    <x v="1"/>
    <x v="9"/>
    <x v="9"/>
    <x v="7"/>
    <x v="2"/>
    <x v="5"/>
    <s v="USB Drive"/>
    <n v="4805.87"/>
    <n v="1"/>
    <n v="1156.53"/>
  </r>
  <r>
    <d v="2015-10-20T00:00:00"/>
    <x v="1"/>
    <x v="9"/>
    <x v="0"/>
    <x v="6"/>
    <x v="2"/>
    <x v="6"/>
    <s v="Inkjet Copier"/>
    <n v="4994.93"/>
    <n v="4"/>
    <n v="1274.1199999999999"/>
  </r>
  <r>
    <d v="2015-10-20T00:00:00"/>
    <x v="1"/>
    <x v="9"/>
    <x v="8"/>
    <x v="3"/>
    <x v="0"/>
    <x v="4"/>
    <s v="Ergonomic Chair"/>
    <n v="2552.66"/>
    <n v="6"/>
    <n v="467.57"/>
  </r>
  <r>
    <d v="2015-10-21T00:00:00"/>
    <x v="1"/>
    <x v="9"/>
    <x v="2"/>
    <x v="2"/>
    <x v="2"/>
    <x v="5"/>
    <s v="Keyboard"/>
    <n v="1332.48"/>
    <n v="9"/>
    <n v="369.7"/>
  </r>
  <r>
    <d v="2015-10-21T00:00:00"/>
    <x v="1"/>
    <x v="9"/>
    <x v="9"/>
    <x v="9"/>
    <x v="1"/>
    <x v="8"/>
    <s v="A4 Paper Pack"/>
    <n v="3176.23"/>
    <n v="3"/>
    <n v="97.38"/>
  </r>
  <r>
    <d v="2015-10-21T00:00:00"/>
    <x v="1"/>
    <x v="9"/>
    <x v="8"/>
    <x v="1"/>
    <x v="1"/>
    <x v="7"/>
    <s v="Sketch Kit"/>
    <n v="1757.09"/>
    <n v="9"/>
    <n v="202.85"/>
  </r>
  <r>
    <d v="2015-10-21T00:00:00"/>
    <x v="1"/>
    <x v="9"/>
    <x v="8"/>
    <x v="2"/>
    <x v="2"/>
    <x v="5"/>
    <s v="Keyboard"/>
    <n v="3402.93"/>
    <n v="6"/>
    <n v="645.94000000000005"/>
  </r>
  <r>
    <d v="2015-10-22T00:00:00"/>
    <x v="1"/>
    <x v="9"/>
    <x v="10"/>
    <x v="4"/>
    <x v="1"/>
    <x v="11"/>
    <s v="Storage Box"/>
    <n v="352.12"/>
    <n v="3"/>
    <n v="10.84"/>
  </r>
  <r>
    <d v="2015-10-22T00:00:00"/>
    <x v="1"/>
    <x v="9"/>
    <x v="7"/>
    <x v="6"/>
    <x v="2"/>
    <x v="5"/>
    <s v="USB Drive"/>
    <n v="2166.16"/>
    <n v="8"/>
    <n v="620.67999999999995"/>
  </r>
  <r>
    <d v="2015-10-23T00:00:00"/>
    <x v="1"/>
    <x v="9"/>
    <x v="9"/>
    <x v="3"/>
    <x v="0"/>
    <x v="10"/>
    <s v="Metal Bookcase"/>
    <n v="4797.97"/>
    <n v="6"/>
    <n v="923.37"/>
  </r>
  <r>
    <d v="2015-10-24T00:00:00"/>
    <x v="1"/>
    <x v="9"/>
    <x v="5"/>
    <x v="5"/>
    <x v="2"/>
    <x v="5"/>
    <s v="Mouse"/>
    <n v="4569.97"/>
    <n v="7"/>
    <n v="496.13"/>
  </r>
  <r>
    <d v="2015-10-24T00:00:00"/>
    <x v="1"/>
    <x v="9"/>
    <x v="8"/>
    <x v="9"/>
    <x v="2"/>
    <x v="3"/>
    <s v="IP Phone"/>
    <n v="2766.92"/>
    <n v="5"/>
    <n v="764.94"/>
  </r>
  <r>
    <d v="2015-10-25T00:00:00"/>
    <x v="1"/>
    <x v="9"/>
    <x v="6"/>
    <x v="0"/>
    <x v="1"/>
    <x v="7"/>
    <s v="Color Set"/>
    <n v="3870.85"/>
    <n v="1"/>
    <n v="156.6"/>
  </r>
  <r>
    <d v="2015-10-25T00:00:00"/>
    <x v="1"/>
    <x v="9"/>
    <x v="1"/>
    <x v="2"/>
    <x v="2"/>
    <x v="3"/>
    <s v="Smartphone"/>
    <n v="4941.2700000000004"/>
    <n v="4"/>
    <n v="481.08"/>
  </r>
  <r>
    <d v="2015-10-26T00:00:00"/>
    <x v="1"/>
    <x v="9"/>
    <x v="0"/>
    <x v="0"/>
    <x v="2"/>
    <x v="5"/>
    <s v="USB Drive"/>
    <n v="1677.95"/>
    <n v="1"/>
    <n v="249.81"/>
  </r>
  <r>
    <d v="2015-10-26T00:00:00"/>
    <x v="1"/>
    <x v="9"/>
    <x v="4"/>
    <x v="6"/>
    <x v="2"/>
    <x v="6"/>
    <s v="Laser Copier"/>
    <n v="4133.78"/>
    <n v="4"/>
    <n v="444.62"/>
  </r>
  <r>
    <d v="2015-10-26T00:00:00"/>
    <x v="1"/>
    <x v="9"/>
    <x v="3"/>
    <x v="0"/>
    <x v="0"/>
    <x v="10"/>
    <s v="Metal Bookcase"/>
    <n v="1927.27"/>
    <n v="3"/>
    <n v="15.93"/>
  </r>
  <r>
    <d v="2015-10-27T00:00:00"/>
    <x v="1"/>
    <x v="9"/>
    <x v="6"/>
    <x v="5"/>
    <x v="1"/>
    <x v="8"/>
    <s v="Printer Paper"/>
    <n v="4018.15"/>
    <n v="4"/>
    <n v="898.26"/>
  </r>
  <r>
    <d v="2015-10-27T00:00:00"/>
    <x v="1"/>
    <x v="9"/>
    <x v="7"/>
    <x v="1"/>
    <x v="0"/>
    <x v="0"/>
    <s v="Desk Lamp"/>
    <n v="3669.31"/>
    <n v="6"/>
    <n v="550.49"/>
  </r>
  <r>
    <d v="2015-10-27T00:00:00"/>
    <x v="1"/>
    <x v="9"/>
    <x v="8"/>
    <x v="2"/>
    <x v="2"/>
    <x v="3"/>
    <s v="IP Phone"/>
    <n v="2221.34"/>
    <n v="8"/>
    <n v="423.75"/>
  </r>
  <r>
    <d v="2015-10-27T00:00:00"/>
    <x v="1"/>
    <x v="9"/>
    <x v="2"/>
    <x v="6"/>
    <x v="2"/>
    <x v="5"/>
    <s v="USB Drive"/>
    <n v="4128.71"/>
    <n v="6"/>
    <n v="1085.6300000000001"/>
  </r>
  <r>
    <d v="2015-10-27T00:00:00"/>
    <x v="1"/>
    <x v="9"/>
    <x v="2"/>
    <x v="1"/>
    <x v="0"/>
    <x v="10"/>
    <s v="Wooden Bookcase"/>
    <n v="4151.74"/>
    <n v="7"/>
    <n v="543.45000000000005"/>
  </r>
  <r>
    <d v="2015-10-27T00:00:00"/>
    <x v="1"/>
    <x v="9"/>
    <x v="2"/>
    <x v="6"/>
    <x v="1"/>
    <x v="11"/>
    <s v="Storage Box"/>
    <n v="4725.13"/>
    <n v="4"/>
    <n v="595.16"/>
  </r>
  <r>
    <d v="2015-10-27T00:00:00"/>
    <x v="1"/>
    <x v="9"/>
    <x v="10"/>
    <x v="1"/>
    <x v="2"/>
    <x v="6"/>
    <s v="Inkjet Copier"/>
    <n v="2396.63"/>
    <n v="6"/>
    <n v="223.71"/>
  </r>
  <r>
    <d v="2015-10-28T00:00:00"/>
    <x v="1"/>
    <x v="9"/>
    <x v="9"/>
    <x v="8"/>
    <x v="1"/>
    <x v="11"/>
    <s v="Storage Box"/>
    <n v="479.68"/>
    <n v="3"/>
    <n v="41.55"/>
  </r>
  <r>
    <d v="2015-10-28T00:00:00"/>
    <x v="1"/>
    <x v="9"/>
    <x v="3"/>
    <x v="4"/>
    <x v="1"/>
    <x v="7"/>
    <s v="Color Set"/>
    <n v="4669.2299999999996"/>
    <n v="3"/>
    <n v="783.49"/>
  </r>
  <r>
    <d v="2015-10-29T00:00:00"/>
    <x v="1"/>
    <x v="9"/>
    <x v="4"/>
    <x v="3"/>
    <x v="0"/>
    <x v="4"/>
    <s v="Office Chair"/>
    <n v="2058.59"/>
    <n v="10"/>
    <n v="285.66000000000003"/>
  </r>
  <r>
    <d v="2015-10-29T00:00:00"/>
    <x v="1"/>
    <x v="9"/>
    <x v="9"/>
    <x v="5"/>
    <x v="1"/>
    <x v="7"/>
    <s v="Sketch Kit"/>
    <n v="2284.36"/>
    <n v="4"/>
    <n v="81.37"/>
  </r>
  <r>
    <d v="2015-10-30T00:00:00"/>
    <x v="1"/>
    <x v="9"/>
    <x v="6"/>
    <x v="6"/>
    <x v="1"/>
    <x v="1"/>
    <s v="Air Cleaner"/>
    <n v="1826.51"/>
    <n v="9"/>
    <n v="396.82"/>
  </r>
  <r>
    <d v="2015-10-31T00:00:00"/>
    <x v="1"/>
    <x v="9"/>
    <x v="6"/>
    <x v="1"/>
    <x v="1"/>
    <x v="7"/>
    <s v="Sketch Kit"/>
    <n v="4743.13"/>
    <n v="10"/>
    <n v="506.22"/>
  </r>
  <r>
    <d v="2015-10-31T00:00:00"/>
    <x v="1"/>
    <x v="9"/>
    <x v="8"/>
    <x v="5"/>
    <x v="2"/>
    <x v="5"/>
    <s v="Mouse"/>
    <n v="2274.87"/>
    <n v="2"/>
    <n v="117.9"/>
  </r>
  <r>
    <d v="2015-11-01T00:00:00"/>
    <x v="1"/>
    <x v="10"/>
    <x v="11"/>
    <x v="8"/>
    <x v="2"/>
    <x v="5"/>
    <s v="USB Drive"/>
    <n v="4817.17"/>
    <n v="2"/>
    <n v="232.95"/>
  </r>
  <r>
    <d v="2015-11-01T00:00:00"/>
    <x v="1"/>
    <x v="10"/>
    <x v="3"/>
    <x v="2"/>
    <x v="2"/>
    <x v="6"/>
    <s v="Inkjet Copier"/>
    <n v="2267.54"/>
    <n v="5"/>
    <n v="164.84"/>
  </r>
  <r>
    <d v="2015-11-01T00:00:00"/>
    <x v="1"/>
    <x v="10"/>
    <x v="7"/>
    <x v="2"/>
    <x v="0"/>
    <x v="0"/>
    <s v="Desk Lamp"/>
    <n v="3698.07"/>
    <n v="6"/>
    <n v="115.94"/>
  </r>
  <r>
    <d v="2015-11-01T00:00:00"/>
    <x v="1"/>
    <x v="10"/>
    <x v="3"/>
    <x v="8"/>
    <x v="1"/>
    <x v="8"/>
    <s v="A4 Paper Pack"/>
    <n v="4894.51"/>
    <n v="7"/>
    <n v="1139.97"/>
  </r>
  <r>
    <d v="2015-11-01T00:00:00"/>
    <x v="1"/>
    <x v="10"/>
    <x v="4"/>
    <x v="7"/>
    <x v="0"/>
    <x v="10"/>
    <s v="Metal Bookcase"/>
    <n v="3959.19"/>
    <n v="3"/>
    <n v="363.16"/>
  </r>
  <r>
    <d v="2015-11-02T00:00:00"/>
    <x v="1"/>
    <x v="10"/>
    <x v="3"/>
    <x v="6"/>
    <x v="1"/>
    <x v="9"/>
    <s v="Binder Pack"/>
    <n v="3343.9"/>
    <n v="3"/>
    <n v="527.32000000000005"/>
  </r>
  <r>
    <d v="2015-11-03T00:00:00"/>
    <x v="1"/>
    <x v="10"/>
    <x v="6"/>
    <x v="0"/>
    <x v="1"/>
    <x v="9"/>
    <s v="Binder Pack"/>
    <n v="1467.94"/>
    <n v="4"/>
    <n v="92.02"/>
  </r>
  <r>
    <d v="2015-11-04T00:00:00"/>
    <x v="1"/>
    <x v="10"/>
    <x v="0"/>
    <x v="8"/>
    <x v="1"/>
    <x v="11"/>
    <s v="Storage Box"/>
    <n v="2122.92"/>
    <n v="7"/>
    <n v="593.04999999999995"/>
  </r>
  <r>
    <d v="2015-11-04T00:00:00"/>
    <x v="1"/>
    <x v="10"/>
    <x v="4"/>
    <x v="9"/>
    <x v="2"/>
    <x v="3"/>
    <s v="IP Phone"/>
    <n v="1964.73"/>
    <n v="4"/>
    <n v="190.24"/>
  </r>
  <r>
    <d v="2015-11-05T00:00:00"/>
    <x v="1"/>
    <x v="10"/>
    <x v="6"/>
    <x v="1"/>
    <x v="0"/>
    <x v="10"/>
    <s v="Metal Bookcase"/>
    <n v="4085.59"/>
    <n v="6"/>
    <n v="1198.3900000000001"/>
  </r>
  <r>
    <d v="2015-11-05T00:00:00"/>
    <x v="1"/>
    <x v="10"/>
    <x v="10"/>
    <x v="8"/>
    <x v="1"/>
    <x v="9"/>
    <s v="Ring Binder"/>
    <n v="3867.42"/>
    <n v="1"/>
    <n v="802.89"/>
  </r>
  <r>
    <d v="2015-11-05T00:00:00"/>
    <x v="1"/>
    <x v="10"/>
    <x v="10"/>
    <x v="2"/>
    <x v="0"/>
    <x v="4"/>
    <s v="Office Chair"/>
    <n v="4618.3500000000004"/>
    <n v="2"/>
    <n v="400.85"/>
  </r>
  <r>
    <d v="2015-11-07T00:00:00"/>
    <x v="1"/>
    <x v="10"/>
    <x v="5"/>
    <x v="4"/>
    <x v="2"/>
    <x v="3"/>
    <s v="Smartphone"/>
    <n v="1084.03"/>
    <n v="10"/>
    <n v="188.04"/>
  </r>
  <r>
    <d v="2015-11-07T00:00:00"/>
    <x v="1"/>
    <x v="10"/>
    <x v="3"/>
    <x v="3"/>
    <x v="2"/>
    <x v="5"/>
    <s v="Mouse"/>
    <n v="3009.42"/>
    <n v="1"/>
    <n v="58.24"/>
  </r>
  <r>
    <d v="2015-11-08T00:00:00"/>
    <x v="1"/>
    <x v="10"/>
    <x v="4"/>
    <x v="2"/>
    <x v="2"/>
    <x v="3"/>
    <s v="IP Phone"/>
    <n v="3346.01"/>
    <n v="1"/>
    <n v="767.37"/>
  </r>
  <r>
    <d v="2015-11-09T00:00:00"/>
    <x v="1"/>
    <x v="10"/>
    <x v="8"/>
    <x v="6"/>
    <x v="0"/>
    <x v="10"/>
    <s v="Metal Bookcase"/>
    <n v="259.64999999999998"/>
    <n v="4"/>
    <n v="69.81"/>
  </r>
  <r>
    <d v="2015-11-09T00:00:00"/>
    <x v="1"/>
    <x v="10"/>
    <x v="3"/>
    <x v="6"/>
    <x v="1"/>
    <x v="11"/>
    <s v="Storage Box"/>
    <n v="3312.8"/>
    <n v="7"/>
    <n v="164.86"/>
  </r>
  <r>
    <d v="2015-11-09T00:00:00"/>
    <x v="1"/>
    <x v="10"/>
    <x v="11"/>
    <x v="7"/>
    <x v="2"/>
    <x v="6"/>
    <s v="Inkjet Copier"/>
    <n v="3914.48"/>
    <n v="3"/>
    <n v="147.11000000000001"/>
  </r>
  <r>
    <d v="2015-11-14T00:00:00"/>
    <x v="1"/>
    <x v="10"/>
    <x v="7"/>
    <x v="7"/>
    <x v="0"/>
    <x v="10"/>
    <s v="Metal Bookcase"/>
    <n v="1411.51"/>
    <n v="9"/>
    <n v="222.99"/>
  </r>
  <r>
    <d v="2015-11-14T00:00:00"/>
    <x v="1"/>
    <x v="10"/>
    <x v="10"/>
    <x v="1"/>
    <x v="2"/>
    <x v="3"/>
    <s v="Smartphone"/>
    <n v="2918.32"/>
    <n v="4"/>
    <n v="667.92"/>
  </r>
  <r>
    <d v="2015-11-14T00:00:00"/>
    <x v="1"/>
    <x v="10"/>
    <x v="9"/>
    <x v="8"/>
    <x v="1"/>
    <x v="11"/>
    <s v="Drawer Unit"/>
    <n v="548.75"/>
    <n v="6"/>
    <n v="122.67"/>
  </r>
  <r>
    <d v="2015-11-16T00:00:00"/>
    <x v="1"/>
    <x v="10"/>
    <x v="8"/>
    <x v="8"/>
    <x v="0"/>
    <x v="0"/>
    <s v="Wall Decor"/>
    <n v="2718.84"/>
    <n v="10"/>
    <n v="514.49"/>
  </r>
  <r>
    <d v="2015-11-16T00:00:00"/>
    <x v="1"/>
    <x v="10"/>
    <x v="0"/>
    <x v="0"/>
    <x v="0"/>
    <x v="4"/>
    <s v="Office Chair"/>
    <n v="1175.8"/>
    <n v="9"/>
    <n v="117.4"/>
  </r>
  <r>
    <d v="2015-11-17T00:00:00"/>
    <x v="1"/>
    <x v="10"/>
    <x v="9"/>
    <x v="0"/>
    <x v="1"/>
    <x v="1"/>
    <s v="Heater"/>
    <n v="403.72"/>
    <n v="1"/>
    <n v="115.89"/>
  </r>
  <r>
    <d v="2015-11-17T00:00:00"/>
    <x v="1"/>
    <x v="10"/>
    <x v="2"/>
    <x v="7"/>
    <x v="2"/>
    <x v="3"/>
    <s v="Smartphone"/>
    <n v="4605.7299999999996"/>
    <n v="7"/>
    <n v="928.55"/>
  </r>
  <r>
    <d v="2015-11-18T00:00:00"/>
    <x v="1"/>
    <x v="10"/>
    <x v="3"/>
    <x v="6"/>
    <x v="2"/>
    <x v="3"/>
    <s v="Smartphone"/>
    <n v="4532.8999999999996"/>
    <n v="3"/>
    <n v="227.57"/>
  </r>
  <r>
    <d v="2015-11-18T00:00:00"/>
    <x v="1"/>
    <x v="10"/>
    <x v="3"/>
    <x v="9"/>
    <x v="1"/>
    <x v="9"/>
    <s v="Ring Binder"/>
    <n v="4242.7299999999996"/>
    <n v="9"/>
    <n v="1042.24"/>
  </r>
  <r>
    <d v="2015-11-18T00:00:00"/>
    <x v="1"/>
    <x v="10"/>
    <x v="6"/>
    <x v="1"/>
    <x v="0"/>
    <x v="10"/>
    <s v="Wooden Bookcase"/>
    <n v="1346.4"/>
    <n v="1"/>
    <n v="142.66999999999999"/>
  </r>
  <r>
    <d v="2015-11-18T00:00:00"/>
    <x v="1"/>
    <x v="10"/>
    <x v="10"/>
    <x v="0"/>
    <x v="0"/>
    <x v="4"/>
    <s v="Executive Chair"/>
    <n v="2232.35"/>
    <n v="9"/>
    <n v="64.17"/>
  </r>
  <r>
    <d v="2015-11-19T00:00:00"/>
    <x v="1"/>
    <x v="10"/>
    <x v="3"/>
    <x v="3"/>
    <x v="1"/>
    <x v="8"/>
    <s v="A4 Paper Pack"/>
    <n v="1495.45"/>
    <n v="5"/>
    <n v="126.06"/>
  </r>
  <r>
    <d v="2015-11-20T00:00:00"/>
    <x v="1"/>
    <x v="10"/>
    <x v="9"/>
    <x v="9"/>
    <x v="1"/>
    <x v="11"/>
    <s v="Storage Box"/>
    <n v="2531.91"/>
    <n v="4"/>
    <n v="505.78"/>
  </r>
  <r>
    <d v="2015-11-20T00:00:00"/>
    <x v="1"/>
    <x v="10"/>
    <x v="0"/>
    <x v="0"/>
    <x v="1"/>
    <x v="8"/>
    <s v="A4 Paper Pack"/>
    <n v="3114.55"/>
    <n v="9"/>
    <n v="358.91"/>
  </r>
  <r>
    <d v="2015-11-21T00:00:00"/>
    <x v="1"/>
    <x v="10"/>
    <x v="2"/>
    <x v="4"/>
    <x v="0"/>
    <x v="10"/>
    <s v="Wooden Bookcase"/>
    <n v="1421.72"/>
    <n v="8"/>
    <n v="109.32"/>
  </r>
  <r>
    <d v="2015-11-22T00:00:00"/>
    <x v="1"/>
    <x v="10"/>
    <x v="9"/>
    <x v="3"/>
    <x v="1"/>
    <x v="1"/>
    <s v="Heater"/>
    <n v="4069.42"/>
    <n v="5"/>
    <n v="1125.32"/>
  </r>
  <r>
    <d v="2015-11-22T00:00:00"/>
    <x v="1"/>
    <x v="10"/>
    <x v="5"/>
    <x v="2"/>
    <x v="2"/>
    <x v="3"/>
    <s v="Smartphone"/>
    <n v="148.35"/>
    <n v="3"/>
    <n v="21.55"/>
  </r>
  <r>
    <d v="2015-11-23T00:00:00"/>
    <x v="1"/>
    <x v="10"/>
    <x v="4"/>
    <x v="5"/>
    <x v="1"/>
    <x v="9"/>
    <s v="Binder Pack"/>
    <n v="268.31"/>
    <n v="3"/>
    <n v="33.57"/>
  </r>
  <r>
    <d v="2015-11-23T00:00:00"/>
    <x v="1"/>
    <x v="10"/>
    <x v="4"/>
    <x v="9"/>
    <x v="1"/>
    <x v="1"/>
    <s v="Heater"/>
    <n v="2940.52"/>
    <n v="9"/>
    <n v="193.94"/>
  </r>
  <r>
    <d v="2015-11-23T00:00:00"/>
    <x v="1"/>
    <x v="10"/>
    <x v="4"/>
    <x v="8"/>
    <x v="2"/>
    <x v="5"/>
    <s v="USB Drive"/>
    <n v="3159.02"/>
    <n v="2"/>
    <n v="395.98"/>
  </r>
  <r>
    <d v="2015-11-23T00:00:00"/>
    <x v="1"/>
    <x v="10"/>
    <x v="5"/>
    <x v="1"/>
    <x v="0"/>
    <x v="0"/>
    <s v="Desk Lamp"/>
    <n v="384.24"/>
    <n v="5"/>
    <n v="14.47"/>
  </r>
  <r>
    <d v="2015-11-23T00:00:00"/>
    <x v="1"/>
    <x v="10"/>
    <x v="9"/>
    <x v="2"/>
    <x v="0"/>
    <x v="10"/>
    <s v="Metal Bookcase"/>
    <n v="4664.1899999999996"/>
    <n v="1"/>
    <n v="125.86"/>
  </r>
  <r>
    <d v="2015-11-23T00:00:00"/>
    <x v="1"/>
    <x v="10"/>
    <x v="4"/>
    <x v="9"/>
    <x v="1"/>
    <x v="9"/>
    <s v="Binder Pack"/>
    <n v="4581.66"/>
    <n v="5"/>
    <n v="1258.67"/>
  </r>
  <r>
    <d v="2015-11-24T00:00:00"/>
    <x v="1"/>
    <x v="10"/>
    <x v="2"/>
    <x v="4"/>
    <x v="2"/>
    <x v="6"/>
    <s v="Laser Copier"/>
    <n v="1931.81"/>
    <n v="3"/>
    <n v="305.39"/>
  </r>
  <r>
    <d v="2015-11-25T00:00:00"/>
    <x v="1"/>
    <x v="10"/>
    <x v="6"/>
    <x v="7"/>
    <x v="0"/>
    <x v="2"/>
    <s v="Study Table"/>
    <n v="788.38"/>
    <n v="3"/>
    <n v="127.85"/>
  </r>
  <r>
    <d v="2015-11-25T00:00:00"/>
    <x v="1"/>
    <x v="10"/>
    <x v="10"/>
    <x v="6"/>
    <x v="2"/>
    <x v="6"/>
    <s v="Laser Copier"/>
    <n v="158.12"/>
    <n v="4"/>
    <n v="32.58"/>
  </r>
  <r>
    <d v="2015-11-25T00:00:00"/>
    <x v="1"/>
    <x v="10"/>
    <x v="11"/>
    <x v="1"/>
    <x v="1"/>
    <x v="8"/>
    <s v="A4 Paper Pack"/>
    <n v="4018.96"/>
    <n v="2"/>
    <n v="778.31"/>
  </r>
  <r>
    <d v="2015-11-26T00:00:00"/>
    <x v="1"/>
    <x v="10"/>
    <x v="11"/>
    <x v="2"/>
    <x v="2"/>
    <x v="3"/>
    <s v="Smartphone"/>
    <n v="2568.02"/>
    <n v="10"/>
    <n v="601.32000000000005"/>
  </r>
  <r>
    <d v="2015-11-27T00:00:00"/>
    <x v="1"/>
    <x v="10"/>
    <x v="1"/>
    <x v="5"/>
    <x v="2"/>
    <x v="5"/>
    <s v="Mouse"/>
    <n v="704.28"/>
    <n v="8"/>
    <n v="54.67"/>
  </r>
  <r>
    <d v="2015-11-28T00:00:00"/>
    <x v="1"/>
    <x v="10"/>
    <x v="0"/>
    <x v="8"/>
    <x v="2"/>
    <x v="3"/>
    <s v="IP Phone"/>
    <n v="1863.47"/>
    <n v="6"/>
    <n v="426.08"/>
  </r>
  <r>
    <d v="2015-11-28T00:00:00"/>
    <x v="1"/>
    <x v="10"/>
    <x v="10"/>
    <x v="3"/>
    <x v="2"/>
    <x v="3"/>
    <s v="Smartphone"/>
    <n v="299.47000000000003"/>
    <n v="6"/>
    <n v="66.400000000000006"/>
  </r>
  <r>
    <d v="2015-11-29T00:00:00"/>
    <x v="1"/>
    <x v="10"/>
    <x v="7"/>
    <x v="3"/>
    <x v="0"/>
    <x v="4"/>
    <s v="Ergonomic Chair"/>
    <n v="3349.33"/>
    <n v="2"/>
    <n v="545.4"/>
  </r>
  <r>
    <d v="2015-11-29T00:00:00"/>
    <x v="1"/>
    <x v="10"/>
    <x v="11"/>
    <x v="4"/>
    <x v="1"/>
    <x v="1"/>
    <s v="Air Cleaner"/>
    <n v="1314.43"/>
    <n v="2"/>
    <n v="241.62"/>
  </r>
  <r>
    <d v="2015-12-01T00:00:00"/>
    <x v="1"/>
    <x v="11"/>
    <x v="8"/>
    <x v="1"/>
    <x v="0"/>
    <x v="10"/>
    <s v="Metal Bookcase"/>
    <n v="4093.07"/>
    <n v="8"/>
    <n v="393.42"/>
  </r>
  <r>
    <d v="2015-12-02T00:00:00"/>
    <x v="1"/>
    <x v="11"/>
    <x v="6"/>
    <x v="5"/>
    <x v="1"/>
    <x v="9"/>
    <s v="Binder Pack"/>
    <n v="3153.73"/>
    <n v="8"/>
    <n v="661.76"/>
  </r>
  <r>
    <d v="2015-12-02T00:00:00"/>
    <x v="1"/>
    <x v="11"/>
    <x v="4"/>
    <x v="4"/>
    <x v="1"/>
    <x v="1"/>
    <s v="Air Cleaner"/>
    <n v="2111.39"/>
    <n v="8"/>
    <n v="205.14"/>
  </r>
  <r>
    <d v="2015-12-02T00:00:00"/>
    <x v="1"/>
    <x v="11"/>
    <x v="5"/>
    <x v="1"/>
    <x v="2"/>
    <x v="6"/>
    <s v="Inkjet Copier"/>
    <n v="4992.1899999999996"/>
    <n v="10"/>
    <n v="808.74"/>
  </r>
  <r>
    <d v="2015-12-03T00:00:00"/>
    <x v="1"/>
    <x v="11"/>
    <x v="6"/>
    <x v="1"/>
    <x v="2"/>
    <x v="3"/>
    <s v="IP Phone"/>
    <n v="1911.02"/>
    <n v="9"/>
    <n v="529.80999999999995"/>
  </r>
  <r>
    <d v="2015-12-04T00:00:00"/>
    <x v="1"/>
    <x v="11"/>
    <x v="10"/>
    <x v="6"/>
    <x v="1"/>
    <x v="1"/>
    <s v="Air Cleaner"/>
    <n v="1451.51"/>
    <n v="2"/>
    <n v="232.74"/>
  </r>
  <r>
    <d v="2015-12-04T00:00:00"/>
    <x v="1"/>
    <x v="11"/>
    <x v="11"/>
    <x v="5"/>
    <x v="2"/>
    <x v="6"/>
    <s v="Laser Copier"/>
    <n v="1588.1"/>
    <n v="8"/>
    <n v="458.77"/>
  </r>
  <r>
    <d v="2015-12-04T00:00:00"/>
    <x v="1"/>
    <x v="11"/>
    <x v="11"/>
    <x v="4"/>
    <x v="0"/>
    <x v="2"/>
    <s v="Conference Table"/>
    <n v="805.6"/>
    <n v="6"/>
    <n v="197.34"/>
  </r>
  <r>
    <d v="2015-12-04T00:00:00"/>
    <x v="1"/>
    <x v="11"/>
    <x v="3"/>
    <x v="4"/>
    <x v="2"/>
    <x v="6"/>
    <s v="Laser Copier"/>
    <n v="1560.59"/>
    <n v="4"/>
    <n v="448.99"/>
  </r>
  <r>
    <d v="2015-12-04T00:00:00"/>
    <x v="1"/>
    <x v="11"/>
    <x v="11"/>
    <x v="8"/>
    <x v="2"/>
    <x v="5"/>
    <s v="USB Drive"/>
    <n v="3369.97"/>
    <n v="10"/>
    <n v="814.36"/>
  </r>
  <r>
    <d v="2015-12-05T00:00:00"/>
    <x v="1"/>
    <x v="11"/>
    <x v="8"/>
    <x v="1"/>
    <x v="2"/>
    <x v="3"/>
    <s v="IP Phone"/>
    <n v="2014.67"/>
    <n v="8"/>
    <n v="551.07000000000005"/>
  </r>
  <r>
    <d v="2015-12-06T00:00:00"/>
    <x v="1"/>
    <x v="11"/>
    <x v="0"/>
    <x v="0"/>
    <x v="2"/>
    <x v="3"/>
    <s v="Smartphone"/>
    <n v="518.02"/>
    <n v="6"/>
    <n v="50.99"/>
  </r>
  <r>
    <d v="2015-12-06T00:00:00"/>
    <x v="1"/>
    <x v="11"/>
    <x v="2"/>
    <x v="9"/>
    <x v="2"/>
    <x v="3"/>
    <s v="IP Phone"/>
    <n v="3761.43"/>
    <n v="5"/>
    <n v="738.08"/>
  </r>
  <r>
    <d v="2015-12-07T00:00:00"/>
    <x v="1"/>
    <x v="11"/>
    <x v="7"/>
    <x v="6"/>
    <x v="0"/>
    <x v="0"/>
    <s v="Desk Lamp"/>
    <n v="4872.38"/>
    <n v="7"/>
    <n v="1095.28"/>
  </r>
  <r>
    <d v="2015-12-08T00:00:00"/>
    <x v="1"/>
    <x v="11"/>
    <x v="1"/>
    <x v="4"/>
    <x v="2"/>
    <x v="3"/>
    <s v="IP Phone"/>
    <n v="763.82"/>
    <n v="1"/>
    <n v="5.92"/>
  </r>
  <r>
    <d v="2015-12-08T00:00:00"/>
    <x v="1"/>
    <x v="11"/>
    <x v="7"/>
    <x v="0"/>
    <x v="1"/>
    <x v="1"/>
    <s v="Heater"/>
    <n v="4897.96"/>
    <n v="7"/>
    <n v="779.7"/>
  </r>
  <r>
    <d v="2015-12-08T00:00:00"/>
    <x v="1"/>
    <x v="11"/>
    <x v="8"/>
    <x v="0"/>
    <x v="0"/>
    <x v="4"/>
    <s v="Office Chair"/>
    <n v="168.5"/>
    <n v="3"/>
    <n v="43.51"/>
  </r>
  <r>
    <d v="2015-12-08T00:00:00"/>
    <x v="1"/>
    <x v="11"/>
    <x v="6"/>
    <x v="9"/>
    <x v="1"/>
    <x v="7"/>
    <s v="Sketch Kit"/>
    <n v="1648.31"/>
    <n v="10"/>
    <n v="342.74"/>
  </r>
  <r>
    <d v="2015-12-10T00:00:00"/>
    <x v="1"/>
    <x v="11"/>
    <x v="7"/>
    <x v="4"/>
    <x v="0"/>
    <x v="10"/>
    <s v="Wooden Bookcase"/>
    <n v="1714.8"/>
    <n v="6"/>
    <n v="142.77000000000001"/>
  </r>
  <r>
    <d v="2015-12-11T00:00:00"/>
    <x v="1"/>
    <x v="11"/>
    <x v="2"/>
    <x v="3"/>
    <x v="0"/>
    <x v="2"/>
    <s v="Study Table"/>
    <n v="2072.9499999999998"/>
    <n v="10"/>
    <n v="275.37"/>
  </r>
  <r>
    <d v="2015-12-12T00:00:00"/>
    <x v="1"/>
    <x v="11"/>
    <x v="7"/>
    <x v="7"/>
    <x v="2"/>
    <x v="6"/>
    <s v="Inkjet Copier"/>
    <n v="1053.44"/>
    <n v="3"/>
    <n v="214.37"/>
  </r>
  <r>
    <d v="2015-12-12T00:00:00"/>
    <x v="1"/>
    <x v="11"/>
    <x v="4"/>
    <x v="5"/>
    <x v="1"/>
    <x v="8"/>
    <s v="A4 Paper Pack"/>
    <n v="1582.49"/>
    <n v="2"/>
    <n v="141.65"/>
  </r>
  <r>
    <d v="2015-12-13T00:00:00"/>
    <x v="1"/>
    <x v="11"/>
    <x v="9"/>
    <x v="2"/>
    <x v="2"/>
    <x v="6"/>
    <s v="Laser Copier"/>
    <n v="2652.9"/>
    <n v="9"/>
    <n v="124.69"/>
  </r>
  <r>
    <d v="2015-12-13T00:00:00"/>
    <x v="1"/>
    <x v="11"/>
    <x v="9"/>
    <x v="4"/>
    <x v="1"/>
    <x v="11"/>
    <s v="Storage Box"/>
    <n v="1731.38"/>
    <n v="5"/>
    <n v="89.49"/>
  </r>
  <r>
    <d v="2015-12-14T00:00:00"/>
    <x v="1"/>
    <x v="11"/>
    <x v="1"/>
    <x v="4"/>
    <x v="2"/>
    <x v="6"/>
    <s v="Laser Copier"/>
    <n v="4288.16"/>
    <n v="1"/>
    <n v="969.61"/>
  </r>
  <r>
    <d v="2015-12-14T00:00:00"/>
    <x v="1"/>
    <x v="11"/>
    <x v="10"/>
    <x v="1"/>
    <x v="0"/>
    <x v="0"/>
    <s v="Wall Decor"/>
    <n v="463.04"/>
    <n v="10"/>
    <n v="70.650000000000006"/>
  </r>
  <r>
    <d v="2015-12-15T00:00:00"/>
    <x v="1"/>
    <x v="11"/>
    <x v="5"/>
    <x v="2"/>
    <x v="2"/>
    <x v="6"/>
    <s v="Inkjet Copier"/>
    <n v="3430.68"/>
    <n v="8"/>
    <n v="818.95"/>
  </r>
  <r>
    <d v="2015-12-15T00:00:00"/>
    <x v="1"/>
    <x v="11"/>
    <x v="5"/>
    <x v="8"/>
    <x v="1"/>
    <x v="1"/>
    <s v="Air Cleaner"/>
    <n v="3567.6"/>
    <n v="5"/>
    <n v="410.41"/>
  </r>
  <r>
    <d v="2015-12-15T00:00:00"/>
    <x v="1"/>
    <x v="11"/>
    <x v="9"/>
    <x v="6"/>
    <x v="1"/>
    <x v="11"/>
    <s v="Drawer Unit"/>
    <n v="1029.1199999999999"/>
    <n v="4"/>
    <n v="230.59"/>
  </r>
  <r>
    <d v="2015-12-15T00:00:00"/>
    <x v="1"/>
    <x v="11"/>
    <x v="11"/>
    <x v="1"/>
    <x v="0"/>
    <x v="10"/>
    <s v="Wooden Bookcase"/>
    <n v="712.45"/>
    <n v="8"/>
    <n v="108.39"/>
  </r>
  <r>
    <d v="2015-12-15T00:00:00"/>
    <x v="1"/>
    <x v="11"/>
    <x v="0"/>
    <x v="8"/>
    <x v="0"/>
    <x v="10"/>
    <s v="Wooden Bookcase"/>
    <n v="2532.6999999999998"/>
    <n v="5"/>
    <n v="7.31"/>
  </r>
  <r>
    <d v="2015-12-16T00:00:00"/>
    <x v="1"/>
    <x v="11"/>
    <x v="3"/>
    <x v="1"/>
    <x v="1"/>
    <x v="1"/>
    <s v="Heater"/>
    <n v="1199.1300000000001"/>
    <n v="9"/>
    <n v="291.3"/>
  </r>
  <r>
    <d v="2015-12-17T00:00:00"/>
    <x v="1"/>
    <x v="11"/>
    <x v="4"/>
    <x v="3"/>
    <x v="2"/>
    <x v="5"/>
    <s v="Keyboard"/>
    <n v="3703.04"/>
    <n v="1"/>
    <n v="439.19"/>
  </r>
  <r>
    <d v="2015-12-17T00:00:00"/>
    <x v="1"/>
    <x v="11"/>
    <x v="11"/>
    <x v="8"/>
    <x v="2"/>
    <x v="5"/>
    <s v="Keyboard"/>
    <n v="2628.11"/>
    <n v="2"/>
    <n v="338.08"/>
  </r>
  <r>
    <d v="2015-12-18T00:00:00"/>
    <x v="1"/>
    <x v="11"/>
    <x v="7"/>
    <x v="0"/>
    <x v="1"/>
    <x v="1"/>
    <s v="Air Cleaner"/>
    <n v="1938.7"/>
    <n v="3"/>
    <n v="520.35"/>
  </r>
  <r>
    <d v="2015-12-18T00:00:00"/>
    <x v="1"/>
    <x v="11"/>
    <x v="6"/>
    <x v="5"/>
    <x v="1"/>
    <x v="11"/>
    <s v="Storage Box"/>
    <n v="2320.46"/>
    <n v="7"/>
    <n v="624.26"/>
  </r>
  <r>
    <d v="2015-12-19T00:00:00"/>
    <x v="1"/>
    <x v="11"/>
    <x v="10"/>
    <x v="5"/>
    <x v="1"/>
    <x v="9"/>
    <s v="Ring Binder"/>
    <n v="4938.9399999999996"/>
    <n v="1"/>
    <n v="1013.59"/>
  </r>
  <r>
    <d v="2015-12-19T00:00:00"/>
    <x v="1"/>
    <x v="11"/>
    <x v="3"/>
    <x v="3"/>
    <x v="0"/>
    <x v="2"/>
    <s v="Conference Table"/>
    <n v="754.34"/>
    <n v="3"/>
    <n v="158.41"/>
  </r>
  <r>
    <d v="2015-12-20T00:00:00"/>
    <x v="1"/>
    <x v="11"/>
    <x v="4"/>
    <x v="4"/>
    <x v="2"/>
    <x v="6"/>
    <s v="Laser Copier"/>
    <n v="840.89"/>
    <n v="10"/>
    <n v="230.53"/>
  </r>
  <r>
    <d v="2015-12-20T00:00:00"/>
    <x v="1"/>
    <x v="11"/>
    <x v="6"/>
    <x v="2"/>
    <x v="2"/>
    <x v="5"/>
    <s v="USB Drive"/>
    <n v="3745.16"/>
    <n v="8"/>
    <n v="193.6"/>
  </r>
  <r>
    <d v="2015-12-21T00:00:00"/>
    <x v="1"/>
    <x v="11"/>
    <x v="0"/>
    <x v="9"/>
    <x v="2"/>
    <x v="5"/>
    <s v="Mouse"/>
    <n v="4119.04"/>
    <n v="6"/>
    <n v="691.45"/>
  </r>
  <r>
    <d v="2015-12-21T00:00:00"/>
    <x v="1"/>
    <x v="11"/>
    <x v="6"/>
    <x v="3"/>
    <x v="0"/>
    <x v="2"/>
    <s v="Study Table"/>
    <n v="4929.76"/>
    <n v="7"/>
    <n v="1403.48"/>
  </r>
  <r>
    <d v="2015-12-22T00:00:00"/>
    <x v="1"/>
    <x v="11"/>
    <x v="4"/>
    <x v="7"/>
    <x v="1"/>
    <x v="8"/>
    <s v="A4 Paper Pack"/>
    <n v="4680.54"/>
    <n v="10"/>
    <n v="964.27"/>
  </r>
  <r>
    <d v="2015-12-22T00:00:00"/>
    <x v="1"/>
    <x v="11"/>
    <x v="3"/>
    <x v="4"/>
    <x v="1"/>
    <x v="1"/>
    <s v="Heater"/>
    <n v="2480.52"/>
    <n v="3"/>
    <n v="376.79"/>
  </r>
  <r>
    <d v="2015-12-23T00:00:00"/>
    <x v="1"/>
    <x v="11"/>
    <x v="1"/>
    <x v="9"/>
    <x v="2"/>
    <x v="6"/>
    <s v="Inkjet Copier"/>
    <n v="2515.9"/>
    <n v="6"/>
    <n v="564.65"/>
  </r>
  <r>
    <d v="2015-12-24T00:00:00"/>
    <x v="1"/>
    <x v="11"/>
    <x v="1"/>
    <x v="4"/>
    <x v="2"/>
    <x v="6"/>
    <s v="Inkjet Copier"/>
    <n v="1613.17"/>
    <n v="9"/>
    <n v="263.94"/>
  </r>
  <r>
    <d v="2015-12-24T00:00:00"/>
    <x v="1"/>
    <x v="11"/>
    <x v="7"/>
    <x v="2"/>
    <x v="2"/>
    <x v="5"/>
    <s v="Mouse"/>
    <n v="4695.1099999999997"/>
    <n v="5"/>
    <n v="978.71"/>
  </r>
  <r>
    <d v="2015-12-24T00:00:00"/>
    <x v="1"/>
    <x v="11"/>
    <x v="0"/>
    <x v="6"/>
    <x v="2"/>
    <x v="3"/>
    <s v="Smartphone"/>
    <n v="1312.79"/>
    <n v="9"/>
    <n v="143.36000000000001"/>
  </r>
  <r>
    <d v="2015-12-26T00:00:00"/>
    <x v="1"/>
    <x v="11"/>
    <x v="7"/>
    <x v="2"/>
    <x v="1"/>
    <x v="1"/>
    <s v="Heater"/>
    <n v="3851.77"/>
    <n v="1"/>
    <n v="929.02"/>
  </r>
  <r>
    <d v="2015-12-26T00:00:00"/>
    <x v="1"/>
    <x v="11"/>
    <x v="1"/>
    <x v="3"/>
    <x v="1"/>
    <x v="7"/>
    <s v="Color Set"/>
    <n v="3677.33"/>
    <n v="3"/>
    <n v="467.95"/>
  </r>
  <r>
    <d v="2015-12-26T00:00:00"/>
    <x v="1"/>
    <x v="11"/>
    <x v="3"/>
    <x v="6"/>
    <x v="1"/>
    <x v="7"/>
    <s v="Sketch Kit"/>
    <n v="3770.72"/>
    <n v="9"/>
    <n v="130.94999999999999"/>
  </r>
  <r>
    <d v="2015-12-28T00:00:00"/>
    <x v="1"/>
    <x v="11"/>
    <x v="1"/>
    <x v="8"/>
    <x v="0"/>
    <x v="0"/>
    <s v="Desk Lamp"/>
    <n v="20.88"/>
    <n v="6"/>
    <n v="1.48"/>
  </r>
  <r>
    <d v="2015-12-29T00:00:00"/>
    <x v="1"/>
    <x v="11"/>
    <x v="11"/>
    <x v="4"/>
    <x v="2"/>
    <x v="6"/>
    <s v="Laser Copier"/>
    <n v="2091.2399999999998"/>
    <n v="2"/>
    <n v="570.32000000000005"/>
  </r>
  <r>
    <d v="2015-12-30T00:00:00"/>
    <x v="1"/>
    <x v="11"/>
    <x v="6"/>
    <x v="5"/>
    <x v="2"/>
    <x v="5"/>
    <s v="Mouse"/>
    <n v="4487.5200000000004"/>
    <n v="5"/>
    <n v="255.6"/>
  </r>
  <r>
    <d v="2015-12-31T00:00:00"/>
    <x v="1"/>
    <x v="11"/>
    <x v="1"/>
    <x v="4"/>
    <x v="0"/>
    <x v="4"/>
    <s v="Executive Chair"/>
    <n v="422.2"/>
    <n v="7"/>
    <n v="50.04"/>
  </r>
  <r>
    <d v="2015-12-31T00:00:00"/>
    <x v="1"/>
    <x v="11"/>
    <x v="11"/>
    <x v="0"/>
    <x v="2"/>
    <x v="6"/>
    <s v="Inkjet Copier"/>
    <n v="623.91"/>
    <n v="2"/>
    <n v="117.06"/>
  </r>
  <r>
    <d v="2016-01-01T00:00:00"/>
    <x v="2"/>
    <x v="0"/>
    <x v="1"/>
    <x v="4"/>
    <x v="2"/>
    <x v="5"/>
    <s v="Keyboard"/>
    <n v="3091.64"/>
    <n v="10"/>
    <n v="576.19000000000005"/>
  </r>
  <r>
    <d v="2016-01-02T00:00:00"/>
    <x v="2"/>
    <x v="0"/>
    <x v="9"/>
    <x v="5"/>
    <x v="0"/>
    <x v="0"/>
    <s v="Desk Lamp"/>
    <n v="2469.09"/>
    <n v="9"/>
    <n v="510.6"/>
  </r>
  <r>
    <d v="2016-01-03T00:00:00"/>
    <x v="2"/>
    <x v="0"/>
    <x v="2"/>
    <x v="9"/>
    <x v="2"/>
    <x v="5"/>
    <s v="Keyboard"/>
    <n v="460.91"/>
    <n v="9"/>
    <n v="62.35"/>
  </r>
  <r>
    <d v="2016-01-03T00:00:00"/>
    <x v="2"/>
    <x v="0"/>
    <x v="0"/>
    <x v="0"/>
    <x v="0"/>
    <x v="10"/>
    <s v="Metal Bookcase"/>
    <n v="4063.97"/>
    <n v="5"/>
    <n v="864.51"/>
  </r>
  <r>
    <d v="2016-01-03T00:00:00"/>
    <x v="2"/>
    <x v="0"/>
    <x v="10"/>
    <x v="2"/>
    <x v="0"/>
    <x v="0"/>
    <s v="Desk Lamp"/>
    <n v="1203.48"/>
    <n v="4"/>
    <n v="135.53"/>
  </r>
  <r>
    <d v="2016-01-04T00:00:00"/>
    <x v="2"/>
    <x v="0"/>
    <x v="11"/>
    <x v="7"/>
    <x v="2"/>
    <x v="3"/>
    <s v="IP Phone"/>
    <n v="2322.8000000000002"/>
    <n v="6"/>
    <n v="68.8"/>
  </r>
  <r>
    <d v="2016-01-05T00:00:00"/>
    <x v="2"/>
    <x v="0"/>
    <x v="8"/>
    <x v="7"/>
    <x v="2"/>
    <x v="3"/>
    <s v="IP Phone"/>
    <n v="4898.1899999999996"/>
    <n v="1"/>
    <n v="833.51"/>
  </r>
  <r>
    <d v="2016-01-06T00:00:00"/>
    <x v="2"/>
    <x v="0"/>
    <x v="3"/>
    <x v="6"/>
    <x v="1"/>
    <x v="8"/>
    <s v="A4 Paper Pack"/>
    <n v="4281.6400000000003"/>
    <n v="6"/>
    <n v="764.89"/>
  </r>
  <r>
    <d v="2016-01-06T00:00:00"/>
    <x v="2"/>
    <x v="0"/>
    <x v="2"/>
    <x v="1"/>
    <x v="0"/>
    <x v="0"/>
    <s v="Desk Lamp"/>
    <n v="1119.22"/>
    <n v="4"/>
    <n v="0.02"/>
  </r>
  <r>
    <d v="2016-01-07T00:00:00"/>
    <x v="2"/>
    <x v="0"/>
    <x v="6"/>
    <x v="4"/>
    <x v="1"/>
    <x v="1"/>
    <s v="Heater"/>
    <n v="4280.62"/>
    <n v="5"/>
    <n v="337.26"/>
  </r>
  <r>
    <d v="2016-01-07T00:00:00"/>
    <x v="2"/>
    <x v="0"/>
    <x v="10"/>
    <x v="4"/>
    <x v="1"/>
    <x v="8"/>
    <s v="Printer Paper"/>
    <n v="3256.82"/>
    <n v="1"/>
    <n v="583.29999999999995"/>
  </r>
  <r>
    <d v="2016-01-08T00:00:00"/>
    <x v="2"/>
    <x v="0"/>
    <x v="11"/>
    <x v="3"/>
    <x v="0"/>
    <x v="0"/>
    <s v="Desk Lamp"/>
    <n v="1979.26"/>
    <n v="4"/>
    <n v="411.76"/>
  </r>
  <r>
    <d v="2016-01-09T00:00:00"/>
    <x v="2"/>
    <x v="0"/>
    <x v="8"/>
    <x v="7"/>
    <x v="0"/>
    <x v="0"/>
    <s v="Wall Decor"/>
    <n v="4959.47"/>
    <n v="8"/>
    <n v="840.66"/>
  </r>
  <r>
    <d v="2016-01-12T00:00:00"/>
    <x v="2"/>
    <x v="0"/>
    <x v="10"/>
    <x v="8"/>
    <x v="0"/>
    <x v="0"/>
    <s v="Wall Decor"/>
    <n v="533.91999999999996"/>
    <n v="3"/>
    <n v="78.849999999999994"/>
  </r>
  <r>
    <d v="2016-01-12T00:00:00"/>
    <x v="2"/>
    <x v="0"/>
    <x v="5"/>
    <x v="3"/>
    <x v="1"/>
    <x v="9"/>
    <s v="Ring Binder"/>
    <n v="688"/>
    <n v="7"/>
    <n v="16.010000000000002"/>
  </r>
  <r>
    <d v="2016-01-12T00:00:00"/>
    <x v="2"/>
    <x v="0"/>
    <x v="1"/>
    <x v="9"/>
    <x v="0"/>
    <x v="2"/>
    <s v="Conference Table"/>
    <n v="3421.23"/>
    <n v="1"/>
    <n v="700.71"/>
  </r>
  <r>
    <d v="2016-01-13T00:00:00"/>
    <x v="2"/>
    <x v="0"/>
    <x v="3"/>
    <x v="5"/>
    <x v="2"/>
    <x v="3"/>
    <s v="Smartphone"/>
    <n v="4337.1499999999996"/>
    <n v="6"/>
    <n v="274.92"/>
  </r>
  <r>
    <d v="2016-01-13T00:00:00"/>
    <x v="2"/>
    <x v="0"/>
    <x v="1"/>
    <x v="8"/>
    <x v="1"/>
    <x v="1"/>
    <s v="Heater"/>
    <n v="3160.26"/>
    <n v="10"/>
    <n v="805.79"/>
  </r>
  <r>
    <d v="2016-01-13T00:00:00"/>
    <x v="2"/>
    <x v="0"/>
    <x v="7"/>
    <x v="3"/>
    <x v="0"/>
    <x v="10"/>
    <s v="Metal Bookcase"/>
    <n v="397.63"/>
    <n v="3"/>
    <n v="105.03"/>
  </r>
  <r>
    <d v="2016-01-14T00:00:00"/>
    <x v="2"/>
    <x v="0"/>
    <x v="9"/>
    <x v="0"/>
    <x v="0"/>
    <x v="2"/>
    <s v="Study Table"/>
    <n v="2364.12"/>
    <n v="1"/>
    <n v="277.39999999999998"/>
  </r>
  <r>
    <d v="2016-01-15T00:00:00"/>
    <x v="2"/>
    <x v="0"/>
    <x v="5"/>
    <x v="3"/>
    <x v="2"/>
    <x v="3"/>
    <s v="IP Phone"/>
    <n v="2727.46"/>
    <n v="7"/>
    <n v="764.75"/>
  </r>
  <r>
    <d v="2016-01-16T00:00:00"/>
    <x v="2"/>
    <x v="0"/>
    <x v="6"/>
    <x v="6"/>
    <x v="2"/>
    <x v="3"/>
    <s v="IP Phone"/>
    <n v="2272.15"/>
    <n v="2"/>
    <n v="47.77"/>
  </r>
  <r>
    <d v="2016-01-16T00:00:00"/>
    <x v="2"/>
    <x v="0"/>
    <x v="4"/>
    <x v="8"/>
    <x v="1"/>
    <x v="11"/>
    <s v="Drawer Unit"/>
    <n v="1583.56"/>
    <n v="2"/>
    <n v="55.87"/>
  </r>
  <r>
    <d v="2016-01-17T00:00:00"/>
    <x v="2"/>
    <x v="0"/>
    <x v="7"/>
    <x v="5"/>
    <x v="2"/>
    <x v="6"/>
    <s v="Laser Copier"/>
    <n v="1694.43"/>
    <n v="3"/>
    <n v="469.55"/>
  </r>
  <r>
    <d v="2016-01-18T00:00:00"/>
    <x v="2"/>
    <x v="0"/>
    <x v="2"/>
    <x v="2"/>
    <x v="2"/>
    <x v="6"/>
    <s v="Laser Copier"/>
    <n v="231.53"/>
    <n v="7"/>
    <n v="53.69"/>
  </r>
  <r>
    <d v="2016-01-19T00:00:00"/>
    <x v="2"/>
    <x v="0"/>
    <x v="1"/>
    <x v="2"/>
    <x v="2"/>
    <x v="6"/>
    <s v="Laser Copier"/>
    <n v="1568.04"/>
    <n v="5"/>
    <n v="295.93"/>
  </r>
  <r>
    <d v="2016-01-19T00:00:00"/>
    <x v="2"/>
    <x v="0"/>
    <x v="3"/>
    <x v="3"/>
    <x v="0"/>
    <x v="4"/>
    <s v="Executive Chair"/>
    <n v="45.03"/>
    <n v="5"/>
    <n v="0.41"/>
  </r>
  <r>
    <d v="2016-01-19T00:00:00"/>
    <x v="2"/>
    <x v="0"/>
    <x v="0"/>
    <x v="5"/>
    <x v="1"/>
    <x v="11"/>
    <s v="Storage Box"/>
    <n v="1391.3"/>
    <n v="10"/>
    <n v="151.26"/>
  </r>
  <r>
    <d v="2016-01-19T00:00:00"/>
    <x v="2"/>
    <x v="0"/>
    <x v="6"/>
    <x v="9"/>
    <x v="1"/>
    <x v="1"/>
    <s v="Air Cleaner"/>
    <n v="4580.2"/>
    <n v="1"/>
    <n v="155.46"/>
  </r>
  <r>
    <d v="2016-01-20T00:00:00"/>
    <x v="2"/>
    <x v="0"/>
    <x v="6"/>
    <x v="8"/>
    <x v="1"/>
    <x v="11"/>
    <s v="Storage Box"/>
    <n v="1794.16"/>
    <n v="9"/>
    <n v="450.46"/>
  </r>
  <r>
    <d v="2016-01-21T00:00:00"/>
    <x v="2"/>
    <x v="0"/>
    <x v="8"/>
    <x v="3"/>
    <x v="1"/>
    <x v="8"/>
    <s v="Printer Paper"/>
    <n v="2171.37"/>
    <n v="9"/>
    <n v="117.62"/>
  </r>
  <r>
    <d v="2016-01-22T00:00:00"/>
    <x v="2"/>
    <x v="0"/>
    <x v="9"/>
    <x v="3"/>
    <x v="1"/>
    <x v="9"/>
    <s v="Binder Pack"/>
    <n v="3304.09"/>
    <n v="10"/>
    <n v="383.31"/>
  </r>
  <r>
    <d v="2016-01-22T00:00:00"/>
    <x v="2"/>
    <x v="0"/>
    <x v="10"/>
    <x v="8"/>
    <x v="1"/>
    <x v="11"/>
    <s v="Drawer Unit"/>
    <n v="4389.5200000000004"/>
    <n v="8"/>
    <n v="1058.42"/>
  </r>
  <r>
    <d v="2016-01-22T00:00:00"/>
    <x v="2"/>
    <x v="0"/>
    <x v="10"/>
    <x v="3"/>
    <x v="2"/>
    <x v="6"/>
    <s v="Inkjet Copier"/>
    <n v="3963.92"/>
    <n v="9"/>
    <n v="66.849999999999994"/>
  </r>
  <r>
    <d v="2016-01-23T00:00:00"/>
    <x v="2"/>
    <x v="0"/>
    <x v="11"/>
    <x v="8"/>
    <x v="2"/>
    <x v="6"/>
    <s v="Inkjet Copier"/>
    <n v="1259.3599999999999"/>
    <n v="6"/>
    <n v="299.45"/>
  </r>
  <r>
    <d v="2016-01-23T00:00:00"/>
    <x v="2"/>
    <x v="0"/>
    <x v="8"/>
    <x v="2"/>
    <x v="2"/>
    <x v="5"/>
    <s v="Keyboard"/>
    <n v="4124.6099999999997"/>
    <n v="5"/>
    <n v="240.86"/>
  </r>
  <r>
    <d v="2016-01-23T00:00:00"/>
    <x v="2"/>
    <x v="0"/>
    <x v="7"/>
    <x v="9"/>
    <x v="2"/>
    <x v="3"/>
    <s v="IP Phone"/>
    <n v="1780.91"/>
    <n v="7"/>
    <n v="354.17"/>
  </r>
  <r>
    <d v="2016-01-25T00:00:00"/>
    <x v="2"/>
    <x v="0"/>
    <x v="2"/>
    <x v="1"/>
    <x v="2"/>
    <x v="3"/>
    <s v="IP Phone"/>
    <n v="3606.04"/>
    <n v="9"/>
    <n v="696.48"/>
  </r>
  <r>
    <d v="2016-01-25T00:00:00"/>
    <x v="2"/>
    <x v="0"/>
    <x v="2"/>
    <x v="8"/>
    <x v="1"/>
    <x v="9"/>
    <s v="Binder Pack"/>
    <n v="1545.46"/>
    <n v="10"/>
    <n v="212.92"/>
  </r>
  <r>
    <d v="2016-01-25T00:00:00"/>
    <x v="2"/>
    <x v="0"/>
    <x v="4"/>
    <x v="2"/>
    <x v="2"/>
    <x v="6"/>
    <s v="Inkjet Copier"/>
    <n v="4434.6899999999996"/>
    <n v="9"/>
    <n v="608.47"/>
  </r>
  <r>
    <d v="2016-01-26T00:00:00"/>
    <x v="2"/>
    <x v="0"/>
    <x v="4"/>
    <x v="1"/>
    <x v="2"/>
    <x v="3"/>
    <s v="IP Phone"/>
    <n v="1083.49"/>
    <n v="2"/>
    <n v="1.37"/>
  </r>
  <r>
    <d v="2016-01-27T00:00:00"/>
    <x v="2"/>
    <x v="0"/>
    <x v="7"/>
    <x v="1"/>
    <x v="2"/>
    <x v="3"/>
    <s v="IP Phone"/>
    <n v="4689.5200000000004"/>
    <n v="4"/>
    <n v="1155.6199999999999"/>
  </r>
  <r>
    <d v="2016-01-27T00:00:00"/>
    <x v="2"/>
    <x v="0"/>
    <x v="4"/>
    <x v="3"/>
    <x v="2"/>
    <x v="5"/>
    <s v="Mouse"/>
    <n v="3224.88"/>
    <n v="9"/>
    <n v="481.17"/>
  </r>
  <r>
    <d v="2016-01-28T00:00:00"/>
    <x v="2"/>
    <x v="0"/>
    <x v="0"/>
    <x v="6"/>
    <x v="0"/>
    <x v="2"/>
    <s v="Study Table"/>
    <n v="2812.66"/>
    <n v="8"/>
    <n v="483.75"/>
  </r>
  <r>
    <d v="2016-01-28T00:00:00"/>
    <x v="2"/>
    <x v="0"/>
    <x v="3"/>
    <x v="7"/>
    <x v="0"/>
    <x v="4"/>
    <s v="Executive Chair"/>
    <n v="3477.87"/>
    <n v="3"/>
    <n v="514.55999999999995"/>
  </r>
  <r>
    <d v="2016-01-29T00:00:00"/>
    <x v="2"/>
    <x v="0"/>
    <x v="9"/>
    <x v="8"/>
    <x v="0"/>
    <x v="4"/>
    <s v="Office Chair"/>
    <n v="2928.85"/>
    <n v="3"/>
    <n v="385.84"/>
  </r>
  <r>
    <d v="2016-01-29T00:00:00"/>
    <x v="2"/>
    <x v="0"/>
    <x v="0"/>
    <x v="7"/>
    <x v="2"/>
    <x v="5"/>
    <s v="Mouse"/>
    <n v="1270.43"/>
    <n v="7"/>
    <n v="216.37"/>
  </r>
  <r>
    <d v="2016-01-30T00:00:00"/>
    <x v="2"/>
    <x v="0"/>
    <x v="11"/>
    <x v="5"/>
    <x v="2"/>
    <x v="6"/>
    <s v="Inkjet Copier"/>
    <n v="2941.53"/>
    <n v="3"/>
    <n v="623.16"/>
  </r>
  <r>
    <d v="2016-02-01T00:00:00"/>
    <x v="2"/>
    <x v="1"/>
    <x v="10"/>
    <x v="5"/>
    <x v="1"/>
    <x v="11"/>
    <s v="Drawer Unit"/>
    <n v="2712.44"/>
    <n v="2"/>
    <n v="158.28"/>
  </r>
  <r>
    <d v="2016-02-01T00:00:00"/>
    <x v="2"/>
    <x v="1"/>
    <x v="3"/>
    <x v="1"/>
    <x v="1"/>
    <x v="11"/>
    <s v="Drawer Unit"/>
    <n v="288.13"/>
    <n v="8"/>
    <n v="73.38"/>
  </r>
  <r>
    <d v="2016-02-01T00:00:00"/>
    <x v="2"/>
    <x v="1"/>
    <x v="7"/>
    <x v="7"/>
    <x v="2"/>
    <x v="3"/>
    <s v="IP Phone"/>
    <n v="164.31"/>
    <n v="4"/>
    <n v="48.87"/>
  </r>
  <r>
    <d v="2016-02-02T00:00:00"/>
    <x v="2"/>
    <x v="1"/>
    <x v="4"/>
    <x v="0"/>
    <x v="0"/>
    <x v="4"/>
    <s v="Executive Chair"/>
    <n v="4888.68"/>
    <n v="1"/>
    <n v="1210.73"/>
  </r>
  <r>
    <d v="2016-02-02T00:00:00"/>
    <x v="2"/>
    <x v="1"/>
    <x v="1"/>
    <x v="8"/>
    <x v="0"/>
    <x v="10"/>
    <s v="Metal Bookcase"/>
    <n v="2197.5500000000002"/>
    <n v="4"/>
    <n v="613.54999999999995"/>
  </r>
  <r>
    <d v="2016-02-02T00:00:00"/>
    <x v="2"/>
    <x v="1"/>
    <x v="1"/>
    <x v="7"/>
    <x v="2"/>
    <x v="6"/>
    <s v="Laser Copier"/>
    <n v="850.9"/>
    <n v="8"/>
    <n v="223.05"/>
  </r>
  <r>
    <d v="2016-02-03T00:00:00"/>
    <x v="2"/>
    <x v="1"/>
    <x v="10"/>
    <x v="2"/>
    <x v="1"/>
    <x v="7"/>
    <s v="Sketch Kit"/>
    <n v="699.6"/>
    <n v="3"/>
    <n v="62.94"/>
  </r>
  <r>
    <d v="2016-02-03T00:00:00"/>
    <x v="2"/>
    <x v="1"/>
    <x v="5"/>
    <x v="8"/>
    <x v="0"/>
    <x v="4"/>
    <s v="Office Chair"/>
    <n v="98.95"/>
    <n v="9"/>
    <n v="26.38"/>
  </r>
  <r>
    <d v="2016-02-04T00:00:00"/>
    <x v="2"/>
    <x v="1"/>
    <x v="5"/>
    <x v="3"/>
    <x v="1"/>
    <x v="8"/>
    <s v="A4 Paper Pack"/>
    <n v="261.61"/>
    <n v="9"/>
    <n v="51.46"/>
  </r>
  <r>
    <d v="2016-02-04T00:00:00"/>
    <x v="2"/>
    <x v="1"/>
    <x v="11"/>
    <x v="4"/>
    <x v="0"/>
    <x v="4"/>
    <s v="Office Chair"/>
    <n v="42.92"/>
    <n v="4"/>
    <n v="6.7"/>
  </r>
  <r>
    <d v="2016-02-05T00:00:00"/>
    <x v="2"/>
    <x v="1"/>
    <x v="2"/>
    <x v="7"/>
    <x v="1"/>
    <x v="8"/>
    <s v="A4 Paper Pack"/>
    <n v="2859.92"/>
    <n v="1"/>
    <n v="738.93"/>
  </r>
  <r>
    <d v="2016-02-08T00:00:00"/>
    <x v="2"/>
    <x v="1"/>
    <x v="7"/>
    <x v="5"/>
    <x v="2"/>
    <x v="3"/>
    <s v="Smartphone"/>
    <n v="4865.16"/>
    <n v="2"/>
    <n v="30.08"/>
  </r>
  <r>
    <d v="2016-02-09T00:00:00"/>
    <x v="2"/>
    <x v="1"/>
    <x v="4"/>
    <x v="9"/>
    <x v="2"/>
    <x v="5"/>
    <s v="USB Drive"/>
    <n v="1811.65"/>
    <n v="9"/>
    <n v="255.46"/>
  </r>
  <r>
    <d v="2016-02-09T00:00:00"/>
    <x v="2"/>
    <x v="1"/>
    <x v="8"/>
    <x v="7"/>
    <x v="2"/>
    <x v="3"/>
    <s v="Smartphone"/>
    <n v="600.72"/>
    <n v="4"/>
    <n v="174.34"/>
  </r>
  <r>
    <d v="2016-02-09T00:00:00"/>
    <x v="2"/>
    <x v="1"/>
    <x v="7"/>
    <x v="1"/>
    <x v="1"/>
    <x v="8"/>
    <s v="Printer Paper"/>
    <n v="1360.55"/>
    <n v="7"/>
    <n v="125.93"/>
  </r>
  <r>
    <d v="2016-02-09T00:00:00"/>
    <x v="2"/>
    <x v="1"/>
    <x v="9"/>
    <x v="4"/>
    <x v="2"/>
    <x v="6"/>
    <s v="Laser Copier"/>
    <n v="1767.88"/>
    <n v="6"/>
    <n v="506.55"/>
  </r>
  <r>
    <d v="2016-02-09T00:00:00"/>
    <x v="2"/>
    <x v="1"/>
    <x v="10"/>
    <x v="1"/>
    <x v="0"/>
    <x v="4"/>
    <s v="Office Chair"/>
    <n v="4922.4399999999996"/>
    <n v="5"/>
    <n v="668.34"/>
  </r>
  <r>
    <d v="2016-02-09T00:00:00"/>
    <x v="2"/>
    <x v="1"/>
    <x v="10"/>
    <x v="7"/>
    <x v="0"/>
    <x v="2"/>
    <s v="Conference Table"/>
    <n v="3336.09"/>
    <n v="5"/>
    <n v="121.95"/>
  </r>
  <r>
    <d v="2016-02-10T00:00:00"/>
    <x v="2"/>
    <x v="1"/>
    <x v="0"/>
    <x v="4"/>
    <x v="1"/>
    <x v="9"/>
    <s v="Ring Binder"/>
    <n v="2607.39"/>
    <n v="2"/>
    <n v="760.65"/>
  </r>
  <r>
    <d v="2016-02-12T00:00:00"/>
    <x v="2"/>
    <x v="1"/>
    <x v="6"/>
    <x v="4"/>
    <x v="2"/>
    <x v="3"/>
    <s v="IP Phone"/>
    <n v="2113.67"/>
    <n v="9"/>
    <n v="32.54"/>
  </r>
  <r>
    <d v="2016-02-13T00:00:00"/>
    <x v="2"/>
    <x v="1"/>
    <x v="4"/>
    <x v="4"/>
    <x v="2"/>
    <x v="5"/>
    <s v="Keyboard"/>
    <n v="1457.57"/>
    <n v="9"/>
    <n v="40.57"/>
  </r>
  <r>
    <d v="2016-02-13T00:00:00"/>
    <x v="2"/>
    <x v="1"/>
    <x v="5"/>
    <x v="3"/>
    <x v="1"/>
    <x v="7"/>
    <s v="Sketch Kit"/>
    <n v="3455.18"/>
    <n v="5"/>
    <n v="947.88"/>
  </r>
  <r>
    <d v="2016-02-14T00:00:00"/>
    <x v="2"/>
    <x v="1"/>
    <x v="6"/>
    <x v="7"/>
    <x v="1"/>
    <x v="11"/>
    <s v="Drawer Unit"/>
    <n v="2116.81"/>
    <n v="6"/>
    <n v="608.53"/>
  </r>
  <r>
    <d v="2016-02-15T00:00:00"/>
    <x v="2"/>
    <x v="1"/>
    <x v="7"/>
    <x v="5"/>
    <x v="1"/>
    <x v="11"/>
    <s v="Drawer Unit"/>
    <n v="308.26"/>
    <n v="4"/>
    <n v="16.98"/>
  </r>
  <r>
    <d v="2016-02-15T00:00:00"/>
    <x v="2"/>
    <x v="1"/>
    <x v="5"/>
    <x v="8"/>
    <x v="2"/>
    <x v="3"/>
    <s v="Smartphone"/>
    <n v="1644.03"/>
    <n v="6"/>
    <n v="429.02"/>
  </r>
  <r>
    <d v="2016-02-18T00:00:00"/>
    <x v="2"/>
    <x v="1"/>
    <x v="2"/>
    <x v="3"/>
    <x v="0"/>
    <x v="10"/>
    <s v="Metal Bookcase"/>
    <n v="603.12"/>
    <n v="10"/>
    <n v="57.82"/>
  </r>
  <r>
    <d v="2016-02-18T00:00:00"/>
    <x v="2"/>
    <x v="1"/>
    <x v="2"/>
    <x v="4"/>
    <x v="1"/>
    <x v="9"/>
    <s v="Binder Pack"/>
    <n v="2878.18"/>
    <n v="2"/>
    <n v="721.37"/>
  </r>
  <r>
    <d v="2016-02-18T00:00:00"/>
    <x v="2"/>
    <x v="1"/>
    <x v="8"/>
    <x v="9"/>
    <x v="2"/>
    <x v="6"/>
    <s v="Laser Copier"/>
    <n v="2288.63"/>
    <n v="2"/>
    <n v="83.15"/>
  </r>
  <r>
    <d v="2016-02-19T00:00:00"/>
    <x v="2"/>
    <x v="1"/>
    <x v="8"/>
    <x v="5"/>
    <x v="2"/>
    <x v="5"/>
    <s v="Keyboard"/>
    <n v="4454.58"/>
    <n v="5"/>
    <n v="624.16"/>
  </r>
  <r>
    <d v="2016-02-19T00:00:00"/>
    <x v="2"/>
    <x v="1"/>
    <x v="7"/>
    <x v="7"/>
    <x v="0"/>
    <x v="10"/>
    <s v="Metal Bookcase"/>
    <n v="4318.1099999999997"/>
    <n v="3"/>
    <n v="995.44"/>
  </r>
  <r>
    <d v="2016-02-19T00:00:00"/>
    <x v="2"/>
    <x v="1"/>
    <x v="11"/>
    <x v="0"/>
    <x v="0"/>
    <x v="10"/>
    <s v="Wooden Bookcase"/>
    <n v="66.84"/>
    <n v="3"/>
    <n v="15.32"/>
  </r>
  <r>
    <d v="2016-02-21T00:00:00"/>
    <x v="2"/>
    <x v="1"/>
    <x v="5"/>
    <x v="8"/>
    <x v="1"/>
    <x v="7"/>
    <s v="Color Set"/>
    <n v="398.68"/>
    <n v="6"/>
    <n v="111.61"/>
  </r>
  <r>
    <d v="2016-02-21T00:00:00"/>
    <x v="2"/>
    <x v="1"/>
    <x v="1"/>
    <x v="2"/>
    <x v="1"/>
    <x v="1"/>
    <s v="Air Cleaner"/>
    <n v="1981.05"/>
    <n v="1"/>
    <n v="98.5"/>
  </r>
  <r>
    <d v="2016-02-22T00:00:00"/>
    <x v="2"/>
    <x v="1"/>
    <x v="2"/>
    <x v="1"/>
    <x v="1"/>
    <x v="9"/>
    <s v="Ring Binder"/>
    <n v="3786.88"/>
    <n v="9"/>
    <n v="56.26"/>
  </r>
  <r>
    <d v="2016-02-23T00:00:00"/>
    <x v="2"/>
    <x v="1"/>
    <x v="6"/>
    <x v="2"/>
    <x v="1"/>
    <x v="8"/>
    <s v="Printer Paper"/>
    <n v="1978.91"/>
    <n v="4"/>
    <n v="398.75"/>
  </r>
  <r>
    <d v="2016-02-23T00:00:00"/>
    <x v="2"/>
    <x v="1"/>
    <x v="3"/>
    <x v="5"/>
    <x v="1"/>
    <x v="7"/>
    <s v="Sketch Kit"/>
    <n v="4025.08"/>
    <n v="5"/>
    <n v="1189.68"/>
  </r>
  <r>
    <d v="2016-02-23T00:00:00"/>
    <x v="2"/>
    <x v="1"/>
    <x v="3"/>
    <x v="6"/>
    <x v="2"/>
    <x v="6"/>
    <s v="Inkjet Copier"/>
    <n v="4446.42"/>
    <n v="9"/>
    <n v="256.89"/>
  </r>
  <r>
    <d v="2016-02-23T00:00:00"/>
    <x v="2"/>
    <x v="1"/>
    <x v="2"/>
    <x v="8"/>
    <x v="2"/>
    <x v="5"/>
    <s v="Keyboard"/>
    <n v="4372.54"/>
    <n v="1"/>
    <n v="1234.75"/>
  </r>
  <r>
    <d v="2016-02-23T00:00:00"/>
    <x v="2"/>
    <x v="1"/>
    <x v="7"/>
    <x v="5"/>
    <x v="0"/>
    <x v="2"/>
    <s v="Conference Table"/>
    <n v="2470.8200000000002"/>
    <n v="10"/>
    <n v="553.89"/>
  </r>
  <r>
    <d v="2016-02-23T00:00:00"/>
    <x v="2"/>
    <x v="1"/>
    <x v="10"/>
    <x v="0"/>
    <x v="2"/>
    <x v="6"/>
    <s v="Laser Copier"/>
    <n v="836.77"/>
    <n v="7"/>
    <n v="183.37"/>
  </r>
  <r>
    <d v="2016-02-24T00:00:00"/>
    <x v="2"/>
    <x v="1"/>
    <x v="9"/>
    <x v="8"/>
    <x v="2"/>
    <x v="3"/>
    <s v="Smartphone"/>
    <n v="4698.1499999999996"/>
    <n v="4"/>
    <n v="237.61"/>
  </r>
  <r>
    <d v="2016-02-24T00:00:00"/>
    <x v="2"/>
    <x v="1"/>
    <x v="5"/>
    <x v="1"/>
    <x v="2"/>
    <x v="6"/>
    <s v="Inkjet Copier"/>
    <n v="4532.08"/>
    <n v="7"/>
    <n v="208.33"/>
  </r>
  <r>
    <d v="2016-02-24T00:00:00"/>
    <x v="2"/>
    <x v="1"/>
    <x v="8"/>
    <x v="6"/>
    <x v="2"/>
    <x v="3"/>
    <s v="IP Phone"/>
    <n v="4778.9799999999996"/>
    <n v="8"/>
    <n v="266.73"/>
  </r>
  <r>
    <d v="2016-02-25T00:00:00"/>
    <x v="2"/>
    <x v="1"/>
    <x v="4"/>
    <x v="5"/>
    <x v="0"/>
    <x v="2"/>
    <s v="Study Table"/>
    <n v="1002.18"/>
    <n v="10"/>
    <n v="184.46"/>
  </r>
  <r>
    <d v="2016-02-25T00:00:00"/>
    <x v="2"/>
    <x v="1"/>
    <x v="8"/>
    <x v="0"/>
    <x v="0"/>
    <x v="2"/>
    <s v="Study Table"/>
    <n v="3848.33"/>
    <n v="7"/>
    <n v="979.43"/>
  </r>
  <r>
    <d v="2016-02-26T00:00:00"/>
    <x v="2"/>
    <x v="1"/>
    <x v="6"/>
    <x v="1"/>
    <x v="1"/>
    <x v="9"/>
    <s v="Binder Pack"/>
    <n v="376.29"/>
    <n v="10"/>
    <n v="31.91"/>
  </r>
  <r>
    <d v="2016-02-26T00:00:00"/>
    <x v="2"/>
    <x v="1"/>
    <x v="0"/>
    <x v="6"/>
    <x v="2"/>
    <x v="6"/>
    <s v="Inkjet Copier"/>
    <n v="810.12"/>
    <n v="4"/>
    <n v="228.23"/>
  </r>
  <r>
    <d v="2016-02-26T00:00:00"/>
    <x v="2"/>
    <x v="1"/>
    <x v="7"/>
    <x v="3"/>
    <x v="0"/>
    <x v="2"/>
    <s v="Conference Table"/>
    <n v="802.99"/>
    <n v="9"/>
    <n v="30.83"/>
  </r>
  <r>
    <d v="2016-02-26T00:00:00"/>
    <x v="2"/>
    <x v="1"/>
    <x v="4"/>
    <x v="5"/>
    <x v="0"/>
    <x v="10"/>
    <s v="Wooden Bookcase"/>
    <n v="2900.76"/>
    <n v="3"/>
    <n v="404.49"/>
  </r>
  <r>
    <d v="2016-02-26T00:00:00"/>
    <x v="2"/>
    <x v="1"/>
    <x v="0"/>
    <x v="7"/>
    <x v="2"/>
    <x v="6"/>
    <s v="Laser Copier"/>
    <n v="486.77"/>
    <n v="1"/>
    <n v="34.74"/>
  </r>
  <r>
    <d v="2016-02-27T00:00:00"/>
    <x v="2"/>
    <x v="1"/>
    <x v="9"/>
    <x v="5"/>
    <x v="0"/>
    <x v="10"/>
    <s v="Metal Bookcase"/>
    <n v="833.29"/>
    <n v="9"/>
    <n v="56.39"/>
  </r>
  <r>
    <d v="2016-02-27T00:00:00"/>
    <x v="2"/>
    <x v="1"/>
    <x v="11"/>
    <x v="3"/>
    <x v="0"/>
    <x v="4"/>
    <s v="Office Chair"/>
    <n v="1283.21"/>
    <n v="5"/>
    <n v="30.48"/>
  </r>
  <r>
    <d v="2016-02-27T00:00:00"/>
    <x v="2"/>
    <x v="1"/>
    <x v="7"/>
    <x v="3"/>
    <x v="1"/>
    <x v="11"/>
    <s v="Storage Box"/>
    <n v="988.11"/>
    <n v="3"/>
    <n v="25.3"/>
  </r>
  <r>
    <d v="2016-02-29T00:00:00"/>
    <x v="2"/>
    <x v="1"/>
    <x v="0"/>
    <x v="6"/>
    <x v="1"/>
    <x v="9"/>
    <s v="Binder Pack"/>
    <n v="4522.87"/>
    <n v="6"/>
    <n v="246.33"/>
  </r>
  <r>
    <d v="2016-02-29T00:00:00"/>
    <x v="2"/>
    <x v="1"/>
    <x v="4"/>
    <x v="9"/>
    <x v="2"/>
    <x v="3"/>
    <s v="Smartphone"/>
    <n v="1031.3699999999999"/>
    <n v="2"/>
    <n v="45.85"/>
  </r>
  <r>
    <d v="2016-02-29T00:00:00"/>
    <x v="2"/>
    <x v="1"/>
    <x v="1"/>
    <x v="9"/>
    <x v="1"/>
    <x v="9"/>
    <s v="Ring Binder"/>
    <n v="4388.68"/>
    <n v="9"/>
    <n v="681.75"/>
  </r>
  <r>
    <d v="2016-02-29T00:00:00"/>
    <x v="2"/>
    <x v="1"/>
    <x v="10"/>
    <x v="0"/>
    <x v="1"/>
    <x v="1"/>
    <s v="Heater"/>
    <n v="3578.92"/>
    <n v="6"/>
    <n v="196.14"/>
  </r>
  <r>
    <d v="2016-02-29T00:00:00"/>
    <x v="2"/>
    <x v="1"/>
    <x v="5"/>
    <x v="1"/>
    <x v="0"/>
    <x v="2"/>
    <s v="Study Table"/>
    <n v="2212.61"/>
    <n v="10"/>
    <n v="271.94"/>
  </r>
  <r>
    <d v="2016-02-29T00:00:00"/>
    <x v="2"/>
    <x v="1"/>
    <x v="7"/>
    <x v="0"/>
    <x v="1"/>
    <x v="11"/>
    <s v="Drawer Unit"/>
    <n v="4920.55"/>
    <n v="10"/>
    <n v="127.96"/>
  </r>
  <r>
    <d v="2016-02-29T00:00:00"/>
    <x v="2"/>
    <x v="1"/>
    <x v="2"/>
    <x v="5"/>
    <x v="2"/>
    <x v="6"/>
    <s v="Laser Copier"/>
    <n v="1630.04"/>
    <n v="10"/>
    <n v="16.79"/>
  </r>
  <r>
    <d v="2016-02-29T00:00:00"/>
    <x v="2"/>
    <x v="1"/>
    <x v="5"/>
    <x v="7"/>
    <x v="2"/>
    <x v="6"/>
    <s v="Laser Copier"/>
    <n v="1946.79"/>
    <n v="2"/>
    <n v="563.59"/>
  </r>
  <r>
    <d v="2016-03-01T00:00:00"/>
    <x v="2"/>
    <x v="2"/>
    <x v="1"/>
    <x v="1"/>
    <x v="1"/>
    <x v="7"/>
    <s v="Sketch Kit"/>
    <n v="2918.95"/>
    <n v="6"/>
    <n v="172.74"/>
  </r>
  <r>
    <d v="2016-03-01T00:00:00"/>
    <x v="2"/>
    <x v="2"/>
    <x v="10"/>
    <x v="4"/>
    <x v="1"/>
    <x v="1"/>
    <s v="Air Cleaner"/>
    <n v="3530.18"/>
    <n v="6"/>
    <n v="1050.94"/>
  </r>
  <r>
    <d v="2016-03-02T00:00:00"/>
    <x v="2"/>
    <x v="2"/>
    <x v="6"/>
    <x v="0"/>
    <x v="0"/>
    <x v="2"/>
    <s v="Conference Table"/>
    <n v="1508.49"/>
    <n v="6"/>
    <n v="41.96"/>
  </r>
  <r>
    <d v="2016-03-02T00:00:00"/>
    <x v="2"/>
    <x v="2"/>
    <x v="8"/>
    <x v="4"/>
    <x v="0"/>
    <x v="0"/>
    <s v="Desk Lamp"/>
    <n v="3272.65"/>
    <n v="1"/>
    <n v="472.05"/>
  </r>
  <r>
    <d v="2016-03-02T00:00:00"/>
    <x v="2"/>
    <x v="2"/>
    <x v="1"/>
    <x v="6"/>
    <x v="0"/>
    <x v="10"/>
    <s v="Wooden Bookcase"/>
    <n v="3712.65"/>
    <n v="6"/>
    <n v="884.31"/>
  </r>
  <r>
    <d v="2016-03-04T00:00:00"/>
    <x v="2"/>
    <x v="2"/>
    <x v="7"/>
    <x v="8"/>
    <x v="2"/>
    <x v="3"/>
    <s v="IP Phone"/>
    <n v="319.5"/>
    <n v="5"/>
    <n v="81.06"/>
  </r>
  <r>
    <d v="2016-03-04T00:00:00"/>
    <x v="2"/>
    <x v="2"/>
    <x v="8"/>
    <x v="0"/>
    <x v="0"/>
    <x v="2"/>
    <s v="Study Table"/>
    <n v="1463.59"/>
    <n v="3"/>
    <n v="132.06"/>
  </r>
  <r>
    <d v="2016-03-04T00:00:00"/>
    <x v="2"/>
    <x v="2"/>
    <x v="6"/>
    <x v="6"/>
    <x v="2"/>
    <x v="6"/>
    <s v="Laser Copier"/>
    <n v="2128.62"/>
    <n v="4"/>
    <n v="578.98"/>
  </r>
  <r>
    <d v="2016-03-04T00:00:00"/>
    <x v="2"/>
    <x v="2"/>
    <x v="4"/>
    <x v="5"/>
    <x v="1"/>
    <x v="9"/>
    <s v="Ring Binder"/>
    <n v="4924.3500000000004"/>
    <n v="9"/>
    <n v="157.21"/>
  </r>
  <r>
    <d v="2016-03-04T00:00:00"/>
    <x v="2"/>
    <x v="2"/>
    <x v="6"/>
    <x v="0"/>
    <x v="1"/>
    <x v="1"/>
    <s v="Heater"/>
    <n v="1749.59"/>
    <n v="1"/>
    <n v="13.81"/>
  </r>
  <r>
    <d v="2016-03-04T00:00:00"/>
    <x v="2"/>
    <x v="2"/>
    <x v="6"/>
    <x v="4"/>
    <x v="2"/>
    <x v="3"/>
    <s v="Smartphone"/>
    <n v="4720.74"/>
    <n v="10"/>
    <n v="623.98"/>
  </r>
  <r>
    <d v="2016-03-05T00:00:00"/>
    <x v="2"/>
    <x v="2"/>
    <x v="6"/>
    <x v="0"/>
    <x v="1"/>
    <x v="1"/>
    <s v="Air Cleaner"/>
    <n v="3803.25"/>
    <n v="7"/>
    <n v="619"/>
  </r>
  <r>
    <d v="2016-03-07T00:00:00"/>
    <x v="2"/>
    <x v="2"/>
    <x v="5"/>
    <x v="0"/>
    <x v="0"/>
    <x v="2"/>
    <s v="Conference Table"/>
    <n v="3891.93"/>
    <n v="6"/>
    <n v="48.81"/>
  </r>
  <r>
    <d v="2016-03-07T00:00:00"/>
    <x v="2"/>
    <x v="2"/>
    <x v="8"/>
    <x v="6"/>
    <x v="1"/>
    <x v="7"/>
    <s v="Color Set"/>
    <n v="2151.25"/>
    <n v="8"/>
    <n v="338.75"/>
  </r>
  <r>
    <d v="2016-03-07T00:00:00"/>
    <x v="2"/>
    <x v="2"/>
    <x v="6"/>
    <x v="6"/>
    <x v="2"/>
    <x v="5"/>
    <s v="Mouse"/>
    <n v="700.22"/>
    <n v="6"/>
    <n v="50.77"/>
  </r>
  <r>
    <d v="2016-03-09T00:00:00"/>
    <x v="2"/>
    <x v="2"/>
    <x v="9"/>
    <x v="0"/>
    <x v="1"/>
    <x v="9"/>
    <s v="Binder Pack"/>
    <n v="4632.42"/>
    <n v="3"/>
    <n v="158.66"/>
  </r>
  <r>
    <d v="2016-03-09T00:00:00"/>
    <x v="2"/>
    <x v="2"/>
    <x v="0"/>
    <x v="0"/>
    <x v="0"/>
    <x v="10"/>
    <s v="Metal Bookcase"/>
    <n v="118.12"/>
    <n v="5"/>
    <n v="16.350000000000001"/>
  </r>
  <r>
    <d v="2016-03-09T00:00:00"/>
    <x v="2"/>
    <x v="2"/>
    <x v="8"/>
    <x v="6"/>
    <x v="2"/>
    <x v="3"/>
    <s v="IP Phone"/>
    <n v="3113.75"/>
    <n v="10"/>
    <n v="264.82"/>
  </r>
  <r>
    <d v="2016-03-09T00:00:00"/>
    <x v="2"/>
    <x v="2"/>
    <x v="10"/>
    <x v="7"/>
    <x v="1"/>
    <x v="11"/>
    <s v="Drawer Unit"/>
    <n v="774.03"/>
    <n v="3"/>
    <n v="161.38"/>
  </r>
  <r>
    <d v="2016-03-09T00:00:00"/>
    <x v="2"/>
    <x v="2"/>
    <x v="7"/>
    <x v="3"/>
    <x v="1"/>
    <x v="1"/>
    <s v="Air Cleaner"/>
    <n v="2323.5300000000002"/>
    <n v="3"/>
    <n v="620.6"/>
  </r>
  <r>
    <d v="2016-03-10T00:00:00"/>
    <x v="2"/>
    <x v="2"/>
    <x v="7"/>
    <x v="2"/>
    <x v="1"/>
    <x v="9"/>
    <s v="Ring Binder"/>
    <n v="3742.42"/>
    <n v="6"/>
    <n v="571.86"/>
  </r>
  <r>
    <d v="2016-03-12T00:00:00"/>
    <x v="2"/>
    <x v="2"/>
    <x v="7"/>
    <x v="1"/>
    <x v="1"/>
    <x v="11"/>
    <s v="Storage Box"/>
    <n v="1045.72"/>
    <n v="9"/>
    <n v="53.9"/>
  </r>
  <r>
    <d v="2016-03-12T00:00:00"/>
    <x v="2"/>
    <x v="2"/>
    <x v="3"/>
    <x v="8"/>
    <x v="1"/>
    <x v="8"/>
    <s v="Printer Paper"/>
    <n v="3005.45"/>
    <n v="10"/>
    <n v="130.15"/>
  </r>
  <r>
    <d v="2016-03-13T00:00:00"/>
    <x v="2"/>
    <x v="2"/>
    <x v="9"/>
    <x v="1"/>
    <x v="0"/>
    <x v="4"/>
    <s v="Office Chair"/>
    <n v="4320.7299999999996"/>
    <n v="7"/>
    <n v="960.95"/>
  </r>
  <r>
    <d v="2016-03-13T00:00:00"/>
    <x v="2"/>
    <x v="2"/>
    <x v="6"/>
    <x v="7"/>
    <x v="2"/>
    <x v="5"/>
    <s v="USB Drive"/>
    <n v="4176.51"/>
    <n v="2"/>
    <n v="766.1"/>
  </r>
  <r>
    <d v="2016-03-14T00:00:00"/>
    <x v="2"/>
    <x v="2"/>
    <x v="2"/>
    <x v="9"/>
    <x v="1"/>
    <x v="7"/>
    <s v="Sketch Kit"/>
    <n v="181.98"/>
    <n v="6"/>
    <n v="44.58"/>
  </r>
  <r>
    <d v="2016-03-14T00:00:00"/>
    <x v="2"/>
    <x v="2"/>
    <x v="10"/>
    <x v="5"/>
    <x v="1"/>
    <x v="1"/>
    <s v="Heater"/>
    <n v="3619.5"/>
    <n v="8"/>
    <n v="963.53"/>
  </r>
  <r>
    <d v="2016-03-15T00:00:00"/>
    <x v="2"/>
    <x v="2"/>
    <x v="6"/>
    <x v="3"/>
    <x v="2"/>
    <x v="5"/>
    <s v="Keyboard"/>
    <n v="4924.67"/>
    <n v="3"/>
    <n v="1365.12"/>
  </r>
  <r>
    <d v="2016-03-15T00:00:00"/>
    <x v="2"/>
    <x v="2"/>
    <x v="11"/>
    <x v="0"/>
    <x v="2"/>
    <x v="5"/>
    <s v="USB Drive"/>
    <n v="4593.26"/>
    <n v="2"/>
    <n v="984.77"/>
  </r>
  <r>
    <d v="2016-03-15T00:00:00"/>
    <x v="2"/>
    <x v="2"/>
    <x v="6"/>
    <x v="4"/>
    <x v="2"/>
    <x v="6"/>
    <s v="Laser Copier"/>
    <n v="2088.9899999999998"/>
    <n v="4"/>
    <n v="165.28"/>
  </r>
  <r>
    <d v="2016-03-15T00:00:00"/>
    <x v="2"/>
    <x v="2"/>
    <x v="7"/>
    <x v="0"/>
    <x v="2"/>
    <x v="6"/>
    <s v="Laser Copier"/>
    <n v="2315.88"/>
    <n v="7"/>
    <n v="550.24"/>
  </r>
  <r>
    <d v="2016-03-15T00:00:00"/>
    <x v="2"/>
    <x v="2"/>
    <x v="7"/>
    <x v="9"/>
    <x v="2"/>
    <x v="5"/>
    <s v="USB Drive"/>
    <n v="3467.54"/>
    <n v="7"/>
    <n v="88.65"/>
  </r>
  <r>
    <d v="2016-03-16T00:00:00"/>
    <x v="2"/>
    <x v="2"/>
    <x v="11"/>
    <x v="0"/>
    <x v="2"/>
    <x v="5"/>
    <s v="USB Drive"/>
    <n v="1041.0999999999999"/>
    <n v="1"/>
    <n v="94.52"/>
  </r>
  <r>
    <d v="2016-03-17T00:00:00"/>
    <x v="2"/>
    <x v="2"/>
    <x v="11"/>
    <x v="0"/>
    <x v="1"/>
    <x v="9"/>
    <s v="Binder Pack"/>
    <n v="2909.47"/>
    <n v="5"/>
    <n v="555.03"/>
  </r>
  <r>
    <d v="2016-03-19T00:00:00"/>
    <x v="2"/>
    <x v="2"/>
    <x v="10"/>
    <x v="7"/>
    <x v="2"/>
    <x v="6"/>
    <s v="Laser Copier"/>
    <n v="3202.19"/>
    <n v="10"/>
    <n v="352.43"/>
  </r>
  <r>
    <d v="2016-03-19T00:00:00"/>
    <x v="2"/>
    <x v="2"/>
    <x v="10"/>
    <x v="0"/>
    <x v="1"/>
    <x v="9"/>
    <s v="Binder Pack"/>
    <n v="2526.87"/>
    <n v="6"/>
    <n v="548.80999999999995"/>
  </r>
  <r>
    <d v="2016-03-19T00:00:00"/>
    <x v="2"/>
    <x v="2"/>
    <x v="4"/>
    <x v="2"/>
    <x v="0"/>
    <x v="4"/>
    <s v="Office Chair"/>
    <n v="888.49"/>
    <n v="5"/>
    <n v="33.369999999999997"/>
  </r>
  <r>
    <d v="2016-03-19T00:00:00"/>
    <x v="2"/>
    <x v="2"/>
    <x v="1"/>
    <x v="5"/>
    <x v="0"/>
    <x v="0"/>
    <s v="Desk Lamp"/>
    <n v="3540.73"/>
    <n v="6"/>
    <n v="283.8"/>
  </r>
  <r>
    <d v="2016-03-20T00:00:00"/>
    <x v="2"/>
    <x v="2"/>
    <x v="9"/>
    <x v="3"/>
    <x v="0"/>
    <x v="10"/>
    <s v="Metal Bookcase"/>
    <n v="4842.09"/>
    <n v="1"/>
    <n v="1269.21"/>
  </r>
  <r>
    <d v="2016-03-21T00:00:00"/>
    <x v="2"/>
    <x v="2"/>
    <x v="5"/>
    <x v="8"/>
    <x v="2"/>
    <x v="5"/>
    <s v="USB Drive"/>
    <n v="370.38"/>
    <n v="9"/>
    <n v="58.08"/>
  </r>
  <r>
    <d v="2016-03-21T00:00:00"/>
    <x v="2"/>
    <x v="2"/>
    <x v="3"/>
    <x v="2"/>
    <x v="2"/>
    <x v="3"/>
    <s v="IP Phone"/>
    <n v="4526.6000000000004"/>
    <n v="6"/>
    <n v="269.69"/>
  </r>
  <r>
    <d v="2016-03-23T00:00:00"/>
    <x v="2"/>
    <x v="2"/>
    <x v="5"/>
    <x v="6"/>
    <x v="1"/>
    <x v="9"/>
    <s v="Ring Binder"/>
    <n v="316.08"/>
    <n v="7"/>
    <n v="37.04"/>
  </r>
  <r>
    <d v="2016-03-23T00:00:00"/>
    <x v="2"/>
    <x v="2"/>
    <x v="4"/>
    <x v="7"/>
    <x v="0"/>
    <x v="0"/>
    <s v="Wall Decor"/>
    <n v="2655.15"/>
    <n v="2"/>
    <n v="566.51"/>
  </r>
  <r>
    <d v="2016-03-24T00:00:00"/>
    <x v="2"/>
    <x v="2"/>
    <x v="1"/>
    <x v="4"/>
    <x v="2"/>
    <x v="3"/>
    <s v="IP Phone"/>
    <n v="1501.79"/>
    <n v="3"/>
    <n v="194.24"/>
  </r>
  <r>
    <d v="2016-03-24T00:00:00"/>
    <x v="2"/>
    <x v="2"/>
    <x v="11"/>
    <x v="0"/>
    <x v="1"/>
    <x v="11"/>
    <s v="Storage Box"/>
    <n v="3124.52"/>
    <n v="10"/>
    <n v="344.93"/>
  </r>
  <r>
    <d v="2016-03-24T00:00:00"/>
    <x v="2"/>
    <x v="2"/>
    <x v="11"/>
    <x v="3"/>
    <x v="0"/>
    <x v="2"/>
    <s v="Study Table"/>
    <n v="3118.49"/>
    <n v="6"/>
    <n v="432.18"/>
  </r>
  <r>
    <d v="2016-03-25T00:00:00"/>
    <x v="2"/>
    <x v="2"/>
    <x v="8"/>
    <x v="4"/>
    <x v="0"/>
    <x v="0"/>
    <s v="Wall Decor"/>
    <n v="2168.65"/>
    <n v="8"/>
    <n v="263.99"/>
  </r>
  <r>
    <d v="2016-03-26T00:00:00"/>
    <x v="2"/>
    <x v="2"/>
    <x v="10"/>
    <x v="3"/>
    <x v="2"/>
    <x v="3"/>
    <s v="Smartphone"/>
    <n v="2700.7"/>
    <n v="10"/>
    <n v="439.55"/>
  </r>
  <r>
    <d v="2016-03-27T00:00:00"/>
    <x v="2"/>
    <x v="2"/>
    <x v="7"/>
    <x v="5"/>
    <x v="2"/>
    <x v="6"/>
    <s v="Laser Copier"/>
    <n v="2603.9"/>
    <n v="1"/>
    <n v="531.80999999999995"/>
  </r>
  <r>
    <d v="2016-03-27T00:00:00"/>
    <x v="2"/>
    <x v="2"/>
    <x v="5"/>
    <x v="4"/>
    <x v="2"/>
    <x v="6"/>
    <s v="Laser Copier"/>
    <n v="2743.99"/>
    <n v="8"/>
    <n v="102.02"/>
  </r>
  <r>
    <d v="2016-03-29T00:00:00"/>
    <x v="2"/>
    <x v="2"/>
    <x v="6"/>
    <x v="6"/>
    <x v="1"/>
    <x v="9"/>
    <s v="Ring Binder"/>
    <n v="2841.67"/>
    <n v="10"/>
    <n v="282.49"/>
  </r>
  <r>
    <d v="2016-03-30T00:00:00"/>
    <x v="2"/>
    <x v="2"/>
    <x v="8"/>
    <x v="0"/>
    <x v="1"/>
    <x v="9"/>
    <s v="Binder Pack"/>
    <n v="2422.64"/>
    <n v="10"/>
    <n v="719.65"/>
  </r>
  <r>
    <d v="2016-04-01T00:00:00"/>
    <x v="2"/>
    <x v="3"/>
    <x v="7"/>
    <x v="9"/>
    <x v="1"/>
    <x v="11"/>
    <s v="Drawer Unit"/>
    <n v="1041.8900000000001"/>
    <n v="9"/>
    <n v="87.93"/>
  </r>
  <r>
    <d v="2016-04-01T00:00:00"/>
    <x v="2"/>
    <x v="3"/>
    <x v="1"/>
    <x v="1"/>
    <x v="1"/>
    <x v="7"/>
    <s v="Color Set"/>
    <n v="1129.55"/>
    <n v="1"/>
    <n v="260.49"/>
  </r>
  <r>
    <d v="2016-04-01T00:00:00"/>
    <x v="2"/>
    <x v="3"/>
    <x v="10"/>
    <x v="2"/>
    <x v="2"/>
    <x v="3"/>
    <s v="Smartphone"/>
    <n v="883.08"/>
    <n v="3"/>
    <n v="71.41"/>
  </r>
  <r>
    <d v="2016-04-01T00:00:00"/>
    <x v="2"/>
    <x v="3"/>
    <x v="10"/>
    <x v="8"/>
    <x v="2"/>
    <x v="5"/>
    <s v="USB Drive"/>
    <n v="3948.67"/>
    <n v="9"/>
    <n v="1056.1500000000001"/>
  </r>
  <r>
    <d v="2016-04-03T00:00:00"/>
    <x v="2"/>
    <x v="3"/>
    <x v="9"/>
    <x v="2"/>
    <x v="0"/>
    <x v="2"/>
    <s v="Study Table"/>
    <n v="4740.8"/>
    <n v="2"/>
    <n v="320.79000000000002"/>
  </r>
  <r>
    <d v="2016-04-05T00:00:00"/>
    <x v="2"/>
    <x v="3"/>
    <x v="4"/>
    <x v="6"/>
    <x v="2"/>
    <x v="5"/>
    <s v="USB Drive"/>
    <n v="2433.25"/>
    <n v="6"/>
    <n v="23.9"/>
  </r>
  <r>
    <d v="2016-04-05T00:00:00"/>
    <x v="2"/>
    <x v="3"/>
    <x v="10"/>
    <x v="5"/>
    <x v="1"/>
    <x v="1"/>
    <s v="Air Cleaner"/>
    <n v="4361.21"/>
    <n v="3"/>
    <n v="774.12"/>
  </r>
  <r>
    <d v="2016-04-06T00:00:00"/>
    <x v="2"/>
    <x v="3"/>
    <x v="3"/>
    <x v="3"/>
    <x v="1"/>
    <x v="9"/>
    <s v="Binder Pack"/>
    <n v="2687.65"/>
    <n v="3"/>
    <n v="394.58"/>
  </r>
  <r>
    <d v="2016-04-06T00:00:00"/>
    <x v="2"/>
    <x v="3"/>
    <x v="3"/>
    <x v="0"/>
    <x v="1"/>
    <x v="1"/>
    <s v="Air Cleaner"/>
    <n v="2525.08"/>
    <n v="4"/>
    <n v="650.83000000000004"/>
  </r>
  <r>
    <d v="2016-04-06T00:00:00"/>
    <x v="2"/>
    <x v="3"/>
    <x v="3"/>
    <x v="4"/>
    <x v="0"/>
    <x v="0"/>
    <s v="Desk Lamp"/>
    <n v="1720.38"/>
    <n v="8"/>
    <n v="463.61"/>
  </r>
  <r>
    <d v="2016-04-07T00:00:00"/>
    <x v="2"/>
    <x v="3"/>
    <x v="6"/>
    <x v="6"/>
    <x v="1"/>
    <x v="11"/>
    <s v="Storage Box"/>
    <n v="1761.4"/>
    <n v="1"/>
    <n v="292.77999999999997"/>
  </r>
  <r>
    <d v="2016-04-07T00:00:00"/>
    <x v="2"/>
    <x v="3"/>
    <x v="11"/>
    <x v="0"/>
    <x v="1"/>
    <x v="11"/>
    <s v="Storage Box"/>
    <n v="3449.81"/>
    <n v="5"/>
    <n v="9.5500000000000007"/>
  </r>
  <r>
    <d v="2016-04-08T00:00:00"/>
    <x v="2"/>
    <x v="3"/>
    <x v="7"/>
    <x v="5"/>
    <x v="2"/>
    <x v="5"/>
    <s v="Mouse"/>
    <n v="1073.57"/>
    <n v="5"/>
    <n v="101.69"/>
  </r>
  <r>
    <d v="2016-04-09T00:00:00"/>
    <x v="2"/>
    <x v="3"/>
    <x v="9"/>
    <x v="6"/>
    <x v="2"/>
    <x v="3"/>
    <s v="Smartphone"/>
    <n v="1487.64"/>
    <n v="3"/>
    <n v="343.63"/>
  </r>
  <r>
    <d v="2016-04-10T00:00:00"/>
    <x v="2"/>
    <x v="3"/>
    <x v="0"/>
    <x v="2"/>
    <x v="0"/>
    <x v="10"/>
    <s v="Metal Bookcase"/>
    <n v="3611.46"/>
    <n v="4"/>
    <n v="555.37"/>
  </r>
  <r>
    <d v="2016-04-11T00:00:00"/>
    <x v="2"/>
    <x v="3"/>
    <x v="9"/>
    <x v="5"/>
    <x v="0"/>
    <x v="2"/>
    <s v="Conference Table"/>
    <n v="2112.7800000000002"/>
    <n v="4"/>
    <n v="574.08000000000004"/>
  </r>
  <r>
    <d v="2016-04-11T00:00:00"/>
    <x v="2"/>
    <x v="3"/>
    <x v="8"/>
    <x v="6"/>
    <x v="2"/>
    <x v="5"/>
    <s v="USB Drive"/>
    <n v="3824.89"/>
    <n v="5"/>
    <n v="656.22"/>
  </r>
  <r>
    <d v="2016-04-13T00:00:00"/>
    <x v="2"/>
    <x v="3"/>
    <x v="1"/>
    <x v="7"/>
    <x v="2"/>
    <x v="3"/>
    <s v="IP Phone"/>
    <n v="431.28"/>
    <n v="3"/>
    <n v="100.75"/>
  </r>
  <r>
    <d v="2016-04-13T00:00:00"/>
    <x v="2"/>
    <x v="3"/>
    <x v="4"/>
    <x v="3"/>
    <x v="2"/>
    <x v="3"/>
    <s v="Smartphone"/>
    <n v="2532.09"/>
    <n v="3"/>
    <n v="660.89"/>
  </r>
  <r>
    <d v="2016-04-13T00:00:00"/>
    <x v="2"/>
    <x v="3"/>
    <x v="5"/>
    <x v="1"/>
    <x v="0"/>
    <x v="2"/>
    <s v="Conference Table"/>
    <n v="3357.92"/>
    <n v="3"/>
    <n v="843.34"/>
  </r>
  <r>
    <d v="2016-04-14T00:00:00"/>
    <x v="2"/>
    <x v="3"/>
    <x v="4"/>
    <x v="2"/>
    <x v="0"/>
    <x v="4"/>
    <s v="Ergonomic Chair"/>
    <n v="2342.66"/>
    <n v="8"/>
    <n v="480.88"/>
  </r>
  <r>
    <d v="2016-04-14T00:00:00"/>
    <x v="2"/>
    <x v="3"/>
    <x v="8"/>
    <x v="1"/>
    <x v="0"/>
    <x v="4"/>
    <s v="Executive Chair"/>
    <n v="217.64"/>
    <n v="4"/>
    <n v="26.75"/>
  </r>
  <r>
    <d v="2016-04-15T00:00:00"/>
    <x v="2"/>
    <x v="3"/>
    <x v="10"/>
    <x v="8"/>
    <x v="2"/>
    <x v="3"/>
    <s v="IP Phone"/>
    <n v="4586.43"/>
    <n v="8"/>
    <n v="836.97"/>
  </r>
  <r>
    <d v="2016-04-15T00:00:00"/>
    <x v="2"/>
    <x v="3"/>
    <x v="0"/>
    <x v="6"/>
    <x v="2"/>
    <x v="3"/>
    <s v="IP Phone"/>
    <n v="3390.24"/>
    <n v="8"/>
    <n v="960.5"/>
  </r>
  <r>
    <d v="2016-04-16T00:00:00"/>
    <x v="2"/>
    <x v="3"/>
    <x v="4"/>
    <x v="4"/>
    <x v="1"/>
    <x v="9"/>
    <s v="Ring Binder"/>
    <n v="2313.4299999999998"/>
    <n v="9"/>
    <n v="48.79"/>
  </r>
  <r>
    <d v="2016-04-16T00:00:00"/>
    <x v="2"/>
    <x v="3"/>
    <x v="10"/>
    <x v="0"/>
    <x v="1"/>
    <x v="7"/>
    <s v="Sketch Kit"/>
    <n v="508.63"/>
    <n v="2"/>
    <n v="37.549999999999997"/>
  </r>
  <r>
    <d v="2016-04-16T00:00:00"/>
    <x v="2"/>
    <x v="3"/>
    <x v="8"/>
    <x v="0"/>
    <x v="0"/>
    <x v="0"/>
    <s v="Desk Lamp"/>
    <n v="165.53"/>
    <n v="1"/>
    <n v="14.51"/>
  </r>
  <r>
    <d v="2016-04-16T00:00:00"/>
    <x v="2"/>
    <x v="3"/>
    <x v="5"/>
    <x v="8"/>
    <x v="2"/>
    <x v="6"/>
    <s v="Laser Copier"/>
    <n v="1647.02"/>
    <n v="9"/>
    <n v="316.08"/>
  </r>
  <r>
    <d v="2016-04-17T00:00:00"/>
    <x v="2"/>
    <x v="3"/>
    <x v="1"/>
    <x v="2"/>
    <x v="1"/>
    <x v="11"/>
    <s v="Storage Box"/>
    <n v="2947.07"/>
    <n v="10"/>
    <n v="748.23"/>
  </r>
  <r>
    <d v="2016-04-17T00:00:00"/>
    <x v="2"/>
    <x v="3"/>
    <x v="10"/>
    <x v="0"/>
    <x v="2"/>
    <x v="6"/>
    <s v="Inkjet Copier"/>
    <n v="923.34"/>
    <n v="4"/>
    <n v="114.63"/>
  </r>
  <r>
    <d v="2016-04-20T00:00:00"/>
    <x v="2"/>
    <x v="3"/>
    <x v="10"/>
    <x v="4"/>
    <x v="2"/>
    <x v="6"/>
    <s v="Laser Copier"/>
    <n v="3360.42"/>
    <n v="4"/>
    <n v="873.65"/>
  </r>
  <r>
    <d v="2016-04-20T00:00:00"/>
    <x v="2"/>
    <x v="3"/>
    <x v="6"/>
    <x v="7"/>
    <x v="2"/>
    <x v="3"/>
    <s v="Smartphone"/>
    <n v="1816.4"/>
    <n v="6"/>
    <n v="331.91"/>
  </r>
  <r>
    <d v="2016-04-20T00:00:00"/>
    <x v="2"/>
    <x v="3"/>
    <x v="9"/>
    <x v="5"/>
    <x v="2"/>
    <x v="5"/>
    <s v="Keyboard"/>
    <n v="861.2"/>
    <n v="1"/>
    <n v="182.34"/>
  </r>
  <r>
    <d v="2016-04-21T00:00:00"/>
    <x v="2"/>
    <x v="3"/>
    <x v="2"/>
    <x v="2"/>
    <x v="2"/>
    <x v="5"/>
    <s v="Mouse"/>
    <n v="2143.16"/>
    <n v="3"/>
    <n v="239.18"/>
  </r>
  <r>
    <d v="2016-04-23T00:00:00"/>
    <x v="2"/>
    <x v="3"/>
    <x v="8"/>
    <x v="3"/>
    <x v="0"/>
    <x v="10"/>
    <s v="Metal Bookcase"/>
    <n v="1057.72"/>
    <n v="3"/>
    <n v="108.48"/>
  </r>
  <r>
    <d v="2016-04-23T00:00:00"/>
    <x v="2"/>
    <x v="3"/>
    <x v="5"/>
    <x v="2"/>
    <x v="2"/>
    <x v="5"/>
    <s v="Mouse"/>
    <n v="1076.5899999999999"/>
    <n v="7"/>
    <n v="27.37"/>
  </r>
  <r>
    <d v="2016-04-24T00:00:00"/>
    <x v="2"/>
    <x v="3"/>
    <x v="6"/>
    <x v="5"/>
    <x v="2"/>
    <x v="6"/>
    <s v="Inkjet Copier"/>
    <n v="4825.6899999999996"/>
    <n v="6"/>
    <n v="762.6"/>
  </r>
  <r>
    <d v="2016-04-24T00:00:00"/>
    <x v="2"/>
    <x v="3"/>
    <x v="7"/>
    <x v="9"/>
    <x v="2"/>
    <x v="5"/>
    <s v="USB Drive"/>
    <n v="3664.29"/>
    <n v="10"/>
    <n v="732.35"/>
  </r>
  <r>
    <d v="2016-04-24T00:00:00"/>
    <x v="2"/>
    <x v="3"/>
    <x v="6"/>
    <x v="6"/>
    <x v="1"/>
    <x v="1"/>
    <s v="Heater"/>
    <n v="3022.46"/>
    <n v="4"/>
    <n v="223.17"/>
  </r>
  <r>
    <d v="2016-04-25T00:00:00"/>
    <x v="2"/>
    <x v="3"/>
    <x v="7"/>
    <x v="9"/>
    <x v="0"/>
    <x v="10"/>
    <s v="Wooden Bookcase"/>
    <n v="4344.93"/>
    <n v="1"/>
    <n v="597.36"/>
  </r>
  <r>
    <d v="2016-04-26T00:00:00"/>
    <x v="2"/>
    <x v="3"/>
    <x v="10"/>
    <x v="2"/>
    <x v="1"/>
    <x v="8"/>
    <s v="Printer Paper"/>
    <n v="3283.05"/>
    <n v="9"/>
    <n v="863.79"/>
  </r>
  <r>
    <d v="2016-04-27T00:00:00"/>
    <x v="2"/>
    <x v="3"/>
    <x v="0"/>
    <x v="0"/>
    <x v="0"/>
    <x v="2"/>
    <s v="Study Table"/>
    <n v="141.22999999999999"/>
    <n v="3"/>
    <n v="23.92"/>
  </r>
  <r>
    <d v="2016-04-28T00:00:00"/>
    <x v="2"/>
    <x v="3"/>
    <x v="10"/>
    <x v="9"/>
    <x v="0"/>
    <x v="4"/>
    <s v="Executive Chair"/>
    <n v="3455.22"/>
    <n v="5"/>
    <n v="34.840000000000003"/>
  </r>
  <r>
    <d v="2016-04-30T00:00:00"/>
    <x v="2"/>
    <x v="3"/>
    <x v="11"/>
    <x v="8"/>
    <x v="2"/>
    <x v="5"/>
    <s v="Keyboard"/>
    <n v="1659.09"/>
    <n v="2"/>
    <n v="446.53"/>
  </r>
  <r>
    <d v="2016-04-30T00:00:00"/>
    <x v="2"/>
    <x v="3"/>
    <x v="6"/>
    <x v="7"/>
    <x v="1"/>
    <x v="11"/>
    <s v="Drawer Unit"/>
    <n v="4207.71"/>
    <n v="2"/>
    <n v="489.8"/>
  </r>
  <r>
    <d v="2016-05-04T00:00:00"/>
    <x v="2"/>
    <x v="4"/>
    <x v="7"/>
    <x v="8"/>
    <x v="1"/>
    <x v="9"/>
    <s v="Ring Binder"/>
    <n v="1485.31"/>
    <n v="1"/>
    <n v="39.619999999999997"/>
  </r>
  <r>
    <d v="2016-05-04T00:00:00"/>
    <x v="2"/>
    <x v="4"/>
    <x v="3"/>
    <x v="7"/>
    <x v="1"/>
    <x v="8"/>
    <s v="Printer Paper"/>
    <n v="476.97"/>
    <n v="2"/>
    <n v="67.28"/>
  </r>
  <r>
    <d v="2016-05-05T00:00:00"/>
    <x v="2"/>
    <x v="4"/>
    <x v="9"/>
    <x v="8"/>
    <x v="2"/>
    <x v="6"/>
    <s v="Inkjet Copier"/>
    <n v="105.66"/>
    <n v="2"/>
    <n v="11.11"/>
  </r>
  <r>
    <d v="2016-05-06T00:00:00"/>
    <x v="2"/>
    <x v="4"/>
    <x v="7"/>
    <x v="0"/>
    <x v="1"/>
    <x v="11"/>
    <s v="Storage Box"/>
    <n v="4066.09"/>
    <n v="8"/>
    <n v="1094.19"/>
  </r>
  <r>
    <d v="2016-05-06T00:00:00"/>
    <x v="2"/>
    <x v="4"/>
    <x v="2"/>
    <x v="9"/>
    <x v="1"/>
    <x v="1"/>
    <s v="Air Cleaner"/>
    <n v="157.29"/>
    <n v="9"/>
    <n v="5.51"/>
  </r>
  <r>
    <d v="2016-05-07T00:00:00"/>
    <x v="2"/>
    <x v="4"/>
    <x v="8"/>
    <x v="1"/>
    <x v="2"/>
    <x v="3"/>
    <s v="Smartphone"/>
    <n v="3431.14"/>
    <n v="7"/>
    <n v="179.92"/>
  </r>
  <r>
    <d v="2016-05-07T00:00:00"/>
    <x v="2"/>
    <x v="4"/>
    <x v="5"/>
    <x v="6"/>
    <x v="1"/>
    <x v="11"/>
    <s v="Drawer Unit"/>
    <n v="4330.22"/>
    <n v="5"/>
    <n v="672.42"/>
  </r>
  <r>
    <d v="2016-05-07T00:00:00"/>
    <x v="2"/>
    <x v="4"/>
    <x v="4"/>
    <x v="2"/>
    <x v="1"/>
    <x v="11"/>
    <s v="Storage Box"/>
    <n v="2609.63"/>
    <n v="3"/>
    <n v="547.5"/>
  </r>
  <r>
    <d v="2016-05-07T00:00:00"/>
    <x v="2"/>
    <x v="4"/>
    <x v="0"/>
    <x v="8"/>
    <x v="2"/>
    <x v="6"/>
    <s v="Laser Copier"/>
    <n v="1999.72"/>
    <n v="3"/>
    <n v="471.94"/>
  </r>
  <r>
    <d v="2016-05-08T00:00:00"/>
    <x v="2"/>
    <x v="4"/>
    <x v="5"/>
    <x v="2"/>
    <x v="2"/>
    <x v="5"/>
    <s v="Mouse"/>
    <n v="4424.82"/>
    <n v="10"/>
    <n v="748.31"/>
  </r>
  <r>
    <d v="2016-05-09T00:00:00"/>
    <x v="2"/>
    <x v="4"/>
    <x v="0"/>
    <x v="1"/>
    <x v="1"/>
    <x v="9"/>
    <s v="Binder Pack"/>
    <n v="2477.1999999999998"/>
    <n v="3"/>
    <n v="102.53"/>
  </r>
  <r>
    <d v="2016-05-10T00:00:00"/>
    <x v="2"/>
    <x v="4"/>
    <x v="3"/>
    <x v="7"/>
    <x v="0"/>
    <x v="0"/>
    <s v="Wall Decor"/>
    <n v="2681.33"/>
    <n v="8"/>
    <n v="434.16"/>
  </r>
  <r>
    <d v="2016-05-11T00:00:00"/>
    <x v="2"/>
    <x v="4"/>
    <x v="8"/>
    <x v="9"/>
    <x v="2"/>
    <x v="6"/>
    <s v="Inkjet Copier"/>
    <n v="1573.1"/>
    <n v="2"/>
    <n v="311.73"/>
  </r>
  <r>
    <d v="2016-05-11T00:00:00"/>
    <x v="2"/>
    <x v="4"/>
    <x v="5"/>
    <x v="3"/>
    <x v="2"/>
    <x v="5"/>
    <s v="Keyboard"/>
    <n v="4255.8"/>
    <n v="5"/>
    <n v="823.71"/>
  </r>
  <r>
    <d v="2016-05-12T00:00:00"/>
    <x v="2"/>
    <x v="4"/>
    <x v="7"/>
    <x v="2"/>
    <x v="1"/>
    <x v="7"/>
    <s v="Color Set"/>
    <n v="4374.41"/>
    <n v="5"/>
    <n v="1213.95"/>
  </r>
  <r>
    <d v="2016-05-12T00:00:00"/>
    <x v="2"/>
    <x v="4"/>
    <x v="3"/>
    <x v="3"/>
    <x v="1"/>
    <x v="1"/>
    <s v="Heater"/>
    <n v="4578.8100000000004"/>
    <n v="1"/>
    <n v="445.66"/>
  </r>
  <r>
    <d v="2016-05-12T00:00:00"/>
    <x v="2"/>
    <x v="4"/>
    <x v="8"/>
    <x v="3"/>
    <x v="0"/>
    <x v="10"/>
    <s v="Wooden Bookcase"/>
    <n v="2565.81"/>
    <n v="7"/>
    <n v="14.34"/>
  </r>
  <r>
    <d v="2016-05-13T00:00:00"/>
    <x v="2"/>
    <x v="4"/>
    <x v="9"/>
    <x v="8"/>
    <x v="1"/>
    <x v="7"/>
    <s v="Color Set"/>
    <n v="4045.08"/>
    <n v="10"/>
    <n v="221.33"/>
  </r>
  <r>
    <d v="2016-05-13T00:00:00"/>
    <x v="2"/>
    <x v="4"/>
    <x v="8"/>
    <x v="8"/>
    <x v="1"/>
    <x v="9"/>
    <s v="Binder Pack"/>
    <n v="1696.98"/>
    <n v="6"/>
    <n v="344.34"/>
  </r>
  <r>
    <d v="2016-05-14T00:00:00"/>
    <x v="2"/>
    <x v="4"/>
    <x v="4"/>
    <x v="8"/>
    <x v="1"/>
    <x v="7"/>
    <s v="Color Set"/>
    <n v="3550.37"/>
    <n v="4"/>
    <n v="44.8"/>
  </r>
  <r>
    <d v="2016-05-15T00:00:00"/>
    <x v="2"/>
    <x v="4"/>
    <x v="5"/>
    <x v="1"/>
    <x v="1"/>
    <x v="1"/>
    <s v="Air Cleaner"/>
    <n v="384.13"/>
    <n v="5"/>
    <n v="75.23"/>
  </r>
  <r>
    <d v="2016-05-16T00:00:00"/>
    <x v="2"/>
    <x v="4"/>
    <x v="8"/>
    <x v="5"/>
    <x v="2"/>
    <x v="3"/>
    <s v="Smartphone"/>
    <n v="3593.35"/>
    <n v="1"/>
    <n v="1033.68"/>
  </r>
  <r>
    <d v="2016-05-16T00:00:00"/>
    <x v="2"/>
    <x v="4"/>
    <x v="10"/>
    <x v="5"/>
    <x v="2"/>
    <x v="5"/>
    <s v="Mouse"/>
    <n v="3864.19"/>
    <n v="4"/>
    <n v="261.68"/>
  </r>
  <r>
    <d v="2016-05-17T00:00:00"/>
    <x v="2"/>
    <x v="4"/>
    <x v="10"/>
    <x v="6"/>
    <x v="1"/>
    <x v="7"/>
    <s v="Sketch Kit"/>
    <n v="4200.3599999999997"/>
    <n v="7"/>
    <n v="1059.0999999999999"/>
  </r>
  <r>
    <d v="2016-05-19T00:00:00"/>
    <x v="2"/>
    <x v="4"/>
    <x v="11"/>
    <x v="1"/>
    <x v="2"/>
    <x v="5"/>
    <s v="Mouse"/>
    <n v="2964.73"/>
    <n v="8"/>
    <n v="749.96"/>
  </r>
  <r>
    <d v="2016-05-20T00:00:00"/>
    <x v="2"/>
    <x v="4"/>
    <x v="6"/>
    <x v="1"/>
    <x v="1"/>
    <x v="9"/>
    <s v="Binder Pack"/>
    <n v="4885.88"/>
    <n v="7"/>
    <n v="1098.6099999999999"/>
  </r>
  <r>
    <d v="2016-05-21T00:00:00"/>
    <x v="2"/>
    <x v="4"/>
    <x v="4"/>
    <x v="8"/>
    <x v="2"/>
    <x v="6"/>
    <s v="Inkjet Copier"/>
    <n v="3377.23"/>
    <n v="8"/>
    <n v="518.42999999999995"/>
  </r>
  <r>
    <d v="2016-05-21T00:00:00"/>
    <x v="2"/>
    <x v="4"/>
    <x v="7"/>
    <x v="4"/>
    <x v="2"/>
    <x v="5"/>
    <s v="USB Drive"/>
    <n v="1250.92"/>
    <n v="10"/>
    <n v="314.17"/>
  </r>
  <r>
    <d v="2016-05-22T00:00:00"/>
    <x v="2"/>
    <x v="4"/>
    <x v="10"/>
    <x v="6"/>
    <x v="0"/>
    <x v="10"/>
    <s v="Metal Bookcase"/>
    <n v="4253.59"/>
    <n v="7"/>
    <n v="827.78"/>
  </r>
  <r>
    <d v="2016-05-23T00:00:00"/>
    <x v="2"/>
    <x v="4"/>
    <x v="4"/>
    <x v="1"/>
    <x v="2"/>
    <x v="3"/>
    <s v="Smartphone"/>
    <n v="1212.6300000000001"/>
    <n v="6"/>
    <n v="268.52"/>
  </r>
  <r>
    <d v="2016-05-23T00:00:00"/>
    <x v="2"/>
    <x v="4"/>
    <x v="10"/>
    <x v="8"/>
    <x v="1"/>
    <x v="8"/>
    <s v="Printer Paper"/>
    <n v="3787.02"/>
    <n v="7"/>
    <n v="933.8"/>
  </r>
  <r>
    <d v="2016-05-24T00:00:00"/>
    <x v="2"/>
    <x v="4"/>
    <x v="8"/>
    <x v="8"/>
    <x v="0"/>
    <x v="10"/>
    <s v="Wooden Bookcase"/>
    <n v="1793.5"/>
    <n v="1"/>
    <n v="531.91"/>
  </r>
  <r>
    <d v="2016-05-24T00:00:00"/>
    <x v="2"/>
    <x v="4"/>
    <x v="10"/>
    <x v="7"/>
    <x v="1"/>
    <x v="7"/>
    <s v="Color Set"/>
    <n v="4795.3500000000004"/>
    <n v="2"/>
    <n v="78.760000000000005"/>
  </r>
  <r>
    <d v="2016-05-24T00:00:00"/>
    <x v="2"/>
    <x v="4"/>
    <x v="3"/>
    <x v="6"/>
    <x v="2"/>
    <x v="3"/>
    <s v="Smartphone"/>
    <n v="545.34"/>
    <n v="4"/>
    <n v="32.92"/>
  </r>
  <r>
    <d v="2016-05-24T00:00:00"/>
    <x v="2"/>
    <x v="4"/>
    <x v="8"/>
    <x v="5"/>
    <x v="0"/>
    <x v="4"/>
    <s v="Executive Chair"/>
    <n v="2017.3"/>
    <n v="2"/>
    <n v="293.93"/>
  </r>
  <r>
    <d v="2016-05-24T00:00:00"/>
    <x v="2"/>
    <x v="4"/>
    <x v="10"/>
    <x v="5"/>
    <x v="0"/>
    <x v="0"/>
    <s v="Wall Decor"/>
    <n v="2827.32"/>
    <n v="6"/>
    <n v="97.19"/>
  </r>
  <r>
    <d v="2016-05-25T00:00:00"/>
    <x v="2"/>
    <x v="4"/>
    <x v="1"/>
    <x v="8"/>
    <x v="1"/>
    <x v="11"/>
    <s v="Drawer Unit"/>
    <n v="289.66000000000003"/>
    <n v="6"/>
    <n v="28.5"/>
  </r>
  <r>
    <d v="2016-05-26T00:00:00"/>
    <x v="2"/>
    <x v="4"/>
    <x v="2"/>
    <x v="0"/>
    <x v="0"/>
    <x v="4"/>
    <s v="Executive Chair"/>
    <n v="3632.47"/>
    <n v="2"/>
    <n v="710.51"/>
  </r>
  <r>
    <d v="2016-05-26T00:00:00"/>
    <x v="2"/>
    <x v="4"/>
    <x v="10"/>
    <x v="6"/>
    <x v="2"/>
    <x v="6"/>
    <s v="Inkjet Copier"/>
    <n v="2549.06"/>
    <n v="1"/>
    <n v="581.64"/>
  </r>
  <r>
    <d v="2016-05-26T00:00:00"/>
    <x v="2"/>
    <x v="4"/>
    <x v="3"/>
    <x v="4"/>
    <x v="0"/>
    <x v="2"/>
    <s v="Conference Table"/>
    <n v="2209.88"/>
    <n v="4"/>
    <n v="473.46"/>
  </r>
  <r>
    <d v="2016-05-27T00:00:00"/>
    <x v="2"/>
    <x v="4"/>
    <x v="8"/>
    <x v="3"/>
    <x v="1"/>
    <x v="11"/>
    <s v="Storage Box"/>
    <n v="2724.03"/>
    <n v="8"/>
    <n v="355.92"/>
  </r>
  <r>
    <d v="2016-05-28T00:00:00"/>
    <x v="2"/>
    <x v="4"/>
    <x v="4"/>
    <x v="8"/>
    <x v="0"/>
    <x v="0"/>
    <s v="Desk Lamp"/>
    <n v="2997.91"/>
    <n v="7"/>
    <n v="155.22999999999999"/>
  </r>
  <r>
    <d v="2016-05-29T00:00:00"/>
    <x v="2"/>
    <x v="4"/>
    <x v="3"/>
    <x v="4"/>
    <x v="2"/>
    <x v="3"/>
    <s v="IP Phone"/>
    <n v="3935.46"/>
    <n v="2"/>
    <n v="564.64"/>
  </r>
  <r>
    <d v="2016-05-30T00:00:00"/>
    <x v="2"/>
    <x v="4"/>
    <x v="0"/>
    <x v="2"/>
    <x v="1"/>
    <x v="9"/>
    <s v="Ring Binder"/>
    <n v="525.49"/>
    <n v="5"/>
    <n v="16.809999999999999"/>
  </r>
  <r>
    <d v="2016-06-01T00:00:00"/>
    <x v="2"/>
    <x v="5"/>
    <x v="11"/>
    <x v="4"/>
    <x v="1"/>
    <x v="7"/>
    <s v="Sketch Kit"/>
    <n v="2138.9299999999998"/>
    <n v="7"/>
    <n v="459.82"/>
  </r>
  <r>
    <d v="2016-06-01T00:00:00"/>
    <x v="2"/>
    <x v="5"/>
    <x v="8"/>
    <x v="4"/>
    <x v="2"/>
    <x v="3"/>
    <s v="IP Phone"/>
    <n v="3738.23"/>
    <n v="4"/>
    <n v="452.67"/>
  </r>
  <r>
    <d v="2016-06-02T00:00:00"/>
    <x v="2"/>
    <x v="5"/>
    <x v="1"/>
    <x v="2"/>
    <x v="1"/>
    <x v="1"/>
    <s v="Air Cleaner"/>
    <n v="4903.43"/>
    <n v="5"/>
    <n v="776.59"/>
  </r>
  <r>
    <d v="2016-06-02T00:00:00"/>
    <x v="2"/>
    <x v="5"/>
    <x v="11"/>
    <x v="3"/>
    <x v="2"/>
    <x v="3"/>
    <s v="IP Phone"/>
    <n v="4799.96"/>
    <n v="7"/>
    <n v="773.14"/>
  </r>
  <r>
    <d v="2016-06-02T00:00:00"/>
    <x v="2"/>
    <x v="5"/>
    <x v="8"/>
    <x v="7"/>
    <x v="1"/>
    <x v="1"/>
    <s v="Heater"/>
    <n v="3595.68"/>
    <n v="4"/>
    <n v="665.77"/>
  </r>
  <r>
    <d v="2016-06-03T00:00:00"/>
    <x v="2"/>
    <x v="5"/>
    <x v="9"/>
    <x v="0"/>
    <x v="1"/>
    <x v="1"/>
    <s v="Air Cleaner"/>
    <n v="2140.4899999999998"/>
    <n v="1"/>
    <n v="562.66999999999996"/>
  </r>
  <r>
    <d v="2016-06-04T00:00:00"/>
    <x v="2"/>
    <x v="5"/>
    <x v="6"/>
    <x v="6"/>
    <x v="2"/>
    <x v="6"/>
    <s v="Inkjet Copier"/>
    <n v="77.14"/>
    <n v="10"/>
    <n v="1.58"/>
  </r>
  <r>
    <d v="2016-06-05T00:00:00"/>
    <x v="2"/>
    <x v="5"/>
    <x v="9"/>
    <x v="3"/>
    <x v="2"/>
    <x v="3"/>
    <s v="Smartphone"/>
    <n v="2893.64"/>
    <n v="3"/>
    <n v="18.29"/>
  </r>
  <r>
    <d v="2016-06-05T00:00:00"/>
    <x v="2"/>
    <x v="5"/>
    <x v="7"/>
    <x v="6"/>
    <x v="0"/>
    <x v="10"/>
    <s v="Wooden Bookcase"/>
    <n v="2213.6799999999998"/>
    <n v="4"/>
    <n v="355.61"/>
  </r>
  <r>
    <d v="2016-06-07T00:00:00"/>
    <x v="2"/>
    <x v="5"/>
    <x v="0"/>
    <x v="8"/>
    <x v="1"/>
    <x v="1"/>
    <s v="Heater"/>
    <n v="4913.38"/>
    <n v="7"/>
    <n v="156.99"/>
  </r>
  <r>
    <d v="2016-06-08T00:00:00"/>
    <x v="2"/>
    <x v="5"/>
    <x v="7"/>
    <x v="4"/>
    <x v="2"/>
    <x v="3"/>
    <s v="Smartphone"/>
    <n v="1619.97"/>
    <n v="1"/>
    <n v="218.83"/>
  </r>
  <r>
    <d v="2016-06-08T00:00:00"/>
    <x v="2"/>
    <x v="5"/>
    <x v="8"/>
    <x v="7"/>
    <x v="0"/>
    <x v="2"/>
    <s v="Conference Table"/>
    <n v="1860.91"/>
    <n v="4"/>
    <n v="202.52"/>
  </r>
  <r>
    <d v="2016-06-08T00:00:00"/>
    <x v="2"/>
    <x v="5"/>
    <x v="0"/>
    <x v="2"/>
    <x v="1"/>
    <x v="11"/>
    <s v="Drawer Unit"/>
    <n v="271.97000000000003"/>
    <n v="7"/>
    <n v="20.5"/>
  </r>
  <r>
    <d v="2016-06-08T00:00:00"/>
    <x v="2"/>
    <x v="5"/>
    <x v="7"/>
    <x v="2"/>
    <x v="2"/>
    <x v="5"/>
    <s v="Keyboard"/>
    <n v="1057.45"/>
    <n v="3"/>
    <n v="201.44"/>
  </r>
  <r>
    <d v="2016-06-09T00:00:00"/>
    <x v="2"/>
    <x v="5"/>
    <x v="6"/>
    <x v="1"/>
    <x v="2"/>
    <x v="6"/>
    <s v="Inkjet Copier"/>
    <n v="2698.38"/>
    <n v="1"/>
    <n v="781.57"/>
  </r>
  <r>
    <d v="2016-06-10T00:00:00"/>
    <x v="2"/>
    <x v="5"/>
    <x v="10"/>
    <x v="2"/>
    <x v="2"/>
    <x v="6"/>
    <s v="Inkjet Copier"/>
    <n v="4236.8900000000003"/>
    <n v="4"/>
    <n v="985.92"/>
  </r>
  <r>
    <d v="2016-06-11T00:00:00"/>
    <x v="2"/>
    <x v="5"/>
    <x v="6"/>
    <x v="2"/>
    <x v="2"/>
    <x v="5"/>
    <s v="Mouse"/>
    <n v="3446.46"/>
    <n v="3"/>
    <n v="454.4"/>
  </r>
  <r>
    <d v="2016-06-11T00:00:00"/>
    <x v="2"/>
    <x v="5"/>
    <x v="11"/>
    <x v="5"/>
    <x v="2"/>
    <x v="5"/>
    <s v="Mouse"/>
    <n v="1197.57"/>
    <n v="3"/>
    <n v="311.3"/>
  </r>
  <r>
    <d v="2016-06-11T00:00:00"/>
    <x v="2"/>
    <x v="5"/>
    <x v="1"/>
    <x v="5"/>
    <x v="2"/>
    <x v="6"/>
    <s v="Inkjet Copier"/>
    <n v="2675.39"/>
    <n v="1"/>
    <n v="392.08"/>
  </r>
  <r>
    <d v="2016-06-11T00:00:00"/>
    <x v="2"/>
    <x v="5"/>
    <x v="8"/>
    <x v="2"/>
    <x v="1"/>
    <x v="1"/>
    <s v="Air Cleaner"/>
    <n v="3129.34"/>
    <n v="6"/>
    <n v="455.01"/>
  </r>
  <r>
    <d v="2016-06-12T00:00:00"/>
    <x v="2"/>
    <x v="5"/>
    <x v="7"/>
    <x v="1"/>
    <x v="2"/>
    <x v="3"/>
    <s v="IP Phone"/>
    <n v="4119.16"/>
    <n v="7"/>
    <n v="538.77"/>
  </r>
  <r>
    <d v="2016-06-12T00:00:00"/>
    <x v="2"/>
    <x v="5"/>
    <x v="2"/>
    <x v="1"/>
    <x v="0"/>
    <x v="0"/>
    <s v="Wall Decor"/>
    <n v="3328.7"/>
    <n v="4"/>
    <n v="576.37"/>
  </r>
  <r>
    <d v="2016-06-12T00:00:00"/>
    <x v="2"/>
    <x v="5"/>
    <x v="7"/>
    <x v="3"/>
    <x v="2"/>
    <x v="3"/>
    <s v="Smartphone"/>
    <n v="4263.87"/>
    <n v="4"/>
    <n v="551.20000000000005"/>
  </r>
  <r>
    <d v="2016-06-12T00:00:00"/>
    <x v="2"/>
    <x v="5"/>
    <x v="5"/>
    <x v="8"/>
    <x v="1"/>
    <x v="1"/>
    <s v="Air Cleaner"/>
    <n v="4485.7299999999996"/>
    <n v="2"/>
    <n v="244.93"/>
  </r>
  <r>
    <d v="2016-06-12T00:00:00"/>
    <x v="2"/>
    <x v="5"/>
    <x v="3"/>
    <x v="4"/>
    <x v="2"/>
    <x v="6"/>
    <s v="Laser Copier"/>
    <n v="1823.46"/>
    <n v="2"/>
    <n v="541.66"/>
  </r>
  <r>
    <d v="2016-06-13T00:00:00"/>
    <x v="2"/>
    <x v="5"/>
    <x v="8"/>
    <x v="7"/>
    <x v="1"/>
    <x v="8"/>
    <s v="Printer Paper"/>
    <n v="4316.1400000000003"/>
    <n v="2"/>
    <n v="180.75"/>
  </r>
  <r>
    <d v="2016-06-14T00:00:00"/>
    <x v="2"/>
    <x v="5"/>
    <x v="3"/>
    <x v="0"/>
    <x v="2"/>
    <x v="5"/>
    <s v="Keyboard"/>
    <n v="3217.16"/>
    <n v="1"/>
    <n v="354.08"/>
  </r>
  <r>
    <d v="2016-06-15T00:00:00"/>
    <x v="2"/>
    <x v="5"/>
    <x v="7"/>
    <x v="2"/>
    <x v="0"/>
    <x v="10"/>
    <s v="Metal Bookcase"/>
    <n v="1658.97"/>
    <n v="7"/>
    <n v="208.7"/>
  </r>
  <r>
    <d v="2016-06-15T00:00:00"/>
    <x v="2"/>
    <x v="5"/>
    <x v="0"/>
    <x v="7"/>
    <x v="1"/>
    <x v="9"/>
    <s v="Binder Pack"/>
    <n v="3630.89"/>
    <n v="2"/>
    <n v="371.57"/>
  </r>
  <r>
    <d v="2016-06-16T00:00:00"/>
    <x v="2"/>
    <x v="5"/>
    <x v="9"/>
    <x v="1"/>
    <x v="0"/>
    <x v="10"/>
    <s v="Metal Bookcase"/>
    <n v="1345.49"/>
    <n v="9"/>
    <n v="397.58"/>
  </r>
  <r>
    <d v="2016-06-16T00:00:00"/>
    <x v="2"/>
    <x v="5"/>
    <x v="1"/>
    <x v="5"/>
    <x v="1"/>
    <x v="9"/>
    <s v="Ring Binder"/>
    <n v="1545.62"/>
    <n v="5"/>
    <n v="151.59"/>
  </r>
  <r>
    <d v="2016-06-16T00:00:00"/>
    <x v="2"/>
    <x v="5"/>
    <x v="1"/>
    <x v="6"/>
    <x v="2"/>
    <x v="6"/>
    <s v="Laser Copier"/>
    <n v="3106.92"/>
    <n v="3"/>
    <n v="768.09"/>
  </r>
  <r>
    <d v="2016-06-17T00:00:00"/>
    <x v="2"/>
    <x v="5"/>
    <x v="1"/>
    <x v="4"/>
    <x v="2"/>
    <x v="3"/>
    <s v="IP Phone"/>
    <n v="1314.7"/>
    <n v="10"/>
    <n v="152.6"/>
  </r>
  <r>
    <d v="2016-06-17T00:00:00"/>
    <x v="2"/>
    <x v="5"/>
    <x v="1"/>
    <x v="1"/>
    <x v="1"/>
    <x v="9"/>
    <s v="Binder Pack"/>
    <n v="4270.9399999999996"/>
    <n v="2"/>
    <n v="922.55"/>
  </r>
  <r>
    <d v="2016-06-18T00:00:00"/>
    <x v="2"/>
    <x v="5"/>
    <x v="2"/>
    <x v="1"/>
    <x v="2"/>
    <x v="3"/>
    <s v="IP Phone"/>
    <n v="1454.54"/>
    <n v="1"/>
    <n v="225.42"/>
  </r>
  <r>
    <d v="2016-06-18T00:00:00"/>
    <x v="2"/>
    <x v="5"/>
    <x v="6"/>
    <x v="0"/>
    <x v="1"/>
    <x v="11"/>
    <s v="Drawer Unit"/>
    <n v="1765.78"/>
    <n v="1"/>
    <n v="68.44"/>
  </r>
  <r>
    <d v="2016-06-18T00:00:00"/>
    <x v="2"/>
    <x v="5"/>
    <x v="0"/>
    <x v="3"/>
    <x v="1"/>
    <x v="1"/>
    <s v="Heater"/>
    <n v="2221.4699999999998"/>
    <n v="6"/>
    <n v="244.97"/>
  </r>
  <r>
    <d v="2016-06-18T00:00:00"/>
    <x v="2"/>
    <x v="5"/>
    <x v="10"/>
    <x v="7"/>
    <x v="2"/>
    <x v="3"/>
    <s v="IP Phone"/>
    <n v="2692.94"/>
    <n v="1"/>
    <n v="47.37"/>
  </r>
  <r>
    <d v="2016-06-19T00:00:00"/>
    <x v="2"/>
    <x v="5"/>
    <x v="10"/>
    <x v="5"/>
    <x v="1"/>
    <x v="7"/>
    <s v="Color Set"/>
    <n v="2731.76"/>
    <n v="1"/>
    <n v="736.95"/>
  </r>
  <r>
    <d v="2016-06-20T00:00:00"/>
    <x v="2"/>
    <x v="5"/>
    <x v="9"/>
    <x v="4"/>
    <x v="1"/>
    <x v="8"/>
    <s v="A4 Paper Pack"/>
    <n v="4622.5600000000004"/>
    <n v="2"/>
    <n v="338.42"/>
  </r>
  <r>
    <d v="2016-06-20T00:00:00"/>
    <x v="2"/>
    <x v="5"/>
    <x v="7"/>
    <x v="6"/>
    <x v="0"/>
    <x v="10"/>
    <s v="Wooden Bookcase"/>
    <n v="3010.4"/>
    <n v="2"/>
    <n v="624.17999999999995"/>
  </r>
  <r>
    <d v="2016-06-20T00:00:00"/>
    <x v="2"/>
    <x v="5"/>
    <x v="7"/>
    <x v="5"/>
    <x v="1"/>
    <x v="11"/>
    <s v="Drawer Unit"/>
    <n v="797.87"/>
    <n v="3"/>
    <n v="204.58"/>
  </r>
  <r>
    <d v="2016-06-22T00:00:00"/>
    <x v="2"/>
    <x v="5"/>
    <x v="1"/>
    <x v="9"/>
    <x v="1"/>
    <x v="1"/>
    <s v="Air Cleaner"/>
    <n v="2861.01"/>
    <n v="2"/>
    <n v="653.72"/>
  </r>
  <r>
    <d v="2016-06-23T00:00:00"/>
    <x v="2"/>
    <x v="5"/>
    <x v="10"/>
    <x v="5"/>
    <x v="2"/>
    <x v="5"/>
    <s v="USB Drive"/>
    <n v="4092.29"/>
    <n v="1"/>
    <n v="989.13"/>
  </r>
  <r>
    <d v="2016-06-23T00:00:00"/>
    <x v="2"/>
    <x v="5"/>
    <x v="10"/>
    <x v="5"/>
    <x v="2"/>
    <x v="3"/>
    <s v="IP Phone"/>
    <n v="3351.18"/>
    <n v="8"/>
    <n v="129.02000000000001"/>
  </r>
  <r>
    <d v="2016-06-23T00:00:00"/>
    <x v="2"/>
    <x v="5"/>
    <x v="9"/>
    <x v="7"/>
    <x v="0"/>
    <x v="10"/>
    <s v="Metal Bookcase"/>
    <n v="3790.18"/>
    <n v="2"/>
    <n v="834.21"/>
  </r>
  <r>
    <d v="2016-06-23T00:00:00"/>
    <x v="2"/>
    <x v="5"/>
    <x v="1"/>
    <x v="5"/>
    <x v="0"/>
    <x v="10"/>
    <s v="Metal Bookcase"/>
    <n v="825.07"/>
    <n v="6"/>
    <n v="210.25"/>
  </r>
  <r>
    <d v="2016-06-24T00:00:00"/>
    <x v="2"/>
    <x v="5"/>
    <x v="6"/>
    <x v="4"/>
    <x v="0"/>
    <x v="2"/>
    <s v="Study Table"/>
    <n v="4105.2"/>
    <n v="9"/>
    <n v="1012.75"/>
  </r>
  <r>
    <d v="2016-06-24T00:00:00"/>
    <x v="2"/>
    <x v="5"/>
    <x v="2"/>
    <x v="4"/>
    <x v="2"/>
    <x v="3"/>
    <s v="Smartphone"/>
    <n v="1031.04"/>
    <n v="7"/>
    <n v="94.27"/>
  </r>
  <r>
    <d v="2016-06-26T00:00:00"/>
    <x v="2"/>
    <x v="5"/>
    <x v="5"/>
    <x v="6"/>
    <x v="0"/>
    <x v="0"/>
    <s v="Wall Decor"/>
    <n v="2142.6799999999998"/>
    <n v="5"/>
    <n v="332.47"/>
  </r>
  <r>
    <d v="2016-06-27T00:00:00"/>
    <x v="2"/>
    <x v="5"/>
    <x v="8"/>
    <x v="8"/>
    <x v="2"/>
    <x v="6"/>
    <s v="Laser Copier"/>
    <n v="991.51"/>
    <n v="6"/>
    <n v="94.92"/>
  </r>
  <r>
    <d v="2016-06-28T00:00:00"/>
    <x v="2"/>
    <x v="5"/>
    <x v="0"/>
    <x v="8"/>
    <x v="1"/>
    <x v="1"/>
    <s v="Heater"/>
    <n v="2207.1999999999998"/>
    <n v="7"/>
    <n v="29.28"/>
  </r>
  <r>
    <d v="2016-06-28T00:00:00"/>
    <x v="2"/>
    <x v="5"/>
    <x v="6"/>
    <x v="9"/>
    <x v="1"/>
    <x v="8"/>
    <s v="Printer Paper"/>
    <n v="4927.07"/>
    <n v="6"/>
    <n v="590.23"/>
  </r>
  <r>
    <d v="2016-06-28T00:00:00"/>
    <x v="2"/>
    <x v="5"/>
    <x v="8"/>
    <x v="9"/>
    <x v="0"/>
    <x v="4"/>
    <s v="Ergonomic Chair"/>
    <n v="4866.92"/>
    <n v="1"/>
    <n v="876.03"/>
  </r>
  <r>
    <d v="2016-06-30T00:00:00"/>
    <x v="2"/>
    <x v="5"/>
    <x v="0"/>
    <x v="1"/>
    <x v="0"/>
    <x v="0"/>
    <s v="Wall Decor"/>
    <n v="3717.1"/>
    <n v="5"/>
    <n v="439.37"/>
  </r>
  <r>
    <d v="2016-07-01T00:00:00"/>
    <x v="2"/>
    <x v="6"/>
    <x v="7"/>
    <x v="3"/>
    <x v="1"/>
    <x v="8"/>
    <s v="A4 Paper Pack"/>
    <n v="861.6"/>
    <n v="7"/>
    <n v="159.52000000000001"/>
  </r>
  <r>
    <d v="2016-07-01T00:00:00"/>
    <x v="2"/>
    <x v="6"/>
    <x v="0"/>
    <x v="1"/>
    <x v="2"/>
    <x v="5"/>
    <s v="Keyboard"/>
    <n v="398.32"/>
    <n v="3"/>
    <n v="113.74"/>
  </r>
  <r>
    <d v="2016-07-02T00:00:00"/>
    <x v="2"/>
    <x v="6"/>
    <x v="10"/>
    <x v="9"/>
    <x v="0"/>
    <x v="0"/>
    <s v="Desk Lamp"/>
    <n v="1803.28"/>
    <n v="6"/>
    <n v="529.79"/>
  </r>
  <r>
    <d v="2016-07-03T00:00:00"/>
    <x v="2"/>
    <x v="6"/>
    <x v="3"/>
    <x v="7"/>
    <x v="2"/>
    <x v="6"/>
    <s v="Inkjet Copier"/>
    <n v="2835.92"/>
    <n v="2"/>
    <n v="55.67"/>
  </r>
  <r>
    <d v="2016-07-03T00:00:00"/>
    <x v="2"/>
    <x v="6"/>
    <x v="7"/>
    <x v="7"/>
    <x v="2"/>
    <x v="6"/>
    <s v="Inkjet Copier"/>
    <n v="3422.62"/>
    <n v="10"/>
    <n v="348.62"/>
  </r>
  <r>
    <d v="2016-07-03T00:00:00"/>
    <x v="2"/>
    <x v="6"/>
    <x v="5"/>
    <x v="1"/>
    <x v="2"/>
    <x v="3"/>
    <s v="Smartphone"/>
    <n v="4019"/>
    <n v="2"/>
    <n v="709.91"/>
  </r>
  <r>
    <d v="2016-07-03T00:00:00"/>
    <x v="2"/>
    <x v="6"/>
    <x v="7"/>
    <x v="4"/>
    <x v="2"/>
    <x v="3"/>
    <s v="Smartphone"/>
    <n v="3796.35"/>
    <n v="2"/>
    <n v="1097.74"/>
  </r>
  <r>
    <d v="2016-07-03T00:00:00"/>
    <x v="2"/>
    <x v="6"/>
    <x v="0"/>
    <x v="7"/>
    <x v="0"/>
    <x v="10"/>
    <s v="Metal Bookcase"/>
    <n v="119.9"/>
    <n v="6"/>
    <n v="17.64"/>
  </r>
  <r>
    <d v="2016-07-04T00:00:00"/>
    <x v="2"/>
    <x v="6"/>
    <x v="8"/>
    <x v="1"/>
    <x v="1"/>
    <x v="11"/>
    <s v="Storage Box"/>
    <n v="1408.98"/>
    <n v="2"/>
    <n v="200.82"/>
  </r>
  <r>
    <d v="2016-07-05T00:00:00"/>
    <x v="2"/>
    <x v="6"/>
    <x v="11"/>
    <x v="5"/>
    <x v="1"/>
    <x v="7"/>
    <s v="Sketch Kit"/>
    <n v="1850.76"/>
    <n v="4"/>
    <n v="39.83"/>
  </r>
  <r>
    <d v="2016-07-05T00:00:00"/>
    <x v="2"/>
    <x v="6"/>
    <x v="10"/>
    <x v="9"/>
    <x v="1"/>
    <x v="7"/>
    <s v="Sketch Kit"/>
    <n v="4014.75"/>
    <n v="10"/>
    <n v="1093.3499999999999"/>
  </r>
  <r>
    <d v="2016-07-07T00:00:00"/>
    <x v="2"/>
    <x v="6"/>
    <x v="7"/>
    <x v="6"/>
    <x v="1"/>
    <x v="8"/>
    <s v="Printer Paper"/>
    <n v="4315.3599999999997"/>
    <n v="2"/>
    <n v="632.38"/>
  </r>
  <r>
    <d v="2016-07-08T00:00:00"/>
    <x v="2"/>
    <x v="6"/>
    <x v="1"/>
    <x v="3"/>
    <x v="2"/>
    <x v="5"/>
    <s v="Keyboard"/>
    <n v="519.17999999999995"/>
    <n v="10"/>
    <n v="34.06"/>
  </r>
  <r>
    <d v="2016-07-10T00:00:00"/>
    <x v="2"/>
    <x v="6"/>
    <x v="4"/>
    <x v="2"/>
    <x v="1"/>
    <x v="11"/>
    <s v="Drawer Unit"/>
    <n v="993.74"/>
    <n v="6"/>
    <n v="64.73"/>
  </r>
  <r>
    <d v="2016-07-10T00:00:00"/>
    <x v="2"/>
    <x v="6"/>
    <x v="2"/>
    <x v="3"/>
    <x v="2"/>
    <x v="6"/>
    <s v="Inkjet Copier"/>
    <n v="4597.6499999999996"/>
    <n v="6"/>
    <n v="132.47999999999999"/>
  </r>
  <r>
    <d v="2016-07-10T00:00:00"/>
    <x v="2"/>
    <x v="6"/>
    <x v="8"/>
    <x v="9"/>
    <x v="1"/>
    <x v="11"/>
    <s v="Storage Box"/>
    <n v="848.7"/>
    <n v="4"/>
    <n v="178.93"/>
  </r>
  <r>
    <d v="2016-07-11T00:00:00"/>
    <x v="2"/>
    <x v="6"/>
    <x v="8"/>
    <x v="5"/>
    <x v="0"/>
    <x v="10"/>
    <s v="Wooden Bookcase"/>
    <n v="3546.44"/>
    <n v="6"/>
    <n v="655.68"/>
  </r>
  <r>
    <d v="2016-07-11T00:00:00"/>
    <x v="2"/>
    <x v="6"/>
    <x v="2"/>
    <x v="4"/>
    <x v="0"/>
    <x v="0"/>
    <s v="Wall Decor"/>
    <n v="4829.3"/>
    <n v="1"/>
    <n v="508.17"/>
  </r>
  <r>
    <d v="2016-07-13T00:00:00"/>
    <x v="2"/>
    <x v="6"/>
    <x v="11"/>
    <x v="0"/>
    <x v="2"/>
    <x v="3"/>
    <s v="Smartphone"/>
    <n v="3884"/>
    <n v="10"/>
    <n v="861.85"/>
  </r>
  <r>
    <d v="2016-07-13T00:00:00"/>
    <x v="2"/>
    <x v="6"/>
    <x v="0"/>
    <x v="9"/>
    <x v="2"/>
    <x v="6"/>
    <s v="Inkjet Copier"/>
    <n v="4049.53"/>
    <n v="9"/>
    <n v="929.98"/>
  </r>
  <r>
    <d v="2016-07-14T00:00:00"/>
    <x v="2"/>
    <x v="6"/>
    <x v="6"/>
    <x v="0"/>
    <x v="0"/>
    <x v="0"/>
    <s v="Wall Decor"/>
    <n v="1354.56"/>
    <n v="9"/>
    <n v="236.16"/>
  </r>
  <r>
    <d v="2016-07-14T00:00:00"/>
    <x v="2"/>
    <x v="6"/>
    <x v="4"/>
    <x v="2"/>
    <x v="1"/>
    <x v="1"/>
    <s v="Air Cleaner"/>
    <n v="635.19000000000005"/>
    <n v="7"/>
    <n v="134.81"/>
  </r>
  <r>
    <d v="2016-07-14T00:00:00"/>
    <x v="2"/>
    <x v="6"/>
    <x v="3"/>
    <x v="4"/>
    <x v="1"/>
    <x v="8"/>
    <s v="Printer Paper"/>
    <n v="3762.3"/>
    <n v="7"/>
    <n v="554.26"/>
  </r>
  <r>
    <d v="2016-07-15T00:00:00"/>
    <x v="2"/>
    <x v="6"/>
    <x v="3"/>
    <x v="3"/>
    <x v="2"/>
    <x v="6"/>
    <s v="Inkjet Copier"/>
    <n v="138.62"/>
    <n v="5"/>
    <n v="26.87"/>
  </r>
  <r>
    <d v="2016-07-15T00:00:00"/>
    <x v="2"/>
    <x v="6"/>
    <x v="0"/>
    <x v="2"/>
    <x v="2"/>
    <x v="6"/>
    <s v="Laser Copier"/>
    <n v="4215.03"/>
    <n v="9"/>
    <n v="655.12"/>
  </r>
  <r>
    <d v="2016-07-18T00:00:00"/>
    <x v="2"/>
    <x v="6"/>
    <x v="9"/>
    <x v="9"/>
    <x v="2"/>
    <x v="3"/>
    <s v="Smartphone"/>
    <n v="1527.93"/>
    <n v="2"/>
    <n v="44.91"/>
  </r>
  <r>
    <d v="2016-07-18T00:00:00"/>
    <x v="2"/>
    <x v="6"/>
    <x v="2"/>
    <x v="4"/>
    <x v="0"/>
    <x v="4"/>
    <s v="Ergonomic Chair"/>
    <n v="1698.9"/>
    <n v="2"/>
    <n v="165.5"/>
  </r>
  <r>
    <d v="2016-07-19T00:00:00"/>
    <x v="2"/>
    <x v="6"/>
    <x v="9"/>
    <x v="7"/>
    <x v="2"/>
    <x v="6"/>
    <s v="Inkjet Copier"/>
    <n v="2233.04"/>
    <n v="5"/>
    <n v="211.64"/>
  </r>
  <r>
    <d v="2016-07-19T00:00:00"/>
    <x v="2"/>
    <x v="6"/>
    <x v="4"/>
    <x v="2"/>
    <x v="2"/>
    <x v="3"/>
    <s v="IP Phone"/>
    <n v="3428.77"/>
    <n v="3"/>
    <n v="173.63"/>
  </r>
  <r>
    <d v="2016-07-19T00:00:00"/>
    <x v="2"/>
    <x v="6"/>
    <x v="6"/>
    <x v="8"/>
    <x v="2"/>
    <x v="6"/>
    <s v="Laser Copier"/>
    <n v="4763.33"/>
    <n v="8"/>
    <n v="388.06"/>
  </r>
  <r>
    <d v="2016-07-20T00:00:00"/>
    <x v="2"/>
    <x v="6"/>
    <x v="11"/>
    <x v="0"/>
    <x v="1"/>
    <x v="7"/>
    <s v="Sketch Kit"/>
    <n v="28.69"/>
    <n v="7"/>
    <n v="7.22"/>
  </r>
  <r>
    <d v="2016-07-20T00:00:00"/>
    <x v="2"/>
    <x v="6"/>
    <x v="10"/>
    <x v="2"/>
    <x v="1"/>
    <x v="9"/>
    <s v="Binder Pack"/>
    <n v="4545.3900000000003"/>
    <n v="9"/>
    <n v="618.21"/>
  </r>
  <r>
    <d v="2016-07-21T00:00:00"/>
    <x v="2"/>
    <x v="6"/>
    <x v="8"/>
    <x v="5"/>
    <x v="0"/>
    <x v="10"/>
    <s v="Metal Bookcase"/>
    <n v="3255.47"/>
    <n v="7"/>
    <n v="792.74"/>
  </r>
  <r>
    <d v="2016-07-21T00:00:00"/>
    <x v="2"/>
    <x v="6"/>
    <x v="6"/>
    <x v="3"/>
    <x v="2"/>
    <x v="3"/>
    <s v="IP Phone"/>
    <n v="3188.17"/>
    <n v="10"/>
    <n v="293.64"/>
  </r>
  <r>
    <d v="2016-07-23T00:00:00"/>
    <x v="2"/>
    <x v="6"/>
    <x v="0"/>
    <x v="4"/>
    <x v="2"/>
    <x v="3"/>
    <s v="Smartphone"/>
    <n v="1014.55"/>
    <n v="3"/>
    <n v="27.84"/>
  </r>
  <r>
    <d v="2016-07-23T00:00:00"/>
    <x v="2"/>
    <x v="6"/>
    <x v="0"/>
    <x v="6"/>
    <x v="0"/>
    <x v="2"/>
    <s v="Study Table"/>
    <n v="1531.81"/>
    <n v="8"/>
    <n v="312.58999999999997"/>
  </r>
  <r>
    <d v="2016-07-24T00:00:00"/>
    <x v="2"/>
    <x v="6"/>
    <x v="7"/>
    <x v="0"/>
    <x v="2"/>
    <x v="3"/>
    <s v="Smartphone"/>
    <n v="2091.3000000000002"/>
    <n v="4"/>
    <n v="453.24"/>
  </r>
  <r>
    <d v="2016-07-25T00:00:00"/>
    <x v="2"/>
    <x v="6"/>
    <x v="2"/>
    <x v="8"/>
    <x v="0"/>
    <x v="10"/>
    <s v="Wooden Bookcase"/>
    <n v="4405.8"/>
    <n v="3"/>
    <n v="112.77"/>
  </r>
  <r>
    <d v="2016-07-25T00:00:00"/>
    <x v="2"/>
    <x v="6"/>
    <x v="3"/>
    <x v="7"/>
    <x v="1"/>
    <x v="1"/>
    <s v="Air Cleaner"/>
    <n v="516.88"/>
    <n v="7"/>
    <n v="36.200000000000003"/>
  </r>
  <r>
    <d v="2016-07-26T00:00:00"/>
    <x v="2"/>
    <x v="6"/>
    <x v="1"/>
    <x v="6"/>
    <x v="1"/>
    <x v="11"/>
    <s v="Drawer Unit"/>
    <n v="1497.23"/>
    <n v="6"/>
    <n v="53.36"/>
  </r>
  <r>
    <d v="2016-07-26T00:00:00"/>
    <x v="2"/>
    <x v="6"/>
    <x v="4"/>
    <x v="5"/>
    <x v="1"/>
    <x v="8"/>
    <s v="Printer Paper"/>
    <n v="4473.33"/>
    <n v="4"/>
    <n v="345.56"/>
  </r>
  <r>
    <d v="2016-07-27T00:00:00"/>
    <x v="2"/>
    <x v="6"/>
    <x v="4"/>
    <x v="5"/>
    <x v="1"/>
    <x v="11"/>
    <s v="Drawer Unit"/>
    <n v="1663.79"/>
    <n v="7"/>
    <n v="406.72"/>
  </r>
  <r>
    <d v="2016-07-28T00:00:00"/>
    <x v="2"/>
    <x v="6"/>
    <x v="10"/>
    <x v="0"/>
    <x v="2"/>
    <x v="3"/>
    <s v="IP Phone"/>
    <n v="2632.91"/>
    <n v="2"/>
    <n v="517.54999999999995"/>
  </r>
  <r>
    <d v="2016-07-29T00:00:00"/>
    <x v="2"/>
    <x v="6"/>
    <x v="2"/>
    <x v="1"/>
    <x v="0"/>
    <x v="0"/>
    <s v="Desk Lamp"/>
    <n v="1223.99"/>
    <n v="4"/>
    <n v="164.29"/>
  </r>
  <r>
    <d v="2016-07-29T00:00:00"/>
    <x v="2"/>
    <x v="6"/>
    <x v="10"/>
    <x v="3"/>
    <x v="1"/>
    <x v="8"/>
    <s v="A4 Paper Pack"/>
    <n v="3561.16"/>
    <n v="4"/>
    <n v="475.14"/>
  </r>
  <r>
    <d v="2016-07-31T00:00:00"/>
    <x v="2"/>
    <x v="6"/>
    <x v="2"/>
    <x v="9"/>
    <x v="0"/>
    <x v="10"/>
    <s v="Wooden Bookcase"/>
    <n v="2305.81"/>
    <n v="8"/>
    <n v="199.8"/>
  </r>
  <r>
    <d v="2016-08-01T00:00:00"/>
    <x v="2"/>
    <x v="7"/>
    <x v="11"/>
    <x v="8"/>
    <x v="1"/>
    <x v="11"/>
    <s v="Storage Box"/>
    <n v="1349.48"/>
    <n v="2"/>
    <n v="67.53"/>
  </r>
  <r>
    <d v="2016-08-01T00:00:00"/>
    <x v="2"/>
    <x v="7"/>
    <x v="6"/>
    <x v="6"/>
    <x v="1"/>
    <x v="8"/>
    <s v="A4 Paper Pack"/>
    <n v="1963.32"/>
    <n v="4"/>
    <n v="156.04"/>
  </r>
  <r>
    <d v="2016-08-02T00:00:00"/>
    <x v="2"/>
    <x v="7"/>
    <x v="10"/>
    <x v="0"/>
    <x v="0"/>
    <x v="2"/>
    <s v="Conference Table"/>
    <n v="4783.34"/>
    <n v="1"/>
    <n v="1215.03"/>
  </r>
  <r>
    <d v="2016-08-02T00:00:00"/>
    <x v="2"/>
    <x v="7"/>
    <x v="6"/>
    <x v="0"/>
    <x v="0"/>
    <x v="2"/>
    <s v="Study Table"/>
    <n v="218.48"/>
    <n v="7"/>
    <n v="43.84"/>
  </r>
  <r>
    <d v="2016-08-02T00:00:00"/>
    <x v="2"/>
    <x v="7"/>
    <x v="4"/>
    <x v="7"/>
    <x v="1"/>
    <x v="11"/>
    <s v="Storage Box"/>
    <n v="2351.4699999999998"/>
    <n v="6"/>
    <n v="144.47999999999999"/>
  </r>
  <r>
    <d v="2016-08-04T00:00:00"/>
    <x v="2"/>
    <x v="7"/>
    <x v="7"/>
    <x v="5"/>
    <x v="0"/>
    <x v="4"/>
    <s v="Office Chair"/>
    <n v="4259.79"/>
    <n v="6"/>
    <n v="760.62"/>
  </r>
  <r>
    <d v="2016-08-04T00:00:00"/>
    <x v="2"/>
    <x v="7"/>
    <x v="2"/>
    <x v="2"/>
    <x v="0"/>
    <x v="0"/>
    <s v="Desk Lamp"/>
    <n v="3359.77"/>
    <n v="9"/>
    <n v="350.47"/>
  </r>
  <r>
    <d v="2016-08-04T00:00:00"/>
    <x v="2"/>
    <x v="7"/>
    <x v="8"/>
    <x v="0"/>
    <x v="0"/>
    <x v="4"/>
    <s v="Executive Chair"/>
    <n v="2128.0100000000002"/>
    <n v="9"/>
    <n v="506.13"/>
  </r>
  <r>
    <d v="2016-08-06T00:00:00"/>
    <x v="2"/>
    <x v="7"/>
    <x v="3"/>
    <x v="5"/>
    <x v="2"/>
    <x v="3"/>
    <s v="IP Phone"/>
    <n v="2066.89"/>
    <n v="6"/>
    <n v="96.45"/>
  </r>
  <r>
    <d v="2016-08-07T00:00:00"/>
    <x v="2"/>
    <x v="7"/>
    <x v="2"/>
    <x v="3"/>
    <x v="2"/>
    <x v="3"/>
    <s v="Smartphone"/>
    <n v="342.54"/>
    <n v="3"/>
    <n v="81.93"/>
  </r>
  <r>
    <d v="2016-08-08T00:00:00"/>
    <x v="2"/>
    <x v="7"/>
    <x v="9"/>
    <x v="0"/>
    <x v="1"/>
    <x v="1"/>
    <s v="Air Cleaner"/>
    <n v="2134.86"/>
    <n v="5"/>
    <n v="557.09"/>
  </r>
  <r>
    <d v="2016-08-09T00:00:00"/>
    <x v="2"/>
    <x v="7"/>
    <x v="10"/>
    <x v="7"/>
    <x v="0"/>
    <x v="4"/>
    <s v="Ergonomic Chair"/>
    <n v="2047.95"/>
    <n v="10"/>
    <n v="331.33"/>
  </r>
  <r>
    <d v="2016-08-09T00:00:00"/>
    <x v="2"/>
    <x v="7"/>
    <x v="7"/>
    <x v="4"/>
    <x v="2"/>
    <x v="3"/>
    <s v="Smartphone"/>
    <n v="4363.63"/>
    <n v="10"/>
    <n v="238"/>
  </r>
  <r>
    <d v="2016-08-10T00:00:00"/>
    <x v="2"/>
    <x v="7"/>
    <x v="5"/>
    <x v="6"/>
    <x v="1"/>
    <x v="1"/>
    <s v="Heater"/>
    <n v="815.41"/>
    <n v="5"/>
    <n v="54.97"/>
  </r>
  <r>
    <d v="2016-08-11T00:00:00"/>
    <x v="2"/>
    <x v="7"/>
    <x v="2"/>
    <x v="3"/>
    <x v="0"/>
    <x v="4"/>
    <s v="Executive Chair"/>
    <n v="4366.2299999999996"/>
    <n v="2"/>
    <n v="174.24"/>
  </r>
  <r>
    <d v="2016-08-11T00:00:00"/>
    <x v="2"/>
    <x v="7"/>
    <x v="11"/>
    <x v="4"/>
    <x v="1"/>
    <x v="7"/>
    <s v="Color Set"/>
    <n v="191.94"/>
    <n v="3"/>
    <n v="48.27"/>
  </r>
  <r>
    <d v="2016-08-12T00:00:00"/>
    <x v="2"/>
    <x v="7"/>
    <x v="10"/>
    <x v="2"/>
    <x v="0"/>
    <x v="4"/>
    <s v="Office Chair"/>
    <n v="1539.65"/>
    <n v="8"/>
    <n v="453.05"/>
  </r>
  <r>
    <d v="2016-08-12T00:00:00"/>
    <x v="2"/>
    <x v="7"/>
    <x v="6"/>
    <x v="4"/>
    <x v="0"/>
    <x v="0"/>
    <s v="Desk Lamp"/>
    <n v="3448.86"/>
    <n v="8"/>
    <n v="269.69"/>
  </r>
  <r>
    <d v="2016-08-12T00:00:00"/>
    <x v="2"/>
    <x v="7"/>
    <x v="0"/>
    <x v="8"/>
    <x v="2"/>
    <x v="5"/>
    <s v="USB Drive"/>
    <n v="2369.1"/>
    <n v="9"/>
    <n v="259.64"/>
  </r>
  <r>
    <d v="2016-08-12T00:00:00"/>
    <x v="2"/>
    <x v="7"/>
    <x v="0"/>
    <x v="2"/>
    <x v="1"/>
    <x v="9"/>
    <s v="Ring Binder"/>
    <n v="3171.69"/>
    <n v="1"/>
    <n v="294.52999999999997"/>
  </r>
  <r>
    <d v="2016-08-13T00:00:00"/>
    <x v="2"/>
    <x v="7"/>
    <x v="7"/>
    <x v="1"/>
    <x v="0"/>
    <x v="0"/>
    <s v="Desk Lamp"/>
    <n v="2120.7399999999998"/>
    <n v="8"/>
    <n v="154.71"/>
  </r>
  <r>
    <d v="2016-08-14T00:00:00"/>
    <x v="2"/>
    <x v="7"/>
    <x v="7"/>
    <x v="0"/>
    <x v="0"/>
    <x v="4"/>
    <s v="Office Chair"/>
    <n v="715.51"/>
    <n v="8"/>
    <n v="71.040000000000006"/>
  </r>
  <r>
    <d v="2016-08-14T00:00:00"/>
    <x v="2"/>
    <x v="7"/>
    <x v="6"/>
    <x v="5"/>
    <x v="1"/>
    <x v="9"/>
    <s v="Ring Binder"/>
    <n v="1109.6600000000001"/>
    <n v="6"/>
    <n v="59.71"/>
  </r>
  <r>
    <d v="2016-08-15T00:00:00"/>
    <x v="2"/>
    <x v="7"/>
    <x v="7"/>
    <x v="5"/>
    <x v="0"/>
    <x v="4"/>
    <s v="Ergonomic Chair"/>
    <n v="4728.95"/>
    <n v="7"/>
    <n v="1305.8800000000001"/>
  </r>
  <r>
    <d v="2016-08-15T00:00:00"/>
    <x v="2"/>
    <x v="7"/>
    <x v="3"/>
    <x v="2"/>
    <x v="0"/>
    <x v="10"/>
    <s v="Wooden Bookcase"/>
    <n v="2552.4899999999998"/>
    <n v="1"/>
    <n v="39.47"/>
  </r>
  <r>
    <d v="2016-08-16T00:00:00"/>
    <x v="2"/>
    <x v="7"/>
    <x v="1"/>
    <x v="8"/>
    <x v="0"/>
    <x v="10"/>
    <s v="Metal Bookcase"/>
    <n v="764.54"/>
    <n v="3"/>
    <n v="121.04"/>
  </r>
  <r>
    <d v="2016-08-17T00:00:00"/>
    <x v="2"/>
    <x v="7"/>
    <x v="5"/>
    <x v="7"/>
    <x v="2"/>
    <x v="3"/>
    <s v="IP Phone"/>
    <n v="2134.46"/>
    <n v="9"/>
    <n v="232.51"/>
  </r>
  <r>
    <d v="2016-08-17T00:00:00"/>
    <x v="2"/>
    <x v="7"/>
    <x v="10"/>
    <x v="1"/>
    <x v="0"/>
    <x v="2"/>
    <s v="Study Table"/>
    <n v="1813.12"/>
    <n v="8"/>
    <n v="459.34"/>
  </r>
  <r>
    <d v="2016-08-18T00:00:00"/>
    <x v="2"/>
    <x v="7"/>
    <x v="1"/>
    <x v="7"/>
    <x v="2"/>
    <x v="3"/>
    <s v="Smartphone"/>
    <n v="1092.1500000000001"/>
    <n v="2"/>
    <n v="128.32"/>
  </r>
  <r>
    <d v="2016-08-18T00:00:00"/>
    <x v="2"/>
    <x v="7"/>
    <x v="7"/>
    <x v="5"/>
    <x v="0"/>
    <x v="4"/>
    <s v="Office Chair"/>
    <n v="2276.73"/>
    <n v="2"/>
    <n v="346.01"/>
  </r>
  <r>
    <d v="2016-08-18T00:00:00"/>
    <x v="2"/>
    <x v="7"/>
    <x v="3"/>
    <x v="9"/>
    <x v="0"/>
    <x v="0"/>
    <s v="Desk Lamp"/>
    <n v="564.92999999999995"/>
    <n v="9"/>
    <n v="115.63"/>
  </r>
  <r>
    <d v="2016-08-19T00:00:00"/>
    <x v="2"/>
    <x v="7"/>
    <x v="2"/>
    <x v="7"/>
    <x v="2"/>
    <x v="3"/>
    <s v="Smartphone"/>
    <n v="4390.6000000000004"/>
    <n v="7"/>
    <n v="705.52"/>
  </r>
  <r>
    <d v="2016-08-19T00:00:00"/>
    <x v="2"/>
    <x v="7"/>
    <x v="4"/>
    <x v="9"/>
    <x v="0"/>
    <x v="2"/>
    <s v="Study Table"/>
    <n v="467.73"/>
    <n v="8"/>
    <n v="59.56"/>
  </r>
  <r>
    <d v="2016-08-19T00:00:00"/>
    <x v="2"/>
    <x v="7"/>
    <x v="6"/>
    <x v="7"/>
    <x v="1"/>
    <x v="8"/>
    <s v="Printer Paper"/>
    <n v="1723.23"/>
    <n v="8"/>
    <n v="312.33"/>
  </r>
  <r>
    <d v="2016-08-19T00:00:00"/>
    <x v="2"/>
    <x v="7"/>
    <x v="3"/>
    <x v="5"/>
    <x v="1"/>
    <x v="7"/>
    <s v="Sketch Kit"/>
    <n v="291.32"/>
    <n v="3"/>
    <n v="82.08"/>
  </r>
  <r>
    <d v="2016-08-20T00:00:00"/>
    <x v="2"/>
    <x v="7"/>
    <x v="7"/>
    <x v="2"/>
    <x v="2"/>
    <x v="5"/>
    <s v="USB Drive"/>
    <n v="3706.47"/>
    <n v="5"/>
    <n v="531.54999999999995"/>
  </r>
  <r>
    <d v="2016-08-20T00:00:00"/>
    <x v="2"/>
    <x v="7"/>
    <x v="1"/>
    <x v="8"/>
    <x v="0"/>
    <x v="10"/>
    <s v="Metal Bookcase"/>
    <n v="564.58000000000004"/>
    <n v="1"/>
    <n v="158.83000000000001"/>
  </r>
  <r>
    <d v="2016-08-22T00:00:00"/>
    <x v="2"/>
    <x v="7"/>
    <x v="9"/>
    <x v="0"/>
    <x v="1"/>
    <x v="11"/>
    <s v="Drawer Unit"/>
    <n v="4757.2"/>
    <n v="8"/>
    <n v="485.91"/>
  </r>
  <r>
    <d v="2016-08-22T00:00:00"/>
    <x v="2"/>
    <x v="7"/>
    <x v="5"/>
    <x v="9"/>
    <x v="1"/>
    <x v="7"/>
    <s v="Sketch Kit"/>
    <n v="4307.1099999999997"/>
    <n v="3"/>
    <n v="185.92"/>
  </r>
  <r>
    <d v="2016-08-22T00:00:00"/>
    <x v="2"/>
    <x v="7"/>
    <x v="8"/>
    <x v="7"/>
    <x v="1"/>
    <x v="11"/>
    <s v="Drawer Unit"/>
    <n v="2014.93"/>
    <n v="8"/>
    <n v="393.14"/>
  </r>
  <r>
    <d v="2016-08-22T00:00:00"/>
    <x v="2"/>
    <x v="7"/>
    <x v="8"/>
    <x v="9"/>
    <x v="2"/>
    <x v="6"/>
    <s v="Laser Copier"/>
    <n v="3270.49"/>
    <n v="8"/>
    <n v="467.1"/>
  </r>
  <r>
    <d v="2016-08-23T00:00:00"/>
    <x v="2"/>
    <x v="7"/>
    <x v="8"/>
    <x v="5"/>
    <x v="2"/>
    <x v="6"/>
    <s v="Inkjet Copier"/>
    <n v="4625.24"/>
    <n v="6"/>
    <n v="1079.3800000000001"/>
  </r>
  <r>
    <d v="2016-08-23T00:00:00"/>
    <x v="2"/>
    <x v="7"/>
    <x v="1"/>
    <x v="2"/>
    <x v="1"/>
    <x v="7"/>
    <s v="Color Set"/>
    <n v="4602.63"/>
    <n v="7"/>
    <n v="45.63"/>
  </r>
  <r>
    <d v="2016-08-23T00:00:00"/>
    <x v="2"/>
    <x v="7"/>
    <x v="0"/>
    <x v="5"/>
    <x v="2"/>
    <x v="5"/>
    <s v="Keyboard"/>
    <n v="3404.24"/>
    <n v="4"/>
    <n v="812.94"/>
  </r>
  <r>
    <d v="2016-08-24T00:00:00"/>
    <x v="2"/>
    <x v="7"/>
    <x v="10"/>
    <x v="5"/>
    <x v="2"/>
    <x v="6"/>
    <s v="Inkjet Copier"/>
    <n v="3225.5"/>
    <n v="10"/>
    <n v="97.65"/>
  </r>
  <r>
    <d v="2016-08-24T00:00:00"/>
    <x v="2"/>
    <x v="7"/>
    <x v="1"/>
    <x v="5"/>
    <x v="0"/>
    <x v="4"/>
    <s v="Office Chair"/>
    <n v="1381.74"/>
    <n v="10"/>
    <n v="114.51"/>
  </r>
  <r>
    <d v="2016-08-24T00:00:00"/>
    <x v="2"/>
    <x v="7"/>
    <x v="8"/>
    <x v="1"/>
    <x v="1"/>
    <x v="9"/>
    <s v="Binder Pack"/>
    <n v="866.43"/>
    <n v="3"/>
    <n v="226.51"/>
  </r>
  <r>
    <d v="2016-08-27T00:00:00"/>
    <x v="2"/>
    <x v="7"/>
    <x v="5"/>
    <x v="8"/>
    <x v="1"/>
    <x v="8"/>
    <s v="A4 Paper Pack"/>
    <n v="2171.9299999999998"/>
    <n v="10"/>
    <n v="39.99"/>
  </r>
  <r>
    <d v="2016-08-28T00:00:00"/>
    <x v="2"/>
    <x v="7"/>
    <x v="0"/>
    <x v="2"/>
    <x v="0"/>
    <x v="4"/>
    <s v="Ergonomic Chair"/>
    <n v="1149.26"/>
    <n v="2"/>
    <n v="290.67"/>
  </r>
  <r>
    <d v="2016-08-28T00:00:00"/>
    <x v="2"/>
    <x v="7"/>
    <x v="10"/>
    <x v="0"/>
    <x v="0"/>
    <x v="4"/>
    <s v="Executive Chair"/>
    <n v="3918.03"/>
    <n v="6"/>
    <n v="246.6"/>
  </r>
  <r>
    <d v="2016-08-30T00:00:00"/>
    <x v="2"/>
    <x v="7"/>
    <x v="4"/>
    <x v="9"/>
    <x v="1"/>
    <x v="1"/>
    <s v="Air Cleaner"/>
    <n v="3950.81"/>
    <n v="3"/>
    <n v="1047.6600000000001"/>
  </r>
  <r>
    <d v="2016-08-30T00:00:00"/>
    <x v="2"/>
    <x v="7"/>
    <x v="6"/>
    <x v="6"/>
    <x v="1"/>
    <x v="11"/>
    <s v="Storage Box"/>
    <n v="4145.26"/>
    <n v="10"/>
    <n v="1186.5999999999999"/>
  </r>
  <r>
    <d v="2016-08-30T00:00:00"/>
    <x v="2"/>
    <x v="7"/>
    <x v="7"/>
    <x v="9"/>
    <x v="1"/>
    <x v="7"/>
    <s v="Sketch Kit"/>
    <n v="996.23"/>
    <n v="3"/>
    <n v="225.24"/>
  </r>
  <r>
    <d v="2016-08-30T00:00:00"/>
    <x v="2"/>
    <x v="7"/>
    <x v="2"/>
    <x v="0"/>
    <x v="2"/>
    <x v="3"/>
    <s v="IP Phone"/>
    <n v="1308.42"/>
    <n v="8"/>
    <n v="160.58000000000001"/>
  </r>
  <r>
    <d v="2016-08-30T00:00:00"/>
    <x v="2"/>
    <x v="7"/>
    <x v="0"/>
    <x v="2"/>
    <x v="0"/>
    <x v="2"/>
    <s v="Conference Table"/>
    <n v="4789.76"/>
    <n v="1"/>
    <n v="211.29"/>
  </r>
  <r>
    <d v="2016-09-02T00:00:00"/>
    <x v="2"/>
    <x v="8"/>
    <x v="11"/>
    <x v="4"/>
    <x v="1"/>
    <x v="1"/>
    <s v="Air Cleaner"/>
    <n v="2163.5300000000002"/>
    <n v="6"/>
    <n v="185.17"/>
  </r>
  <r>
    <d v="2016-09-02T00:00:00"/>
    <x v="2"/>
    <x v="8"/>
    <x v="8"/>
    <x v="0"/>
    <x v="1"/>
    <x v="8"/>
    <s v="A4 Paper Pack"/>
    <n v="2147.4"/>
    <n v="7"/>
    <n v="497.28"/>
  </r>
  <r>
    <d v="2016-09-04T00:00:00"/>
    <x v="2"/>
    <x v="8"/>
    <x v="11"/>
    <x v="2"/>
    <x v="2"/>
    <x v="3"/>
    <s v="Smartphone"/>
    <n v="881.57"/>
    <n v="8"/>
    <n v="207.61"/>
  </r>
  <r>
    <d v="2016-09-04T00:00:00"/>
    <x v="2"/>
    <x v="8"/>
    <x v="0"/>
    <x v="5"/>
    <x v="2"/>
    <x v="5"/>
    <s v="USB Drive"/>
    <n v="414.92"/>
    <n v="10"/>
    <n v="110.82"/>
  </r>
  <r>
    <d v="2016-09-04T00:00:00"/>
    <x v="2"/>
    <x v="8"/>
    <x v="10"/>
    <x v="4"/>
    <x v="1"/>
    <x v="8"/>
    <s v="A4 Paper Pack"/>
    <n v="658.12"/>
    <n v="7"/>
    <n v="184.07"/>
  </r>
  <r>
    <d v="2016-09-05T00:00:00"/>
    <x v="2"/>
    <x v="8"/>
    <x v="7"/>
    <x v="1"/>
    <x v="0"/>
    <x v="10"/>
    <s v="Metal Bookcase"/>
    <n v="4925.46"/>
    <n v="10"/>
    <n v="11.31"/>
  </r>
  <r>
    <d v="2016-09-07T00:00:00"/>
    <x v="2"/>
    <x v="8"/>
    <x v="8"/>
    <x v="3"/>
    <x v="0"/>
    <x v="0"/>
    <s v="Wall Decor"/>
    <n v="593.89"/>
    <n v="6"/>
    <n v="97.8"/>
  </r>
  <r>
    <d v="2016-09-07T00:00:00"/>
    <x v="2"/>
    <x v="8"/>
    <x v="2"/>
    <x v="6"/>
    <x v="1"/>
    <x v="11"/>
    <s v="Drawer Unit"/>
    <n v="407.61"/>
    <n v="6"/>
    <n v="27.28"/>
  </r>
  <r>
    <d v="2016-09-08T00:00:00"/>
    <x v="2"/>
    <x v="8"/>
    <x v="5"/>
    <x v="3"/>
    <x v="2"/>
    <x v="6"/>
    <s v="Laser Copier"/>
    <n v="857.36"/>
    <n v="5"/>
    <n v="96.66"/>
  </r>
  <r>
    <d v="2016-09-08T00:00:00"/>
    <x v="2"/>
    <x v="8"/>
    <x v="9"/>
    <x v="1"/>
    <x v="1"/>
    <x v="8"/>
    <s v="Printer Paper"/>
    <n v="4033.38"/>
    <n v="9"/>
    <n v="773.85"/>
  </r>
  <r>
    <d v="2016-09-10T00:00:00"/>
    <x v="2"/>
    <x v="8"/>
    <x v="2"/>
    <x v="9"/>
    <x v="2"/>
    <x v="6"/>
    <s v="Inkjet Copier"/>
    <n v="739.32"/>
    <n v="1"/>
    <n v="23.61"/>
  </r>
  <r>
    <d v="2016-09-10T00:00:00"/>
    <x v="2"/>
    <x v="8"/>
    <x v="2"/>
    <x v="0"/>
    <x v="0"/>
    <x v="10"/>
    <s v="Metal Bookcase"/>
    <n v="3484.23"/>
    <n v="1"/>
    <n v="580.11"/>
  </r>
  <r>
    <d v="2016-09-11T00:00:00"/>
    <x v="2"/>
    <x v="8"/>
    <x v="5"/>
    <x v="5"/>
    <x v="2"/>
    <x v="5"/>
    <s v="Mouse"/>
    <n v="3354.92"/>
    <n v="1"/>
    <n v="963.49"/>
  </r>
  <r>
    <d v="2016-09-11T00:00:00"/>
    <x v="2"/>
    <x v="8"/>
    <x v="11"/>
    <x v="7"/>
    <x v="1"/>
    <x v="8"/>
    <s v="A4 Paper Pack"/>
    <n v="1074.82"/>
    <n v="2"/>
    <n v="213.56"/>
  </r>
  <r>
    <d v="2016-09-13T00:00:00"/>
    <x v="2"/>
    <x v="8"/>
    <x v="1"/>
    <x v="0"/>
    <x v="1"/>
    <x v="1"/>
    <s v="Heater"/>
    <n v="3929.61"/>
    <n v="6"/>
    <n v="549.66"/>
  </r>
  <r>
    <d v="2016-09-13T00:00:00"/>
    <x v="2"/>
    <x v="8"/>
    <x v="2"/>
    <x v="6"/>
    <x v="1"/>
    <x v="7"/>
    <s v="Color Set"/>
    <n v="1558.08"/>
    <n v="6"/>
    <n v="419.17"/>
  </r>
  <r>
    <d v="2016-09-14T00:00:00"/>
    <x v="2"/>
    <x v="8"/>
    <x v="5"/>
    <x v="8"/>
    <x v="1"/>
    <x v="11"/>
    <s v="Drawer Unit"/>
    <n v="3162.52"/>
    <n v="2"/>
    <n v="932.14"/>
  </r>
  <r>
    <d v="2016-09-14T00:00:00"/>
    <x v="2"/>
    <x v="8"/>
    <x v="4"/>
    <x v="4"/>
    <x v="0"/>
    <x v="10"/>
    <s v="Metal Bookcase"/>
    <n v="2430.2399999999998"/>
    <n v="7"/>
    <n v="35.770000000000003"/>
  </r>
  <r>
    <d v="2016-09-14T00:00:00"/>
    <x v="2"/>
    <x v="8"/>
    <x v="8"/>
    <x v="5"/>
    <x v="1"/>
    <x v="8"/>
    <s v="A4 Paper Pack"/>
    <n v="4759.99"/>
    <n v="9"/>
    <n v="1134.18"/>
  </r>
  <r>
    <d v="2016-09-14T00:00:00"/>
    <x v="2"/>
    <x v="8"/>
    <x v="6"/>
    <x v="4"/>
    <x v="0"/>
    <x v="0"/>
    <s v="Wall Decor"/>
    <n v="562.03"/>
    <n v="6"/>
    <n v="96.02"/>
  </r>
  <r>
    <d v="2016-09-14T00:00:00"/>
    <x v="2"/>
    <x v="8"/>
    <x v="5"/>
    <x v="5"/>
    <x v="2"/>
    <x v="5"/>
    <s v="Keyboard"/>
    <n v="3536.81"/>
    <n v="7"/>
    <n v="1028.76"/>
  </r>
  <r>
    <d v="2016-09-15T00:00:00"/>
    <x v="2"/>
    <x v="8"/>
    <x v="9"/>
    <x v="6"/>
    <x v="2"/>
    <x v="3"/>
    <s v="IP Phone"/>
    <n v="508.49"/>
    <n v="9"/>
    <n v="1"/>
  </r>
  <r>
    <d v="2016-09-16T00:00:00"/>
    <x v="2"/>
    <x v="8"/>
    <x v="11"/>
    <x v="8"/>
    <x v="2"/>
    <x v="6"/>
    <s v="Inkjet Copier"/>
    <n v="1307.31"/>
    <n v="10"/>
    <n v="353.24"/>
  </r>
  <r>
    <d v="2016-09-16T00:00:00"/>
    <x v="2"/>
    <x v="8"/>
    <x v="0"/>
    <x v="2"/>
    <x v="0"/>
    <x v="2"/>
    <s v="Study Table"/>
    <n v="3442.81"/>
    <n v="9"/>
    <n v="809.4"/>
  </r>
  <r>
    <d v="2016-09-16T00:00:00"/>
    <x v="2"/>
    <x v="8"/>
    <x v="11"/>
    <x v="0"/>
    <x v="2"/>
    <x v="6"/>
    <s v="Inkjet Copier"/>
    <n v="3285.35"/>
    <n v="5"/>
    <n v="416.97"/>
  </r>
  <r>
    <d v="2016-09-19T00:00:00"/>
    <x v="2"/>
    <x v="8"/>
    <x v="11"/>
    <x v="1"/>
    <x v="2"/>
    <x v="6"/>
    <s v="Laser Copier"/>
    <n v="4407.79"/>
    <n v="3"/>
    <n v="900.58"/>
  </r>
  <r>
    <d v="2016-09-19T00:00:00"/>
    <x v="2"/>
    <x v="8"/>
    <x v="3"/>
    <x v="3"/>
    <x v="0"/>
    <x v="2"/>
    <s v="Conference Table"/>
    <n v="4027.06"/>
    <n v="9"/>
    <n v="939.52"/>
  </r>
  <r>
    <d v="2016-09-20T00:00:00"/>
    <x v="2"/>
    <x v="8"/>
    <x v="9"/>
    <x v="7"/>
    <x v="0"/>
    <x v="10"/>
    <s v="Metal Bookcase"/>
    <n v="1318.55"/>
    <n v="7"/>
    <n v="159.12"/>
  </r>
  <r>
    <d v="2016-09-20T00:00:00"/>
    <x v="2"/>
    <x v="8"/>
    <x v="1"/>
    <x v="7"/>
    <x v="2"/>
    <x v="3"/>
    <s v="Smartphone"/>
    <n v="1285.18"/>
    <n v="5"/>
    <n v="11.5"/>
  </r>
  <r>
    <d v="2016-09-20T00:00:00"/>
    <x v="2"/>
    <x v="8"/>
    <x v="5"/>
    <x v="3"/>
    <x v="1"/>
    <x v="8"/>
    <s v="A4 Paper Pack"/>
    <n v="4835.1000000000004"/>
    <n v="8"/>
    <n v="556.42999999999995"/>
  </r>
  <r>
    <d v="2016-09-21T00:00:00"/>
    <x v="2"/>
    <x v="8"/>
    <x v="5"/>
    <x v="4"/>
    <x v="1"/>
    <x v="9"/>
    <s v="Ring Binder"/>
    <n v="3823.3"/>
    <n v="6"/>
    <n v="877.23"/>
  </r>
  <r>
    <d v="2016-09-23T00:00:00"/>
    <x v="2"/>
    <x v="8"/>
    <x v="6"/>
    <x v="5"/>
    <x v="2"/>
    <x v="6"/>
    <s v="Inkjet Copier"/>
    <n v="1896.04"/>
    <n v="2"/>
    <n v="253.73"/>
  </r>
  <r>
    <d v="2016-09-23T00:00:00"/>
    <x v="2"/>
    <x v="8"/>
    <x v="5"/>
    <x v="0"/>
    <x v="1"/>
    <x v="1"/>
    <s v="Heater"/>
    <n v="2315.9899999999998"/>
    <n v="3"/>
    <n v="216.84"/>
  </r>
  <r>
    <d v="2016-09-23T00:00:00"/>
    <x v="2"/>
    <x v="8"/>
    <x v="1"/>
    <x v="2"/>
    <x v="0"/>
    <x v="4"/>
    <s v="Ergonomic Chair"/>
    <n v="1706.01"/>
    <n v="8"/>
    <n v="500.08"/>
  </r>
  <r>
    <d v="2016-09-24T00:00:00"/>
    <x v="2"/>
    <x v="8"/>
    <x v="5"/>
    <x v="3"/>
    <x v="0"/>
    <x v="0"/>
    <s v="Wall Decor"/>
    <n v="1101.32"/>
    <n v="6"/>
    <n v="306.43"/>
  </r>
  <r>
    <d v="2016-09-25T00:00:00"/>
    <x v="2"/>
    <x v="8"/>
    <x v="7"/>
    <x v="9"/>
    <x v="0"/>
    <x v="2"/>
    <s v="Study Table"/>
    <n v="1485.71"/>
    <n v="4"/>
    <n v="216.64"/>
  </r>
  <r>
    <d v="2016-09-28T00:00:00"/>
    <x v="2"/>
    <x v="8"/>
    <x v="9"/>
    <x v="7"/>
    <x v="2"/>
    <x v="6"/>
    <s v="Laser Copier"/>
    <n v="4913.41"/>
    <n v="3"/>
    <n v="1231.18"/>
  </r>
  <r>
    <d v="2016-09-28T00:00:00"/>
    <x v="2"/>
    <x v="8"/>
    <x v="1"/>
    <x v="7"/>
    <x v="0"/>
    <x v="2"/>
    <s v="Study Table"/>
    <n v="1105.17"/>
    <n v="3"/>
    <n v="57.09"/>
  </r>
  <r>
    <d v="2016-09-28T00:00:00"/>
    <x v="2"/>
    <x v="8"/>
    <x v="11"/>
    <x v="5"/>
    <x v="2"/>
    <x v="5"/>
    <s v="USB Drive"/>
    <n v="2916.91"/>
    <n v="8"/>
    <n v="794.89"/>
  </r>
  <r>
    <d v="2016-09-30T00:00:00"/>
    <x v="2"/>
    <x v="8"/>
    <x v="5"/>
    <x v="7"/>
    <x v="2"/>
    <x v="6"/>
    <s v="Inkjet Copier"/>
    <n v="2579.73"/>
    <n v="1"/>
    <n v="145.72"/>
  </r>
  <r>
    <d v="2016-09-30T00:00:00"/>
    <x v="2"/>
    <x v="8"/>
    <x v="7"/>
    <x v="3"/>
    <x v="1"/>
    <x v="9"/>
    <s v="Ring Binder"/>
    <n v="3272.94"/>
    <n v="1"/>
    <n v="75.25"/>
  </r>
  <r>
    <d v="2016-10-01T00:00:00"/>
    <x v="2"/>
    <x v="9"/>
    <x v="8"/>
    <x v="5"/>
    <x v="0"/>
    <x v="4"/>
    <s v="Executive Chair"/>
    <n v="2390.5500000000002"/>
    <n v="7"/>
    <n v="157.4"/>
  </r>
  <r>
    <d v="2016-10-02T00:00:00"/>
    <x v="2"/>
    <x v="9"/>
    <x v="11"/>
    <x v="9"/>
    <x v="0"/>
    <x v="4"/>
    <s v="Office Chair"/>
    <n v="162.65"/>
    <n v="6"/>
    <n v="14.25"/>
  </r>
  <r>
    <d v="2016-10-04T00:00:00"/>
    <x v="2"/>
    <x v="9"/>
    <x v="6"/>
    <x v="7"/>
    <x v="1"/>
    <x v="1"/>
    <s v="Heater"/>
    <n v="3144.99"/>
    <n v="7"/>
    <n v="499.68"/>
  </r>
  <r>
    <d v="2016-10-04T00:00:00"/>
    <x v="2"/>
    <x v="9"/>
    <x v="4"/>
    <x v="7"/>
    <x v="1"/>
    <x v="11"/>
    <s v="Drawer Unit"/>
    <n v="504.08"/>
    <n v="1"/>
    <n v="50.2"/>
  </r>
  <r>
    <d v="2016-10-05T00:00:00"/>
    <x v="2"/>
    <x v="9"/>
    <x v="10"/>
    <x v="0"/>
    <x v="1"/>
    <x v="7"/>
    <s v="Color Set"/>
    <n v="3585.61"/>
    <n v="7"/>
    <n v="485.62"/>
  </r>
  <r>
    <d v="2016-10-05T00:00:00"/>
    <x v="2"/>
    <x v="9"/>
    <x v="2"/>
    <x v="9"/>
    <x v="2"/>
    <x v="6"/>
    <s v="Laser Copier"/>
    <n v="888.38"/>
    <n v="6"/>
    <n v="3.02"/>
  </r>
  <r>
    <d v="2016-10-06T00:00:00"/>
    <x v="2"/>
    <x v="9"/>
    <x v="6"/>
    <x v="5"/>
    <x v="1"/>
    <x v="7"/>
    <s v="Sketch Kit"/>
    <n v="214.89"/>
    <n v="3"/>
    <n v="11"/>
  </r>
  <r>
    <d v="2016-10-09T00:00:00"/>
    <x v="2"/>
    <x v="9"/>
    <x v="6"/>
    <x v="2"/>
    <x v="0"/>
    <x v="0"/>
    <s v="Desk Lamp"/>
    <n v="1025.55"/>
    <n v="9"/>
    <n v="246.52"/>
  </r>
  <r>
    <d v="2016-10-10T00:00:00"/>
    <x v="2"/>
    <x v="9"/>
    <x v="0"/>
    <x v="8"/>
    <x v="1"/>
    <x v="7"/>
    <s v="Sketch Kit"/>
    <n v="578.15"/>
    <n v="6"/>
    <n v="38.43"/>
  </r>
  <r>
    <d v="2016-10-11T00:00:00"/>
    <x v="2"/>
    <x v="9"/>
    <x v="9"/>
    <x v="0"/>
    <x v="2"/>
    <x v="6"/>
    <s v="Laser Copier"/>
    <n v="2349.69"/>
    <n v="9"/>
    <n v="89.49"/>
  </r>
  <r>
    <d v="2016-10-11T00:00:00"/>
    <x v="2"/>
    <x v="9"/>
    <x v="5"/>
    <x v="5"/>
    <x v="0"/>
    <x v="10"/>
    <s v="Metal Bookcase"/>
    <n v="4663.2299999999996"/>
    <n v="8"/>
    <n v="1255.73"/>
  </r>
  <r>
    <d v="2016-10-12T00:00:00"/>
    <x v="2"/>
    <x v="9"/>
    <x v="7"/>
    <x v="3"/>
    <x v="2"/>
    <x v="3"/>
    <s v="Smartphone"/>
    <n v="4933.78"/>
    <n v="8"/>
    <n v="1349.2"/>
  </r>
  <r>
    <d v="2016-10-12T00:00:00"/>
    <x v="2"/>
    <x v="9"/>
    <x v="9"/>
    <x v="8"/>
    <x v="2"/>
    <x v="5"/>
    <s v="USB Drive"/>
    <n v="4470.76"/>
    <n v="3"/>
    <n v="731.92"/>
  </r>
  <r>
    <d v="2016-10-14T00:00:00"/>
    <x v="2"/>
    <x v="9"/>
    <x v="2"/>
    <x v="9"/>
    <x v="1"/>
    <x v="11"/>
    <s v="Drawer Unit"/>
    <n v="1933.35"/>
    <n v="6"/>
    <n v="217.21"/>
  </r>
  <r>
    <d v="2016-10-15T00:00:00"/>
    <x v="2"/>
    <x v="9"/>
    <x v="2"/>
    <x v="6"/>
    <x v="0"/>
    <x v="4"/>
    <s v="Executive Chair"/>
    <n v="4600.07"/>
    <n v="5"/>
    <n v="736.02"/>
  </r>
  <r>
    <d v="2016-10-16T00:00:00"/>
    <x v="2"/>
    <x v="9"/>
    <x v="6"/>
    <x v="2"/>
    <x v="2"/>
    <x v="3"/>
    <s v="Smartphone"/>
    <n v="2568.75"/>
    <n v="3"/>
    <n v="258.52999999999997"/>
  </r>
  <r>
    <d v="2016-10-16T00:00:00"/>
    <x v="2"/>
    <x v="9"/>
    <x v="10"/>
    <x v="1"/>
    <x v="2"/>
    <x v="6"/>
    <s v="Laser Copier"/>
    <n v="3233.79"/>
    <n v="6"/>
    <n v="661.53"/>
  </r>
  <r>
    <d v="2016-10-16T00:00:00"/>
    <x v="2"/>
    <x v="9"/>
    <x v="2"/>
    <x v="6"/>
    <x v="0"/>
    <x v="2"/>
    <s v="Study Table"/>
    <n v="1654.72"/>
    <n v="10"/>
    <n v="467.66"/>
  </r>
  <r>
    <d v="2016-10-17T00:00:00"/>
    <x v="2"/>
    <x v="9"/>
    <x v="1"/>
    <x v="3"/>
    <x v="1"/>
    <x v="1"/>
    <s v="Air Cleaner"/>
    <n v="582.12"/>
    <n v="10"/>
    <n v="86.25"/>
  </r>
  <r>
    <d v="2016-10-17T00:00:00"/>
    <x v="2"/>
    <x v="9"/>
    <x v="7"/>
    <x v="2"/>
    <x v="2"/>
    <x v="3"/>
    <s v="Smartphone"/>
    <n v="4790.78"/>
    <n v="10"/>
    <n v="1326.15"/>
  </r>
  <r>
    <d v="2016-10-18T00:00:00"/>
    <x v="2"/>
    <x v="9"/>
    <x v="0"/>
    <x v="2"/>
    <x v="0"/>
    <x v="10"/>
    <s v="Wooden Bookcase"/>
    <n v="925.48"/>
    <n v="3"/>
    <n v="19.68"/>
  </r>
  <r>
    <d v="2016-10-18T00:00:00"/>
    <x v="2"/>
    <x v="9"/>
    <x v="0"/>
    <x v="5"/>
    <x v="1"/>
    <x v="7"/>
    <s v="Color Set"/>
    <n v="2307.19"/>
    <n v="4"/>
    <n v="542.94000000000005"/>
  </r>
  <r>
    <d v="2016-10-19T00:00:00"/>
    <x v="2"/>
    <x v="9"/>
    <x v="8"/>
    <x v="0"/>
    <x v="1"/>
    <x v="11"/>
    <s v="Storage Box"/>
    <n v="723.76"/>
    <n v="6"/>
    <n v="42.24"/>
  </r>
  <r>
    <d v="2016-10-20T00:00:00"/>
    <x v="2"/>
    <x v="9"/>
    <x v="1"/>
    <x v="0"/>
    <x v="2"/>
    <x v="5"/>
    <s v="Mouse"/>
    <n v="3939.47"/>
    <n v="10"/>
    <n v="99.3"/>
  </r>
  <r>
    <d v="2016-10-20T00:00:00"/>
    <x v="2"/>
    <x v="9"/>
    <x v="1"/>
    <x v="5"/>
    <x v="1"/>
    <x v="11"/>
    <s v="Drawer Unit"/>
    <n v="509.71"/>
    <n v="5"/>
    <n v="20.51"/>
  </r>
  <r>
    <d v="2016-10-21T00:00:00"/>
    <x v="2"/>
    <x v="9"/>
    <x v="9"/>
    <x v="3"/>
    <x v="0"/>
    <x v="10"/>
    <s v="Wooden Bookcase"/>
    <n v="1260.42"/>
    <n v="4"/>
    <n v="165.08"/>
  </r>
  <r>
    <d v="2016-10-21T00:00:00"/>
    <x v="2"/>
    <x v="9"/>
    <x v="1"/>
    <x v="6"/>
    <x v="0"/>
    <x v="2"/>
    <s v="Study Table"/>
    <n v="3174.68"/>
    <n v="4"/>
    <n v="359.72"/>
  </r>
  <r>
    <d v="2016-10-21T00:00:00"/>
    <x v="2"/>
    <x v="9"/>
    <x v="1"/>
    <x v="8"/>
    <x v="0"/>
    <x v="4"/>
    <s v="Office Chair"/>
    <n v="2929.25"/>
    <n v="2"/>
    <n v="844.88"/>
  </r>
  <r>
    <d v="2016-10-23T00:00:00"/>
    <x v="2"/>
    <x v="9"/>
    <x v="0"/>
    <x v="6"/>
    <x v="0"/>
    <x v="10"/>
    <s v="Metal Bookcase"/>
    <n v="906.3"/>
    <n v="10"/>
    <n v="109.55"/>
  </r>
  <r>
    <d v="2016-10-23T00:00:00"/>
    <x v="2"/>
    <x v="9"/>
    <x v="10"/>
    <x v="7"/>
    <x v="0"/>
    <x v="4"/>
    <s v="Ergonomic Chair"/>
    <n v="3686.14"/>
    <n v="7"/>
    <n v="830.21"/>
  </r>
  <r>
    <d v="2016-10-23T00:00:00"/>
    <x v="2"/>
    <x v="9"/>
    <x v="1"/>
    <x v="8"/>
    <x v="1"/>
    <x v="8"/>
    <s v="A4 Paper Pack"/>
    <n v="4305.49"/>
    <n v="6"/>
    <n v="810.94"/>
  </r>
  <r>
    <d v="2016-10-24T00:00:00"/>
    <x v="2"/>
    <x v="9"/>
    <x v="0"/>
    <x v="3"/>
    <x v="0"/>
    <x v="10"/>
    <s v="Metal Bookcase"/>
    <n v="3298.75"/>
    <n v="3"/>
    <n v="516.75"/>
  </r>
  <r>
    <d v="2016-10-25T00:00:00"/>
    <x v="2"/>
    <x v="9"/>
    <x v="11"/>
    <x v="8"/>
    <x v="1"/>
    <x v="1"/>
    <s v="Heater"/>
    <n v="2879.91"/>
    <n v="9"/>
    <n v="810.99"/>
  </r>
  <r>
    <d v="2016-10-25T00:00:00"/>
    <x v="2"/>
    <x v="9"/>
    <x v="2"/>
    <x v="9"/>
    <x v="1"/>
    <x v="8"/>
    <s v="Printer Paper"/>
    <n v="1148.6300000000001"/>
    <n v="4"/>
    <n v="308.08"/>
  </r>
  <r>
    <d v="2016-10-27T00:00:00"/>
    <x v="2"/>
    <x v="9"/>
    <x v="6"/>
    <x v="2"/>
    <x v="1"/>
    <x v="11"/>
    <s v="Storage Box"/>
    <n v="1475.86"/>
    <n v="1"/>
    <n v="59.2"/>
  </r>
  <r>
    <d v="2016-10-27T00:00:00"/>
    <x v="2"/>
    <x v="9"/>
    <x v="3"/>
    <x v="6"/>
    <x v="0"/>
    <x v="4"/>
    <s v="Office Chair"/>
    <n v="3460.4"/>
    <n v="1"/>
    <n v="234.76"/>
  </r>
  <r>
    <d v="2016-10-27T00:00:00"/>
    <x v="2"/>
    <x v="9"/>
    <x v="6"/>
    <x v="2"/>
    <x v="2"/>
    <x v="5"/>
    <s v="Keyboard"/>
    <n v="2764.99"/>
    <n v="10"/>
    <n v="705.95"/>
  </r>
  <r>
    <d v="2016-10-28T00:00:00"/>
    <x v="2"/>
    <x v="9"/>
    <x v="9"/>
    <x v="7"/>
    <x v="2"/>
    <x v="6"/>
    <s v="Inkjet Copier"/>
    <n v="1363.68"/>
    <n v="2"/>
    <n v="308.83"/>
  </r>
  <r>
    <d v="2016-10-28T00:00:00"/>
    <x v="2"/>
    <x v="9"/>
    <x v="1"/>
    <x v="1"/>
    <x v="2"/>
    <x v="6"/>
    <s v="Inkjet Copier"/>
    <n v="2705.67"/>
    <n v="4"/>
    <n v="490.51"/>
  </r>
  <r>
    <d v="2016-10-28T00:00:00"/>
    <x v="2"/>
    <x v="9"/>
    <x v="9"/>
    <x v="9"/>
    <x v="1"/>
    <x v="11"/>
    <s v="Storage Box"/>
    <n v="1837.78"/>
    <n v="1"/>
    <n v="115.63"/>
  </r>
  <r>
    <d v="2016-10-29T00:00:00"/>
    <x v="2"/>
    <x v="9"/>
    <x v="11"/>
    <x v="0"/>
    <x v="0"/>
    <x v="10"/>
    <s v="Wooden Bookcase"/>
    <n v="2014"/>
    <n v="7"/>
    <n v="486.5"/>
  </r>
  <r>
    <d v="2016-10-30T00:00:00"/>
    <x v="2"/>
    <x v="9"/>
    <x v="1"/>
    <x v="4"/>
    <x v="0"/>
    <x v="4"/>
    <s v="Executive Chair"/>
    <n v="566.99"/>
    <n v="2"/>
    <n v="22.12"/>
  </r>
  <r>
    <d v="2016-10-31T00:00:00"/>
    <x v="2"/>
    <x v="9"/>
    <x v="6"/>
    <x v="5"/>
    <x v="1"/>
    <x v="1"/>
    <s v="Air Cleaner"/>
    <n v="2544.9899999999998"/>
    <n v="4"/>
    <n v="700.54"/>
  </r>
  <r>
    <d v="2016-10-31T00:00:00"/>
    <x v="2"/>
    <x v="9"/>
    <x v="11"/>
    <x v="6"/>
    <x v="1"/>
    <x v="7"/>
    <s v="Sketch Kit"/>
    <n v="431.71"/>
    <n v="4"/>
    <n v="79.63"/>
  </r>
  <r>
    <d v="2016-11-01T00:00:00"/>
    <x v="2"/>
    <x v="10"/>
    <x v="7"/>
    <x v="9"/>
    <x v="0"/>
    <x v="4"/>
    <s v="Ergonomic Chair"/>
    <n v="2318.04"/>
    <n v="8"/>
    <n v="171.08"/>
  </r>
  <r>
    <d v="2016-11-01T00:00:00"/>
    <x v="2"/>
    <x v="10"/>
    <x v="11"/>
    <x v="2"/>
    <x v="1"/>
    <x v="11"/>
    <s v="Drawer Unit"/>
    <n v="1549.12"/>
    <n v="10"/>
    <n v="359.88"/>
  </r>
  <r>
    <d v="2016-11-02T00:00:00"/>
    <x v="2"/>
    <x v="10"/>
    <x v="10"/>
    <x v="5"/>
    <x v="1"/>
    <x v="7"/>
    <s v="Sketch Kit"/>
    <n v="4573.71"/>
    <n v="5"/>
    <n v="287.85000000000002"/>
  </r>
  <r>
    <d v="2016-11-02T00:00:00"/>
    <x v="2"/>
    <x v="10"/>
    <x v="6"/>
    <x v="4"/>
    <x v="1"/>
    <x v="8"/>
    <s v="A4 Paper Pack"/>
    <n v="4439.9799999999996"/>
    <n v="6"/>
    <n v="790.42"/>
  </r>
  <r>
    <d v="2016-11-03T00:00:00"/>
    <x v="2"/>
    <x v="10"/>
    <x v="2"/>
    <x v="8"/>
    <x v="0"/>
    <x v="10"/>
    <s v="Wooden Bookcase"/>
    <n v="3166.3"/>
    <n v="1"/>
    <n v="726.23"/>
  </r>
  <r>
    <d v="2016-11-05T00:00:00"/>
    <x v="2"/>
    <x v="10"/>
    <x v="3"/>
    <x v="0"/>
    <x v="2"/>
    <x v="3"/>
    <s v="IP Phone"/>
    <n v="2392.73"/>
    <n v="2"/>
    <n v="380.61"/>
  </r>
  <r>
    <d v="2016-11-05T00:00:00"/>
    <x v="2"/>
    <x v="10"/>
    <x v="3"/>
    <x v="8"/>
    <x v="0"/>
    <x v="4"/>
    <s v="Ergonomic Chair"/>
    <n v="1110.27"/>
    <n v="4"/>
    <n v="144.88"/>
  </r>
  <r>
    <d v="2016-11-06T00:00:00"/>
    <x v="2"/>
    <x v="10"/>
    <x v="9"/>
    <x v="5"/>
    <x v="2"/>
    <x v="3"/>
    <s v="IP Phone"/>
    <n v="3890.32"/>
    <n v="9"/>
    <n v="287.3"/>
  </r>
  <r>
    <d v="2016-11-06T00:00:00"/>
    <x v="2"/>
    <x v="10"/>
    <x v="10"/>
    <x v="8"/>
    <x v="2"/>
    <x v="5"/>
    <s v="Mouse"/>
    <n v="4367.26"/>
    <n v="8"/>
    <n v="574.22"/>
  </r>
  <r>
    <d v="2016-11-06T00:00:00"/>
    <x v="2"/>
    <x v="10"/>
    <x v="11"/>
    <x v="3"/>
    <x v="0"/>
    <x v="10"/>
    <s v="Metal Bookcase"/>
    <n v="847.61"/>
    <n v="3"/>
    <n v="151.02000000000001"/>
  </r>
  <r>
    <d v="2016-11-06T00:00:00"/>
    <x v="2"/>
    <x v="10"/>
    <x v="6"/>
    <x v="4"/>
    <x v="2"/>
    <x v="5"/>
    <s v="Keyboard"/>
    <n v="2388.39"/>
    <n v="6"/>
    <n v="421.78"/>
  </r>
  <r>
    <d v="2016-11-07T00:00:00"/>
    <x v="2"/>
    <x v="10"/>
    <x v="4"/>
    <x v="4"/>
    <x v="1"/>
    <x v="7"/>
    <s v="Sketch Kit"/>
    <n v="4331.55"/>
    <n v="4"/>
    <n v="1216.71"/>
  </r>
  <r>
    <d v="2016-11-07T00:00:00"/>
    <x v="2"/>
    <x v="10"/>
    <x v="4"/>
    <x v="4"/>
    <x v="2"/>
    <x v="6"/>
    <s v="Inkjet Copier"/>
    <n v="4341.55"/>
    <n v="1"/>
    <n v="34.03"/>
  </r>
  <r>
    <d v="2016-11-07T00:00:00"/>
    <x v="2"/>
    <x v="10"/>
    <x v="10"/>
    <x v="1"/>
    <x v="0"/>
    <x v="0"/>
    <s v="Desk Lamp"/>
    <n v="3379.67"/>
    <n v="1"/>
    <n v="844.79"/>
  </r>
  <r>
    <d v="2016-11-07T00:00:00"/>
    <x v="2"/>
    <x v="10"/>
    <x v="2"/>
    <x v="2"/>
    <x v="1"/>
    <x v="7"/>
    <s v="Color Set"/>
    <n v="3000.36"/>
    <n v="7"/>
    <n v="133.65"/>
  </r>
  <r>
    <d v="2016-11-08T00:00:00"/>
    <x v="2"/>
    <x v="10"/>
    <x v="5"/>
    <x v="2"/>
    <x v="1"/>
    <x v="1"/>
    <s v="Heater"/>
    <n v="2137.46"/>
    <n v="8"/>
    <n v="85.9"/>
  </r>
  <r>
    <d v="2016-11-09T00:00:00"/>
    <x v="2"/>
    <x v="10"/>
    <x v="3"/>
    <x v="6"/>
    <x v="1"/>
    <x v="9"/>
    <s v="Ring Binder"/>
    <n v="1157.54"/>
    <n v="2"/>
    <n v="180.45"/>
  </r>
  <r>
    <d v="2016-11-09T00:00:00"/>
    <x v="2"/>
    <x v="10"/>
    <x v="5"/>
    <x v="2"/>
    <x v="1"/>
    <x v="8"/>
    <s v="Printer Paper"/>
    <n v="3492.41"/>
    <n v="8"/>
    <n v="312.70999999999998"/>
  </r>
  <r>
    <d v="2016-11-09T00:00:00"/>
    <x v="2"/>
    <x v="10"/>
    <x v="1"/>
    <x v="0"/>
    <x v="2"/>
    <x v="6"/>
    <s v="Laser Copier"/>
    <n v="2871.74"/>
    <n v="6"/>
    <n v="840.41"/>
  </r>
  <r>
    <d v="2016-11-10T00:00:00"/>
    <x v="2"/>
    <x v="10"/>
    <x v="10"/>
    <x v="1"/>
    <x v="0"/>
    <x v="2"/>
    <s v="Conference Table"/>
    <n v="1544.12"/>
    <n v="2"/>
    <n v="311.22000000000003"/>
  </r>
  <r>
    <d v="2016-11-12T00:00:00"/>
    <x v="2"/>
    <x v="10"/>
    <x v="1"/>
    <x v="9"/>
    <x v="1"/>
    <x v="9"/>
    <s v="Ring Binder"/>
    <n v="2751.1"/>
    <n v="1"/>
    <n v="32.979999999999997"/>
  </r>
  <r>
    <d v="2016-11-14T00:00:00"/>
    <x v="2"/>
    <x v="10"/>
    <x v="0"/>
    <x v="4"/>
    <x v="0"/>
    <x v="4"/>
    <s v="Ergonomic Chair"/>
    <n v="4466.29"/>
    <n v="6"/>
    <n v="870.93"/>
  </r>
  <r>
    <d v="2016-11-15T00:00:00"/>
    <x v="2"/>
    <x v="10"/>
    <x v="6"/>
    <x v="7"/>
    <x v="1"/>
    <x v="11"/>
    <s v="Storage Box"/>
    <n v="4091.49"/>
    <n v="3"/>
    <n v="749.83"/>
  </r>
  <r>
    <d v="2016-11-15T00:00:00"/>
    <x v="2"/>
    <x v="10"/>
    <x v="4"/>
    <x v="9"/>
    <x v="0"/>
    <x v="0"/>
    <s v="Wall Decor"/>
    <n v="2778.03"/>
    <n v="4"/>
    <n v="86.64"/>
  </r>
  <r>
    <d v="2016-11-17T00:00:00"/>
    <x v="2"/>
    <x v="10"/>
    <x v="11"/>
    <x v="7"/>
    <x v="0"/>
    <x v="0"/>
    <s v="Desk Lamp"/>
    <n v="599.11"/>
    <n v="7"/>
    <n v="91.45"/>
  </r>
  <r>
    <d v="2016-11-17T00:00:00"/>
    <x v="2"/>
    <x v="10"/>
    <x v="8"/>
    <x v="1"/>
    <x v="1"/>
    <x v="7"/>
    <s v="Sketch Kit"/>
    <n v="2456.4699999999998"/>
    <n v="7"/>
    <n v="67.98"/>
  </r>
  <r>
    <d v="2016-11-17T00:00:00"/>
    <x v="2"/>
    <x v="10"/>
    <x v="7"/>
    <x v="8"/>
    <x v="0"/>
    <x v="0"/>
    <s v="Wall Decor"/>
    <n v="851.03"/>
    <n v="3"/>
    <n v="187.91"/>
  </r>
  <r>
    <d v="2016-11-18T00:00:00"/>
    <x v="2"/>
    <x v="10"/>
    <x v="8"/>
    <x v="9"/>
    <x v="2"/>
    <x v="3"/>
    <s v="Smartphone"/>
    <n v="4357.46"/>
    <n v="6"/>
    <n v="1147.24"/>
  </r>
  <r>
    <d v="2016-11-19T00:00:00"/>
    <x v="2"/>
    <x v="10"/>
    <x v="0"/>
    <x v="2"/>
    <x v="1"/>
    <x v="11"/>
    <s v="Storage Box"/>
    <n v="506.05"/>
    <n v="5"/>
    <n v="15.33"/>
  </r>
  <r>
    <d v="2016-11-19T00:00:00"/>
    <x v="2"/>
    <x v="10"/>
    <x v="5"/>
    <x v="7"/>
    <x v="2"/>
    <x v="3"/>
    <s v="Smartphone"/>
    <n v="4229"/>
    <n v="4"/>
    <n v="1243.79"/>
  </r>
  <r>
    <d v="2016-11-19T00:00:00"/>
    <x v="2"/>
    <x v="10"/>
    <x v="6"/>
    <x v="5"/>
    <x v="0"/>
    <x v="10"/>
    <s v="Wooden Bookcase"/>
    <n v="700.89"/>
    <n v="9"/>
    <n v="37.39"/>
  </r>
  <r>
    <d v="2016-11-20T00:00:00"/>
    <x v="2"/>
    <x v="10"/>
    <x v="6"/>
    <x v="9"/>
    <x v="2"/>
    <x v="6"/>
    <s v="Inkjet Copier"/>
    <n v="3503.41"/>
    <n v="6"/>
    <n v="670.78"/>
  </r>
  <r>
    <d v="2016-11-20T00:00:00"/>
    <x v="2"/>
    <x v="10"/>
    <x v="0"/>
    <x v="6"/>
    <x v="0"/>
    <x v="4"/>
    <s v="Ergonomic Chair"/>
    <n v="2970.85"/>
    <n v="8"/>
    <n v="247.46"/>
  </r>
  <r>
    <d v="2016-11-22T00:00:00"/>
    <x v="2"/>
    <x v="10"/>
    <x v="2"/>
    <x v="1"/>
    <x v="2"/>
    <x v="5"/>
    <s v="Keyboard"/>
    <n v="2269.36"/>
    <n v="10"/>
    <n v="325.60000000000002"/>
  </r>
  <r>
    <d v="2016-11-22T00:00:00"/>
    <x v="2"/>
    <x v="10"/>
    <x v="1"/>
    <x v="6"/>
    <x v="0"/>
    <x v="0"/>
    <s v="Desk Lamp"/>
    <n v="4296.53"/>
    <n v="2"/>
    <n v="261.38"/>
  </r>
  <r>
    <d v="2016-11-23T00:00:00"/>
    <x v="2"/>
    <x v="10"/>
    <x v="8"/>
    <x v="4"/>
    <x v="2"/>
    <x v="3"/>
    <s v="IP Phone"/>
    <n v="1466.54"/>
    <n v="3"/>
    <n v="105.09"/>
  </r>
  <r>
    <d v="2016-11-23T00:00:00"/>
    <x v="2"/>
    <x v="10"/>
    <x v="5"/>
    <x v="6"/>
    <x v="2"/>
    <x v="5"/>
    <s v="USB Drive"/>
    <n v="2345.14"/>
    <n v="6"/>
    <n v="665.36"/>
  </r>
  <r>
    <d v="2016-11-24T00:00:00"/>
    <x v="2"/>
    <x v="10"/>
    <x v="1"/>
    <x v="4"/>
    <x v="0"/>
    <x v="10"/>
    <s v="Wooden Bookcase"/>
    <n v="3340.51"/>
    <n v="8"/>
    <n v="151.84"/>
  </r>
  <r>
    <d v="2016-11-25T00:00:00"/>
    <x v="2"/>
    <x v="10"/>
    <x v="0"/>
    <x v="5"/>
    <x v="0"/>
    <x v="10"/>
    <s v="Metal Bookcase"/>
    <n v="1705.85"/>
    <n v="9"/>
    <n v="475.43"/>
  </r>
  <r>
    <d v="2016-11-25T00:00:00"/>
    <x v="2"/>
    <x v="10"/>
    <x v="0"/>
    <x v="0"/>
    <x v="1"/>
    <x v="7"/>
    <s v="Sketch Kit"/>
    <n v="2826.19"/>
    <n v="4"/>
    <n v="438.35"/>
  </r>
  <r>
    <d v="2016-11-25T00:00:00"/>
    <x v="2"/>
    <x v="10"/>
    <x v="0"/>
    <x v="2"/>
    <x v="2"/>
    <x v="3"/>
    <s v="Smartphone"/>
    <n v="4036.05"/>
    <n v="8"/>
    <n v="651.53"/>
  </r>
  <r>
    <d v="2016-11-26T00:00:00"/>
    <x v="2"/>
    <x v="10"/>
    <x v="8"/>
    <x v="7"/>
    <x v="2"/>
    <x v="5"/>
    <s v="Mouse"/>
    <n v="1954.82"/>
    <n v="3"/>
    <n v="375.68"/>
  </r>
  <r>
    <d v="2016-11-26T00:00:00"/>
    <x v="2"/>
    <x v="10"/>
    <x v="9"/>
    <x v="2"/>
    <x v="2"/>
    <x v="6"/>
    <s v="Laser Copier"/>
    <n v="4323.7299999999996"/>
    <n v="2"/>
    <n v="1233.6600000000001"/>
  </r>
  <r>
    <d v="2016-11-27T00:00:00"/>
    <x v="2"/>
    <x v="10"/>
    <x v="2"/>
    <x v="9"/>
    <x v="2"/>
    <x v="6"/>
    <s v="Laser Copier"/>
    <n v="4068.7"/>
    <n v="9"/>
    <n v="488.72"/>
  </r>
  <r>
    <d v="2016-11-27T00:00:00"/>
    <x v="2"/>
    <x v="10"/>
    <x v="9"/>
    <x v="9"/>
    <x v="1"/>
    <x v="8"/>
    <s v="Printer Paper"/>
    <n v="844.81"/>
    <n v="3"/>
    <n v="106.04"/>
  </r>
  <r>
    <d v="2016-11-27T00:00:00"/>
    <x v="2"/>
    <x v="10"/>
    <x v="5"/>
    <x v="8"/>
    <x v="0"/>
    <x v="2"/>
    <s v="Study Table"/>
    <n v="3779.99"/>
    <n v="5"/>
    <n v="519.35"/>
  </r>
  <r>
    <d v="2016-11-27T00:00:00"/>
    <x v="2"/>
    <x v="10"/>
    <x v="11"/>
    <x v="5"/>
    <x v="2"/>
    <x v="3"/>
    <s v="IP Phone"/>
    <n v="172.65"/>
    <n v="4"/>
    <n v="30.69"/>
  </r>
  <r>
    <d v="2016-11-28T00:00:00"/>
    <x v="2"/>
    <x v="10"/>
    <x v="9"/>
    <x v="7"/>
    <x v="2"/>
    <x v="5"/>
    <s v="Mouse"/>
    <n v="685.85"/>
    <n v="2"/>
    <n v="61.15"/>
  </r>
  <r>
    <d v="2016-11-28T00:00:00"/>
    <x v="2"/>
    <x v="10"/>
    <x v="7"/>
    <x v="6"/>
    <x v="1"/>
    <x v="11"/>
    <s v="Drawer Unit"/>
    <n v="2031.75"/>
    <n v="4"/>
    <n v="582.37"/>
  </r>
  <r>
    <d v="2016-11-28T00:00:00"/>
    <x v="2"/>
    <x v="10"/>
    <x v="5"/>
    <x v="8"/>
    <x v="1"/>
    <x v="8"/>
    <s v="Printer Paper"/>
    <n v="4151.21"/>
    <n v="3"/>
    <n v="347.15"/>
  </r>
  <r>
    <d v="2016-11-28T00:00:00"/>
    <x v="2"/>
    <x v="10"/>
    <x v="0"/>
    <x v="2"/>
    <x v="2"/>
    <x v="5"/>
    <s v="Keyboard"/>
    <n v="1795.84"/>
    <n v="9"/>
    <n v="511.71"/>
  </r>
  <r>
    <d v="2016-11-29T00:00:00"/>
    <x v="2"/>
    <x v="10"/>
    <x v="10"/>
    <x v="9"/>
    <x v="0"/>
    <x v="10"/>
    <s v="Metal Bookcase"/>
    <n v="174.3"/>
    <n v="4"/>
    <n v="15.66"/>
  </r>
  <r>
    <d v="2016-11-30T00:00:00"/>
    <x v="2"/>
    <x v="10"/>
    <x v="10"/>
    <x v="0"/>
    <x v="0"/>
    <x v="4"/>
    <s v="Office Chair"/>
    <n v="3826.62"/>
    <n v="4"/>
    <n v="761.62"/>
  </r>
  <r>
    <d v="2016-11-30T00:00:00"/>
    <x v="2"/>
    <x v="10"/>
    <x v="8"/>
    <x v="7"/>
    <x v="1"/>
    <x v="9"/>
    <s v="Binder Pack"/>
    <n v="2937.9"/>
    <n v="10"/>
    <n v="868.26"/>
  </r>
  <r>
    <d v="2016-12-01T00:00:00"/>
    <x v="2"/>
    <x v="11"/>
    <x v="4"/>
    <x v="0"/>
    <x v="1"/>
    <x v="7"/>
    <s v="Sketch Kit"/>
    <n v="655.46"/>
    <n v="10"/>
    <n v="37.659999999999997"/>
  </r>
  <r>
    <d v="2016-12-01T00:00:00"/>
    <x v="2"/>
    <x v="11"/>
    <x v="6"/>
    <x v="1"/>
    <x v="1"/>
    <x v="9"/>
    <s v="Ring Binder"/>
    <n v="1028.1600000000001"/>
    <n v="5"/>
    <n v="13.79"/>
  </r>
  <r>
    <d v="2016-12-01T00:00:00"/>
    <x v="2"/>
    <x v="11"/>
    <x v="4"/>
    <x v="0"/>
    <x v="0"/>
    <x v="0"/>
    <s v="Wall Decor"/>
    <n v="4658.05"/>
    <n v="3"/>
    <n v="1335.19"/>
  </r>
  <r>
    <d v="2016-12-02T00:00:00"/>
    <x v="2"/>
    <x v="11"/>
    <x v="10"/>
    <x v="8"/>
    <x v="1"/>
    <x v="1"/>
    <s v="Heater"/>
    <n v="2255.91"/>
    <n v="6"/>
    <n v="595.28"/>
  </r>
  <r>
    <d v="2016-12-03T00:00:00"/>
    <x v="2"/>
    <x v="11"/>
    <x v="9"/>
    <x v="9"/>
    <x v="0"/>
    <x v="10"/>
    <s v="Metal Bookcase"/>
    <n v="1635.15"/>
    <n v="5"/>
    <n v="35.57"/>
  </r>
  <r>
    <d v="2016-12-04T00:00:00"/>
    <x v="2"/>
    <x v="11"/>
    <x v="11"/>
    <x v="7"/>
    <x v="0"/>
    <x v="10"/>
    <s v="Metal Bookcase"/>
    <n v="2673.35"/>
    <n v="6"/>
    <n v="556.25"/>
  </r>
  <r>
    <d v="2016-12-06T00:00:00"/>
    <x v="2"/>
    <x v="11"/>
    <x v="0"/>
    <x v="3"/>
    <x v="1"/>
    <x v="1"/>
    <s v="Air Cleaner"/>
    <n v="1170.98"/>
    <n v="10"/>
    <n v="321.37"/>
  </r>
  <r>
    <d v="2016-12-07T00:00:00"/>
    <x v="2"/>
    <x v="11"/>
    <x v="4"/>
    <x v="6"/>
    <x v="0"/>
    <x v="0"/>
    <s v="Desk Lamp"/>
    <n v="3806.24"/>
    <n v="9"/>
    <n v="480.96"/>
  </r>
  <r>
    <d v="2016-12-07T00:00:00"/>
    <x v="2"/>
    <x v="11"/>
    <x v="2"/>
    <x v="3"/>
    <x v="2"/>
    <x v="6"/>
    <s v="Laser Copier"/>
    <n v="1374.03"/>
    <n v="4"/>
    <n v="142.57"/>
  </r>
  <r>
    <d v="2016-12-09T00:00:00"/>
    <x v="2"/>
    <x v="11"/>
    <x v="6"/>
    <x v="5"/>
    <x v="2"/>
    <x v="6"/>
    <s v="Laser Copier"/>
    <n v="2871.61"/>
    <n v="10"/>
    <n v="854.55"/>
  </r>
  <r>
    <d v="2016-12-10T00:00:00"/>
    <x v="2"/>
    <x v="11"/>
    <x v="3"/>
    <x v="8"/>
    <x v="2"/>
    <x v="3"/>
    <s v="IP Phone"/>
    <n v="1503.5"/>
    <n v="3"/>
    <n v="360.43"/>
  </r>
  <r>
    <d v="2016-12-10T00:00:00"/>
    <x v="2"/>
    <x v="11"/>
    <x v="9"/>
    <x v="5"/>
    <x v="1"/>
    <x v="11"/>
    <s v="Storage Box"/>
    <n v="4265.91"/>
    <n v="5"/>
    <n v="404.36"/>
  </r>
  <r>
    <d v="2016-12-11T00:00:00"/>
    <x v="2"/>
    <x v="11"/>
    <x v="8"/>
    <x v="3"/>
    <x v="2"/>
    <x v="5"/>
    <s v="Keyboard"/>
    <n v="3126.34"/>
    <n v="1"/>
    <n v="709.89"/>
  </r>
  <r>
    <d v="2016-12-11T00:00:00"/>
    <x v="2"/>
    <x v="11"/>
    <x v="9"/>
    <x v="9"/>
    <x v="1"/>
    <x v="11"/>
    <s v="Drawer Unit"/>
    <n v="3953.52"/>
    <n v="9"/>
    <n v="686.82"/>
  </r>
  <r>
    <d v="2016-12-13T00:00:00"/>
    <x v="2"/>
    <x v="11"/>
    <x v="10"/>
    <x v="6"/>
    <x v="0"/>
    <x v="2"/>
    <s v="Conference Table"/>
    <n v="190.69"/>
    <n v="5"/>
    <n v="12.78"/>
  </r>
  <r>
    <d v="2016-12-13T00:00:00"/>
    <x v="2"/>
    <x v="11"/>
    <x v="7"/>
    <x v="5"/>
    <x v="2"/>
    <x v="3"/>
    <s v="Smartphone"/>
    <n v="1205.93"/>
    <n v="3"/>
    <n v="302.01"/>
  </r>
  <r>
    <d v="2016-12-13T00:00:00"/>
    <x v="2"/>
    <x v="11"/>
    <x v="8"/>
    <x v="7"/>
    <x v="2"/>
    <x v="5"/>
    <s v="USB Drive"/>
    <n v="2026.51"/>
    <n v="3"/>
    <n v="191.75"/>
  </r>
  <r>
    <d v="2016-12-14T00:00:00"/>
    <x v="2"/>
    <x v="11"/>
    <x v="9"/>
    <x v="3"/>
    <x v="0"/>
    <x v="2"/>
    <s v="Study Table"/>
    <n v="894.15"/>
    <n v="10"/>
    <n v="42.2"/>
  </r>
  <r>
    <d v="2016-12-15T00:00:00"/>
    <x v="2"/>
    <x v="11"/>
    <x v="7"/>
    <x v="4"/>
    <x v="2"/>
    <x v="3"/>
    <s v="Smartphone"/>
    <n v="2320.17"/>
    <n v="4"/>
    <n v="682.09"/>
  </r>
  <r>
    <d v="2016-12-15T00:00:00"/>
    <x v="2"/>
    <x v="11"/>
    <x v="7"/>
    <x v="6"/>
    <x v="0"/>
    <x v="10"/>
    <s v="Wooden Bookcase"/>
    <n v="4431.93"/>
    <n v="3"/>
    <n v="141.41999999999999"/>
  </r>
  <r>
    <d v="2016-12-15T00:00:00"/>
    <x v="2"/>
    <x v="11"/>
    <x v="8"/>
    <x v="3"/>
    <x v="2"/>
    <x v="3"/>
    <s v="IP Phone"/>
    <n v="4661.3100000000004"/>
    <n v="9"/>
    <n v="364.06"/>
  </r>
  <r>
    <d v="2016-12-16T00:00:00"/>
    <x v="2"/>
    <x v="11"/>
    <x v="8"/>
    <x v="0"/>
    <x v="2"/>
    <x v="6"/>
    <s v="Inkjet Copier"/>
    <n v="4331"/>
    <n v="2"/>
    <n v="1180.02"/>
  </r>
  <r>
    <d v="2016-12-17T00:00:00"/>
    <x v="2"/>
    <x v="11"/>
    <x v="1"/>
    <x v="6"/>
    <x v="1"/>
    <x v="9"/>
    <s v="Binder Pack"/>
    <n v="3653.49"/>
    <n v="1"/>
    <n v="449.71"/>
  </r>
  <r>
    <d v="2016-12-17T00:00:00"/>
    <x v="2"/>
    <x v="11"/>
    <x v="2"/>
    <x v="5"/>
    <x v="0"/>
    <x v="10"/>
    <s v="Metal Bookcase"/>
    <n v="4507.79"/>
    <n v="9"/>
    <n v="287.82"/>
  </r>
  <r>
    <d v="2016-12-17T00:00:00"/>
    <x v="2"/>
    <x v="11"/>
    <x v="3"/>
    <x v="6"/>
    <x v="1"/>
    <x v="11"/>
    <s v="Drawer Unit"/>
    <n v="2872.47"/>
    <n v="3"/>
    <n v="277.98"/>
  </r>
  <r>
    <d v="2016-12-17T00:00:00"/>
    <x v="2"/>
    <x v="11"/>
    <x v="7"/>
    <x v="0"/>
    <x v="0"/>
    <x v="0"/>
    <s v="Wall Decor"/>
    <n v="234.13"/>
    <n v="4"/>
    <n v="56.06"/>
  </r>
  <r>
    <d v="2016-12-18T00:00:00"/>
    <x v="2"/>
    <x v="11"/>
    <x v="2"/>
    <x v="0"/>
    <x v="0"/>
    <x v="4"/>
    <s v="Executive Chair"/>
    <n v="3586.35"/>
    <n v="4"/>
    <n v="394.12"/>
  </r>
  <r>
    <d v="2016-12-18T00:00:00"/>
    <x v="2"/>
    <x v="11"/>
    <x v="4"/>
    <x v="1"/>
    <x v="2"/>
    <x v="3"/>
    <s v="IP Phone"/>
    <n v="58.37"/>
    <n v="2"/>
    <n v="15.82"/>
  </r>
  <r>
    <d v="2016-12-19T00:00:00"/>
    <x v="2"/>
    <x v="11"/>
    <x v="0"/>
    <x v="7"/>
    <x v="0"/>
    <x v="10"/>
    <s v="Wooden Bookcase"/>
    <n v="89.82"/>
    <n v="8"/>
    <n v="6.18"/>
  </r>
  <r>
    <d v="2016-12-20T00:00:00"/>
    <x v="2"/>
    <x v="11"/>
    <x v="10"/>
    <x v="0"/>
    <x v="0"/>
    <x v="4"/>
    <s v="Ergonomic Chair"/>
    <n v="4551.1099999999997"/>
    <n v="7"/>
    <n v="1244.52"/>
  </r>
  <r>
    <d v="2016-12-20T00:00:00"/>
    <x v="2"/>
    <x v="11"/>
    <x v="11"/>
    <x v="1"/>
    <x v="2"/>
    <x v="6"/>
    <s v="Inkjet Copier"/>
    <n v="189.41"/>
    <n v="5"/>
    <n v="23.18"/>
  </r>
  <r>
    <d v="2016-12-21T00:00:00"/>
    <x v="2"/>
    <x v="11"/>
    <x v="9"/>
    <x v="7"/>
    <x v="0"/>
    <x v="0"/>
    <s v="Desk Lamp"/>
    <n v="3484"/>
    <n v="2"/>
    <n v="64.34"/>
  </r>
  <r>
    <d v="2016-12-21T00:00:00"/>
    <x v="2"/>
    <x v="11"/>
    <x v="10"/>
    <x v="2"/>
    <x v="2"/>
    <x v="3"/>
    <s v="Smartphone"/>
    <n v="3466.52"/>
    <n v="7"/>
    <n v="289.47000000000003"/>
  </r>
  <r>
    <d v="2016-12-22T00:00:00"/>
    <x v="2"/>
    <x v="11"/>
    <x v="0"/>
    <x v="6"/>
    <x v="2"/>
    <x v="3"/>
    <s v="Smartphone"/>
    <n v="180.19"/>
    <n v="4"/>
    <n v="35.06"/>
  </r>
  <r>
    <d v="2016-12-22T00:00:00"/>
    <x v="2"/>
    <x v="11"/>
    <x v="3"/>
    <x v="8"/>
    <x v="2"/>
    <x v="3"/>
    <s v="IP Phone"/>
    <n v="2322.4899999999998"/>
    <n v="9"/>
    <n v="347.72"/>
  </r>
  <r>
    <d v="2016-12-22T00:00:00"/>
    <x v="2"/>
    <x v="11"/>
    <x v="5"/>
    <x v="9"/>
    <x v="1"/>
    <x v="7"/>
    <s v="Color Set"/>
    <n v="3055.24"/>
    <n v="10"/>
    <n v="370.76"/>
  </r>
  <r>
    <d v="2016-12-22T00:00:00"/>
    <x v="2"/>
    <x v="11"/>
    <x v="6"/>
    <x v="7"/>
    <x v="2"/>
    <x v="5"/>
    <s v="Keyboard"/>
    <n v="4298.5"/>
    <n v="7"/>
    <n v="691.18"/>
  </r>
  <r>
    <d v="2016-12-23T00:00:00"/>
    <x v="2"/>
    <x v="11"/>
    <x v="2"/>
    <x v="7"/>
    <x v="2"/>
    <x v="3"/>
    <s v="Smartphone"/>
    <n v="1337.52"/>
    <n v="6"/>
    <n v="27.94"/>
  </r>
  <r>
    <d v="2016-12-24T00:00:00"/>
    <x v="2"/>
    <x v="11"/>
    <x v="3"/>
    <x v="6"/>
    <x v="2"/>
    <x v="5"/>
    <s v="Keyboard"/>
    <n v="882.67"/>
    <n v="4"/>
    <n v="215.78"/>
  </r>
  <r>
    <d v="2016-12-25T00:00:00"/>
    <x v="2"/>
    <x v="11"/>
    <x v="6"/>
    <x v="7"/>
    <x v="1"/>
    <x v="1"/>
    <s v="Heater"/>
    <n v="4067.05"/>
    <n v="7"/>
    <n v="213.67"/>
  </r>
  <r>
    <d v="2016-12-26T00:00:00"/>
    <x v="2"/>
    <x v="11"/>
    <x v="5"/>
    <x v="2"/>
    <x v="2"/>
    <x v="5"/>
    <s v="Keyboard"/>
    <n v="3337.58"/>
    <n v="7"/>
    <n v="955.77"/>
  </r>
  <r>
    <d v="2016-12-27T00:00:00"/>
    <x v="2"/>
    <x v="11"/>
    <x v="5"/>
    <x v="2"/>
    <x v="1"/>
    <x v="1"/>
    <s v="Heater"/>
    <n v="110.28"/>
    <n v="10"/>
    <n v="18.12"/>
  </r>
  <r>
    <d v="2016-12-28T00:00:00"/>
    <x v="2"/>
    <x v="11"/>
    <x v="6"/>
    <x v="4"/>
    <x v="1"/>
    <x v="1"/>
    <s v="Heater"/>
    <n v="1596.93"/>
    <n v="7"/>
    <n v="87.97"/>
  </r>
  <r>
    <d v="2016-12-28T00:00:00"/>
    <x v="2"/>
    <x v="11"/>
    <x v="9"/>
    <x v="6"/>
    <x v="0"/>
    <x v="4"/>
    <s v="Office Chair"/>
    <n v="2228.8200000000002"/>
    <n v="5"/>
    <n v="386.28"/>
  </r>
  <r>
    <d v="2016-12-29T00:00:00"/>
    <x v="2"/>
    <x v="11"/>
    <x v="9"/>
    <x v="4"/>
    <x v="2"/>
    <x v="5"/>
    <s v="Mouse"/>
    <n v="1625.09"/>
    <n v="2"/>
    <n v="486.92"/>
  </r>
  <r>
    <d v="2016-12-30T00:00:00"/>
    <x v="2"/>
    <x v="11"/>
    <x v="8"/>
    <x v="8"/>
    <x v="0"/>
    <x v="0"/>
    <s v="Wall Decor"/>
    <n v="3199.65"/>
    <n v="6"/>
    <n v="429.19"/>
  </r>
  <r>
    <d v="2016-12-31T00:00:00"/>
    <x v="2"/>
    <x v="11"/>
    <x v="9"/>
    <x v="6"/>
    <x v="1"/>
    <x v="9"/>
    <s v="Binder Pack"/>
    <n v="3453.15"/>
    <n v="9"/>
    <n v="590.14"/>
  </r>
  <r>
    <d v="2016-12-31T00:00:00"/>
    <x v="2"/>
    <x v="11"/>
    <x v="7"/>
    <x v="7"/>
    <x v="2"/>
    <x v="5"/>
    <s v="USB Drive"/>
    <n v="2831.26"/>
    <n v="3"/>
    <n v="432.48"/>
  </r>
  <r>
    <d v="2017-01-01T00:00:00"/>
    <x v="3"/>
    <x v="0"/>
    <x v="4"/>
    <x v="6"/>
    <x v="0"/>
    <x v="4"/>
    <s v="Office Chair"/>
    <n v="951.08"/>
    <n v="7"/>
    <n v="219.28"/>
  </r>
  <r>
    <d v="2017-01-01T00:00:00"/>
    <x v="3"/>
    <x v="0"/>
    <x v="11"/>
    <x v="8"/>
    <x v="2"/>
    <x v="5"/>
    <s v="Mouse"/>
    <n v="3828.99"/>
    <n v="5"/>
    <n v="48.29"/>
  </r>
  <r>
    <d v="2017-01-02T00:00:00"/>
    <x v="3"/>
    <x v="0"/>
    <x v="8"/>
    <x v="6"/>
    <x v="0"/>
    <x v="0"/>
    <s v="Wall Decor"/>
    <n v="4587.03"/>
    <n v="10"/>
    <n v="632.15"/>
  </r>
  <r>
    <d v="2017-01-03T00:00:00"/>
    <x v="3"/>
    <x v="0"/>
    <x v="4"/>
    <x v="9"/>
    <x v="2"/>
    <x v="6"/>
    <s v="Laser Copier"/>
    <n v="649.42999999999995"/>
    <n v="4"/>
    <n v="175.06"/>
  </r>
  <r>
    <d v="2017-01-03T00:00:00"/>
    <x v="3"/>
    <x v="0"/>
    <x v="0"/>
    <x v="8"/>
    <x v="0"/>
    <x v="10"/>
    <s v="Wooden Bookcase"/>
    <n v="4053.91"/>
    <n v="2"/>
    <n v="1161.47"/>
  </r>
  <r>
    <d v="2017-01-03T00:00:00"/>
    <x v="3"/>
    <x v="0"/>
    <x v="3"/>
    <x v="0"/>
    <x v="0"/>
    <x v="2"/>
    <s v="Study Table"/>
    <n v="3152.11"/>
    <n v="7"/>
    <n v="46.87"/>
  </r>
  <r>
    <d v="2017-01-03T00:00:00"/>
    <x v="3"/>
    <x v="0"/>
    <x v="5"/>
    <x v="6"/>
    <x v="2"/>
    <x v="3"/>
    <s v="Smartphone"/>
    <n v="99.03"/>
    <n v="3"/>
    <n v="19.2"/>
  </r>
  <r>
    <d v="2017-01-04T00:00:00"/>
    <x v="3"/>
    <x v="0"/>
    <x v="11"/>
    <x v="3"/>
    <x v="0"/>
    <x v="2"/>
    <s v="Study Table"/>
    <n v="551.58000000000004"/>
    <n v="6"/>
    <n v="35.19"/>
  </r>
  <r>
    <d v="2017-01-05T00:00:00"/>
    <x v="3"/>
    <x v="0"/>
    <x v="2"/>
    <x v="2"/>
    <x v="0"/>
    <x v="10"/>
    <s v="Wooden Bookcase"/>
    <n v="4442.2700000000004"/>
    <n v="7"/>
    <n v="1308.18"/>
  </r>
  <r>
    <d v="2017-01-05T00:00:00"/>
    <x v="3"/>
    <x v="0"/>
    <x v="10"/>
    <x v="1"/>
    <x v="2"/>
    <x v="5"/>
    <s v="Mouse"/>
    <n v="2958.16"/>
    <n v="5"/>
    <n v="275.05"/>
  </r>
  <r>
    <d v="2017-01-05T00:00:00"/>
    <x v="3"/>
    <x v="0"/>
    <x v="3"/>
    <x v="0"/>
    <x v="0"/>
    <x v="10"/>
    <s v="Metal Bookcase"/>
    <n v="130.69999999999999"/>
    <n v="6"/>
    <n v="7.47"/>
  </r>
  <r>
    <d v="2017-01-05T00:00:00"/>
    <x v="3"/>
    <x v="0"/>
    <x v="7"/>
    <x v="3"/>
    <x v="2"/>
    <x v="3"/>
    <s v="IP Phone"/>
    <n v="205.57"/>
    <n v="6"/>
    <n v="59.5"/>
  </r>
  <r>
    <d v="2017-01-06T00:00:00"/>
    <x v="3"/>
    <x v="0"/>
    <x v="11"/>
    <x v="4"/>
    <x v="2"/>
    <x v="5"/>
    <s v="USB Drive"/>
    <n v="4524.05"/>
    <n v="9"/>
    <n v="536.55999999999995"/>
  </r>
  <r>
    <d v="2017-01-06T00:00:00"/>
    <x v="3"/>
    <x v="0"/>
    <x v="5"/>
    <x v="8"/>
    <x v="0"/>
    <x v="4"/>
    <s v="Office Chair"/>
    <n v="1115.76"/>
    <n v="4"/>
    <n v="275.37"/>
  </r>
  <r>
    <d v="2017-01-08T00:00:00"/>
    <x v="3"/>
    <x v="0"/>
    <x v="4"/>
    <x v="2"/>
    <x v="2"/>
    <x v="6"/>
    <s v="Inkjet Copier"/>
    <n v="2068.8200000000002"/>
    <n v="10"/>
    <n v="254.89"/>
  </r>
  <r>
    <d v="2017-01-08T00:00:00"/>
    <x v="3"/>
    <x v="0"/>
    <x v="1"/>
    <x v="1"/>
    <x v="2"/>
    <x v="5"/>
    <s v="USB Drive"/>
    <n v="1715.3"/>
    <n v="6"/>
    <n v="392.45"/>
  </r>
  <r>
    <d v="2017-01-09T00:00:00"/>
    <x v="3"/>
    <x v="0"/>
    <x v="2"/>
    <x v="4"/>
    <x v="0"/>
    <x v="0"/>
    <s v="Desk Lamp"/>
    <n v="4899.21"/>
    <n v="7"/>
    <n v="458.21"/>
  </r>
  <r>
    <d v="2017-01-11T00:00:00"/>
    <x v="3"/>
    <x v="0"/>
    <x v="3"/>
    <x v="7"/>
    <x v="1"/>
    <x v="1"/>
    <s v="Air Cleaner"/>
    <n v="1335.17"/>
    <n v="4"/>
    <n v="339.47"/>
  </r>
  <r>
    <d v="2017-01-11T00:00:00"/>
    <x v="3"/>
    <x v="0"/>
    <x v="10"/>
    <x v="5"/>
    <x v="2"/>
    <x v="5"/>
    <s v="Keyboard"/>
    <n v="156.97"/>
    <n v="2"/>
    <n v="19.14"/>
  </r>
  <r>
    <d v="2017-01-11T00:00:00"/>
    <x v="3"/>
    <x v="0"/>
    <x v="9"/>
    <x v="2"/>
    <x v="1"/>
    <x v="8"/>
    <s v="Printer Paper"/>
    <n v="1852.15"/>
    <n v="3"/>
    <n v="212.7"/>
  </r>
  <r>
    <d v="2017-01-11T00:00:00"/>
    <x v="3"/>
    <x v="0"/>
    <x v="4"/>
    <x v="8"/>
    <x v="1"/>
    <x v="7"/>
    <s v="Sketch Kit"/>
    <n v="4456.9399999999996"/>
    <n v="8"/>
    <n v="963.59"/>
  </r>
  <r>
    <d v="2017-01-12T00:00:00"/>
    <x v="3"/>
    <x v="0"/>
    <x v="10"/>
    <x v="4"/>
    <x v="1"/>
    <x v="8"/>
    <s v="A4 Paper Pack"/>
    <n v="2767.28"/>
    <n v="7"/>
    <n v="655.89"/>
  </r>
  <r>
    <d v="2017-01-13T00:00:00"/>
    <x v="3"/>
    <x v="0"/>
    <x v="5"/>
    <x v="8"/>
    <x v="0"/>
    <x v="2"/>
    <s v="Study Table"/>
    <n v="1752.44"/>
    <n v="6"/>
    <n v="144.81"/>
  </r>
  <r>
    <d v="2017-01-14T00:00:00"/>
    <x v="3"/>
    <x v="0"/>
    <x v="7"/>
    <x v="7"/>
    <x v="1"/>
    <x v="8"/>
    <s v="A4 Paper Pack"/>
    <n v="970.2"/>
    <n v="10"/>
    <n v="244.56"/>
  </r>
  <r>
    <d v="2017-01-14T00:00:00"/>
    <x v="3"/>
    <x v="0"/>
    <x v="1"/>
    <x v="5"/>
    <x v="0"/>
    <x v="0"/>
    <s v="Wall Decor"/>
    <n v="3423.57"/>
    <n v="2"/>
    <n v="929.54"/>
  </r>
  <r>
    <d v="2017-01-14T00:00:00"/>
    <x v="3"/>
    <x v="0"/>
    <x v="4"/>
    <x v="5"/>
    <x v="1"/>
    <x v="11"/>
    <s v="Storage Box"/>
    <n v="2412.66"/>
    <n v="10"/>
    <n v="390.91"/>
  </r>
  <r>
    <d v="2017-01-14T00:00:00"/>
    <x v="3"/>
    <x v="0"/>
    <x v="7"/>
    <x v="8"/>
    <x v="1"/>
    <x v="1"/>
    <s v="Heater"/>
    <n v="2342.9299999999998"/>
    <n v="10"/>
    <n v="70.44"/>
  </r>
  <r>
    <d v="2017-01-15T00:00:00"/>
    <x v="3"/>
    <x v="0"/>
    <x v="10"/>
    <x v="9"/>
    <x v="2"/>
    <x v="5"/>
    <s v="Keyboard"/>
    <n v="4613.8500000000004"/>
    <n v="5"/>
    <n v="2.2799999999999998"/>
  </r>
  <r>
    <d v="2017-01-15T00:00:00"/>
    <x v="3"/>
    <x v="0"/>
    <x v="1"/>
    <x v="8"/>
    <x v="2"/>
    <x v="3"/>
    <s v="Smartphone"/>
    <n v="194.01"/>
    <n v="8"/>
    <n v="42.16"/>
  </r>
  <r>
    <d v="2017-01-15T00:00:00"/>
    <x v="3"/>
    <x v="0"/>
    <x v="9"/>
    <x v="5"/>
    <x v="0"/>
    <x v="0"/>
    <s v="Desk Lamp"/>
    <n v="4799.32"/>
    <n v="9"/>
    <n v="765.83"/>
  </r>
  <r>
    <d v="2017-01-15T00:00:00"/>
    <x v="3"/>
    <x v="0"/>
    <x v="6"/>
    <x v="0"/>
    <x v="2"/>
    <x v="5"/>
    <s v="USB Drive"/>
    <n v="3194.57"/>
    <n v="1"/>
    <n v="232.72"/>
  </r>
  <r>
    <d v="2017-01-16T00:00:00"/>
    <x v="3"/>
    <x v="0"/>
    <x v="6"/>
    <x v="7"/>
    <x v="1"/>
    <x v="7"/>
    <s v="Sketch Kit"/>
    <n v="2071.9499999999998"/>
    <n v="4"/>
    <n v="548.41999999999996"/>
  </r>
  <r>
    <d v="2017-01-16T00:00:00"/>
    <x v="3"/>
    <x v="0"/>
    <x v="7"/>
    <x v="0"/>
    <x v="1"/>
    <x v="11"/>
    <s v="Drawer Unit"/>
    <n v="909.89"/>
    <n v="9"/>
    <n v="94.9"/>
  </r>
  <r>
    <d v="2017-01-17T00:00:00"/>
    <x v="3"/>
    <x v="0"/>
    <x v="7"/>
    <x v="0"/>
    <x v="2"/>
    <x v="6"/>
    <s v="Laser Copier"/>
    <n v="4920.8599999999997"/>
    <n v="10"/>
    <n v="934.63"/>
  </r>
  <r>
    <d v="2017-01-17T00:00:00"/>
    <x v="3"/>
    <x v="0"/>
    <x v="9"/>
    <x v="2"/>
    <x v="1"/>
    <x v="9"/>
    <s v="Ring Binder"/>
    <n v="2334.35"/>
    <n v="8"/>
    <n v="699.52"/>
  </r>
  <r>
    <d v="2017-01-18T00:00:00"/>
    <x v="3"/>
    <x v="0"/>
    <x v="6"/>
    <x v="3"/>
    <x v="2"/>
    <x v="3"/>
    <s v="Smartphone"/>
    <n v="2948.44"/>
    <n v="1"/>
    <n v="314.23"/>
  </r>
  <r>
    <d v="2017-01-18T00:00:00"/>
    <x v="3"/>
    <x v="0"/>
    <x v="8"/>
    <x v="5"/>
    <x v="1"/>
    <x v="1"/>
    <s v="Heater"/>
    <n v="796.25"/>
    <n v="2"/>
    <n v="39.4"/>
  </r>
  <r>
    <d v="2017-01-18T00:00:00"/>
    <x v="3"/>
    <x v="0"/>
    <x v="0"/>
    <x v="2"/>
    <x v="2"/>
    <x v="5"/>
    <s v="USB Drive"/>
    <n v="452.41"/>
    <n v="2"/>
    <n v="75.83"/>
  </r>
  <r>
    <d v="2017-01-21T00:00:00"/>
    <x v="3"/>
    <x v="0"/>
    <x v="0"/>
    <x v="3"/>
    <x v="2"/>
    <x v="3"/>
    <s v="IP Phone"/>
    <n v="1426.67"/>
    <n v="10"/>
    <n v="109.41"/>
  </r>
  <r>
    <d v="2017-01-23T00:00:00"/>
    <x v="3"/>
    <x v="0"/>
    <x v="3"/>
    <x v="7"/>
    <x v="0"/>
    <x v="0"/>
    <s v="Desk Lamp"/>
    <n v="2191.0700000000002"/>
    <n v="7"/>
    <n v="520.75"/>
  </r>
  <r>
    <d v="2017-01-23T00:00:00"/>
    <x v="3"/>
    <x v="0"/>
    <x v="10"/>
    <x v="5"/>
    <x v="2"/>
    <x v="3"/>
    <s v="Smartphone"/>
    <n v="3369.36"/>
    <n v="3"/>
    <n v="561.63"/>
  </r>
  <r>
    <d v="2017-01-23T00:00:00"/>
    <x v="3"/>
    <x v="0"/>
    <x v="5"/>
    <x v="0"/>
    <x v="1"/>
    <x v="11"/>
    <s v="Storage Box"/>
    <n v="3200.19"/>
    <n v="5"/>
    <n v="229.42"/>
  </r>
  <r>
    <d v="2017-01-24T00:00:00"/>
    <x v="3"/>
    <x v="0"/>
    <x v="4"/>
    <x v="6"/>
    <x v="0"/>
    <x v="0"/>
    <s v="Wall Decor"/>
    <n v="638.95000000000005"/>
    <n v="5"/>
    <n v="111.17"/>
  </r>
  <r>
    <d v="2017-01-25T00:00:00"/>
    <x v="3"/>
    <x v="0"/>
    <x v="6"/>
    <x v="5"/>
    <x v="2"/>
    <x v="6"/>
    <s v="Laser Copier"/>
    <n v="1470.28"/>
    <n v="2"/>
    <n v="430.05"/>
  </r>
  <r>
    <d v="2017-01-26T00:00:00"/>
    <x v="3"/>
    <x v="0"/>
    <x v="8"/>
    <x v="8"/>
    <x v="1"/>
    <x v="1"/>
    <s v="Heater"/>
    <n v="3157.74"/>
    <n v="6"/>
    <n v="788.96"/>
  </r>
  <r>
    <d v="2017-01-26T00:00:00"/>
    <x v="3"/>
    <x v="0"/>
    <x v="10"/>
    <x v="8"/>
    <x v="0"/>
    <x v="2"/>
    <s v="Study Table"/>
    <n v="4004.73"/>
    <n v="7"/>
    <n v="83.66"/>
  </r>
  <r>
    <d v="2017-01-26T00:00:00"/>
    <x v="3"/>
    <x v="0"/>
    <x v="3"/>
    <x v="0"/>
    <x v="1"/>
    <x v="7"/>
    <s v="Color Set"/>
    <n v="2362.2199999999998"/>
    <n v="6"/>
    <n v="306.33999999999997"/>
  </r>
  <r>
    <d v="2017-01-29T00:00:00"/>
    <x v="3"/>
    <x v="0"/>
    <x v="8"/>
    <x v="6"/>
    <x v="1"/>
    <x v="11"/>
    <s v="Drawer Unit"/>
    <n v="618.51"/>
    <n v="8"/>
    <n v="76.099999999999994"/>
  </r>
  <r>
    <d v="2017-01-30T00:00:00"/>
    <x v="3"/>
    <x v="0"/>
    <x v="3"/>
    <x v="4"/>
    <x v="1"/>
    <x v="9"/>
    <s v="Binder Pack"/>
    <n v="2221.4899999999998"/>
    <n v="10"/>
    <n v="559.65"/>
  </r>
  <r>
    <d v="2017-01-31T00:00:00"/>
    <x v="3"/>
    <x v="0"/>
    <x v="9"/>
    <x v="5"/>
    <x v="2"/>
    <x v="3"/>
    <s v="IP Phone"/>
    <n v="4439.4399999999996"/>
    <n v="10"/>
    <n v="63.64"/>
  </r>
  <r>
    <d v="2017-01-31T00:00:00"/>
    <x v="3"/>
    <x v="0"/>
    <x v="4"/>
    <x v="4"/>
    <x v="0"/>
    <x v="10"/>
    <s v="Wooden Bookcase"/>
    <n v="1907.92"/>
    <n v="3"/>
    <n v="514.11"/>
  </r>
  <r>
    <d v="2017-01-31T00:00:00"/>
    <x v="3"/>
    <x v="0"/>
    <x v="1"/>
    <x v="1"/>
    <x v="2"/>
    <x v="3"/>
    <s v="Smartphone"/>
    <n v="1211.48"/>
    <n v="9"/>
    <n v="328.52"/>
  </r>
  <r>
    <d v="2017-02-01T00:00:00"/>
    <x v="3"/>
    <x v="1"/>
    <x v="0"/>
    <x v="2"/>
    <x v="2"/>
    <x v="5"/>
    <s v="Keyboard"/>
    <n v="1630.91"/>
    <n v="5"/>
    <n v="463.44"/>
  </r>
  <r>
    <d v="2017-02-02T00:00:00"/>
    <x v="3"/>
    <x v="1"/>
    <x v="2"/>
    <x v="1"/>
    <x v="1"/>
    <x v="8"/>
    <s v="Printer Paper"/>
    <n v="2944.65"/>
    <n v="5"/>
    <n v="857.52"/>
  </r>
  <r>
    <d v="2017-02-02T00:00:00"/>
    <x v="3"/>
    <x v="1"/>
    <x v="6"/>
    <x v="6"/>
    <x v="1"/>
    <x v="11"/>
    <s v="Storage Box"/>
    <n v="298.43"/>
    <n v="8"/>
    <n v="20.149999999999999"/>
  </r>
  <r>
    <d v="2017-02-05T00:00:00"/>
    <x v="3"/>
    <x v="1"/>
    <x v="7"/>
    <x v="8"/>
    <x v="0"/>
    <x v="0"/>
    <s v="Wall Decor"/>
    <n v="2901.99"/>
    <n v="10"/>
    <n v="776.7"/>
  </r>
  <r>
    <d v="2017-02-07T00:00:00"/>
    <x v="3"/>
    <x v="1"/>
    <x v="0"/>
    <x v="0"/>
    <x v="1"/>
    <x v="8"/>
    <s v="A4 Paper Pack"/>
    <n v="3540.34"/>
    <n v="9"/>
    <n v="1034.6400000000001"/>
  </r>
  <r>
    <d v="2017-02-07T00:00:00"/>
    <x v="3"/>
    <x v="1"/>
    <x v="9"/>
    <x v="8"/>
    <x v="2"/>
    <x v="3"/>
    <s v="IP Phone"/>
    <n v="2968.41"/>
    <n v="2"/>
    <n v="137.94999999999999"/>
  </r>
  <r>
    <d v="2017-02-07T00:00:00"/>
    <x v="3"/>
    <x v="1"/>
    <x v="4"/>
    <x v="7"/>
    <x v="1"/>
    <x v="1"/>
    <s v="Heater"/>
    <n v="2817.48"/>
    <n v="10"/>
    <n v="708.26"/>
  </r>
  <r>
    <d v="2017-02-09T00:00:00"/>
    <x v="3"/>
    <x v="1"/>
    <x v="2"/>
    <x v="3"/>
    <x v="2"/>
    <x v="3"/>
    <s v="Smartphone"/>
    <n v="3221.82"/>
    <n v="1"/>
    <n v="529.38"/>
  </r>
  <r>
    <d v="2017-02-09T00:00:00"/>
    <x v="3"/>
    <x v="1"/>
    <x v="8"/>
    <x v="8"/>
    <x v="0"/>
    <x v="4"/>
    <s v="Ergonomic Chair"/>
    <n v="2008.14"/>
    <n v="6"/>
    <n v="345.49"/>
  </r>
  <r>
    <d v="2017-02-10T00:00:00"/>
    <x v="3"/>
    <x v="1"/>
    <x v="11"/>
    <x v="3"/>
    <x v="1"/>
    <x v="9"/>
    <s v="Binder Pack"/>
    <n v="1905.46"/>
    <n v="10"/>
    <n v="341.98"/>
  </r>
  <r>
    <d v="2017-02-10T00:00:00"/>
    <x v="3"/>
    <x v="1"/>
    <x v="10"/>
    <x v="9"/>
    <x v="1"/>
    <x v="8"/>
    <s v="Printer Paper"/>
    <n v="694.28"/>
    <n v="10"/>
    <n v="28.74"/>
  </r>
  <r>
    <d v="2017-02-11T00:00:00"/>
    <x v="3"/>
    <x v="1"/>
    <x v="5"/>
    <x v="2"/>
    <x v="0"/>
    <x v="2"/>
    <s v="Conference Table"/>
    <n v="2482.84"/>
    <n v="2"/>
    <n v="696.92"/>
  </r>
  <r>
    <d v="2017-02-11T00:00:00"/>
    <x v="3"/>
    <x v="1"/>
    <x v="11"/>
    <x v="7"/>
    <x v="0"/>
    <x v="2"/>
    <s v="Conference Table"/>
    <n v="4250.96"/>
    <n v="7"/>
    <n v="301.14999999999998"/>
  </r>
  <r>
    <d v="2017-02-12T00:00:00"/>
    <x v="3"/>
    <x v="1"/>
    <x v="7"/>
    <x v="6"/>
    <x v="2"/>
    <x v="5"/>
    <s v="USB Drive"/>
    <n v="4998.63"/>
    <n v="9"/>
    <n v="1013.81"/>
  </r>
  <r>
    <d v="2017-02-12T00:00:00"/>
    <x v="3"/>
    <x v="1"/>
    <x v="2"/>
    <x v="9"/>
    <x v="0"/>
    <x v="0"/>
    <s v="Desk Lamp"/>
    <n v="2122.17"/>
    <n v="6"/>
    <n v="283.33"/>
  </r>
  <r>
    <d v="2017-02-14T00:00:00"/>
    <x v="3"/>
    <x v="1"/>
    <x v="9"/>
    <x v="1"/>
    <x v="1"/>
    <x v="7"/>
    <s v="Sketch Kit"/>
    <n v="1588.95"/>
    <n v="5"/>
    <n v="12.53"/>
  </r>
  <r>
    <d v="2017-02-14T00:00:00"/>
    <x v="3"/>
    <x v="1"/>
    <x v="3"/>
    <x v="6"/>
    <x v="2"/>
    <x v="5"/>
    <s v="Mouse"/>
    <n v="2463.58"/>
    <n v="5"/>
    <n v="647.74"/>
  </r>
  <r>
    <d v="2017-02-15T00:00:00"/>
    <x v="3"/>
    <x v="1"/>
    <x v="8"/>
    <x v="3"/>
    <x v="2"/>
    <x v="3"/>
    <s v="IP Phone"/>
    <n v="1490.65"/>
    <n v="9"/>
    <n v="251.23"/>
  </r>
  <r>
    <d v="2017-02-15T00:00:00"/>
    <x v="3"/>
    <x v="1"/>
    <x v="2"/>
    <x v="8"/>
    <x v="1"/>
    <x v="7"/>
    <s v="Sketch Kit"/>
    <n v="781.01"/>
    <n v="7"/>
    <n v="142.53"/>
  </r>
  <r>
    <d v="2017-02-15T00:00:00"/>
    <x v="3"/>
    <x v="1"/>
    <x v="9"/>
    <x v="7"/>
    <x v="0"/>
    <x v="2"/>
    <s v="Conference Table"/>
    <n v="1702.79"/>
    <n v="4"/>
    <n v="78.5"/>
  </r>
  <r>
    <d v="2017-02-16T00:00:00"/>
    <x v="3"/>
    <x v="1"/>
    <x v="10"/>
    <x v="8"/>
    <x v="1"/>
    <x v="7"/>
    <s v="Color Set"/>
    <n v="3050.44"/>
    <n v="6"/>
    <n v="689.53"/>
  </r>
  <r>
    <d v="2017-02-16T00:00:00"/>
    <x v="3"/>
    <x v="1"/>
    <x v="6"/>
    <x v="5"/>
    <x v="1"/>
    <x v="7"/>
    <s v="Color Set"/>
    <n v="1168.6199999999999"/>
    <n v="4"/>
    <n v="302.69"/>
  </r>
  <r>
    <d v="2017-02-17T00:00:00"/>
    <x v="3"/>
    <x v="1"/>
    <x v="7"/>
    <x v="3"/>
    <x v="1"/>
    <x v="7"/>
    <s v="Color Set"/>
    <n v="3625.84"/>
    <n v="6"/>
    <n v="48.53"/>
  </r>
  <r>
    <d v="2017-02-17T00:00:00"/>
    <x v="3"/>
    <x v="1"/>
    <x v="11"/>
    <x v="2"/>
    <x v="0"/>
    <x v="10"/>
    <s v="Wooden Bookcase"/>
    <n v="4311.2700000000004"/>
    <n v="4"/>
    <n v="1005.83"/>
  </r>
  <r>
    <d v="2017-02-18T00:00:00"/>
    <x v="3"/>
    <x v="1"/>
    <x v="2"/>
    <x v="4"/>
    <x v="1"/>
    <x v="9"/>
    <s v="Ring Binder"/>
    <n v="4979.0600000000004"/>
    <n v="5"/>
    <n v="748.91"/>
  </r>
  <r>
    <d v="2017-02-19T00:00:00"/>
    <x v="3"/>
    <x v="1"/>
    <x v="1"/>
    <x v="6"/>
    <x v="0"/>
    <x v="4"/>
    <s v="Executive Chair"/>
    <n v="755.44"/>
    <n v="1"/>
    <n v="150.49"/>
  </r>
  <r>
    <d v="2017-02-22T00:00:00"/>
    <x v="3"/>
    <x v="1"/>
    <x v="11"/>
    <x v="4"/>
    <x v="2"/>
    <x v="6"/>
    <s v="Laser Copier"/>
    <n v="2907.12"/>
    <n v="2"/>
    <n v="391.4"/>
  </r>
  <r>
    <d v="2017-02-22T00:00:00"/>
    <x v="3"/>
    <x v="1"/>
    <x v="6"/>
    <x v="8"/>
    <x v="2"/>
    <x v="5"/>
    <s v="USB Drive"/>
    <n v="1718.31"/>
    <n v="2"/>
    <n v="48.47"/>
  </r>
  <r>
    <d v="2017-02-22T00:00:00"/>
    <x v="3"/>
    <x v="1"/>
    <x v="8"/>
    <x v="4"/>
    <x v="2"/>
    <x v="6"/>
    <s v="Laser Copier"/>
    <n v="1489.96"/>
    <n v="2"/>
    <n v="232.83"/>
  </r>
  <r>
    <d v="2017-02-23T00:00:00"/>
    <x v="3"/>
    <x v="1"/>
    <x v="0"/>
    <x v="4"/>
    <x v="2"/>
    <x v="5"/>
    <s v="Mouse"/>
    <n v="485.24"/>
    <n v="1"/>
    <n v="108.1"/>
  </r>
  <r>
    <d v="2017-02-26T00:00:00"/>
    <x v="3"/>
    <x v="1"/>
    <x v="3"/>
    <x v="9"/>
    <x v="1"/>
    <x v="11"/>
    <s v="Drawer Unit"/>
    <n v="331.24"/>
    <n v="6"/>
    <n v="40.01"/>
  </r>
  <r>
    <d v="2017-02-26T00:00:00"/>
    <x v="3"/>
    <x v="1"/>
    <x v="7"/>
    <x v="4"/>
    <x v="2"/>
    <x v="5"/>
    <s v="USB Drive"/>
    <n v="1527.09"/>
    <n v="2"/>
    <n v="358.68"/>
  </r>
  <r>
    <d v="2017-02-28T00:00:00"/>
    <x v="3"/>
    <x v="1"/>
    <x v="7"/>
    <x v="8"/>
    <x v="0"/>
    <x v="0"/>
    <s v="Wall Decor"/>
    <n v="2204.42"/>
    <n v="5"/>
    <n v="400.19"/>
  </r>
  <r>
    <d v="2017-02-28T00:00:00"/>
    <x v="3"/>
    <x v="1"/>
    <x v="11"/>
    <x v="2"/>
    <x v="2"/>
    <x v="5"/>
    <s v="Mouse"/>
    <n v="2328.86"/>
    <n v="4"/>
    <n v="130.03"/>
  </r>
  <r>
    <d v="2017-02-28T00:00:00"/>
    <x v="3"/>
    <x v="1"/>
    <x v="6"/>
    <x v="7"/>
    <x v="1"/>
    <x v="9"/>
    <s v="Ring Binder"/>
    <n v="1515.49"/>
    <n v="5"/>
    <n v="165.56"/>
  </r>
  <r>
    <d v="2017-03-02T00:00:00"/>
    <x v="3"/>
    <x v="2"/>
    <x v="3"/>
    <x v="9"/>
    <x v="1"/>
    <x v="9"/>
    <s v="Ring Binder"/>
    <n v="4633.75"/>
    <n v="4"/>
    <n v="1139.9000000000001"/>
  </r>
  <r>
    <d v="2017-03-03T00:00:00"/>
    <x v="3"/>
    <x v="2"/>
    <x v="5"/>
    <x v="0"/>
    <x v="1"/>
    <x v="9"/>
    <s v="Binder Pack"/>
    <n v="4166.04"/>
    <n v="8"/>
    <n v="678.92"/>
  </r>
  <r>
    <d v="2017-03-04T00:00:00"/>
    <x v="3"/>
    <x v="2"/>
    <x v="2"/>
    <x v="2"/>
    <x v="2"/>
    <x v="5"/>
    <s v="USB Drive"/>
    <n v="1203.5999999999999"/>
    <n v="5"/>
    <n v="8.43"/>
  </r>
  <r>
    <d v="2017-03-04T00:00:00"/>
    <x v="3"/>
    <x v="2"/>
    <x v="1"/>
    <x v="9"/>
    <x v="2"/>
    <x v="3"/>
    <s v="Smartphone"/>
    <n v="4042.77"/>
    <n v="2"/>
    <n v="430.15"/>
  </r>
  <r>
    <d v="2017-03-05T00:00:00"/>
    <x v="3"/>
    <x v="2"/>
    <x v="0"/>
    <x v="6"/>
    <x v="2"/>
    <x v="5"/>
    <s v="Keyboard"/>
    <n v="3307.44"/>
    <n v="3"/>
    <n v="358.71"/>
  </r>
  <r>
    <d v="2017-03-05T00:00:00"/>
    <x v="3"/>
    <x v="2"/>
    <x v="11"/>
    <x v="3"/>
    <x v="2"/>
    <x v="6"/>
    <s v="Inkjet Copier"/>
    <n v="1838.07"/>
    <n v="9"/>
    <n v="314.82"/>
  </r>
  <r>
    <d v="2017-03-05T00:00:00"/>
    <x v="3"/>
    <x v="2"/>
    <x v="11"/>
    <x v="3"/>
    <x v="1"/>
    <x v="8"/>
    <s v="Printer Paper"/>
    <n v="2897.8"/>
    <n v="4"/>
    <n v="600.34"/>
  </r>
  <r>
    <d v="2017-03-06T00:00:00"/>
    <x v="3"/>
    <x v="2"/>
    <x v="0"/>
    <x v="9"/>
    <x v="1"/>
    <x v="7"/>
    <s v="Sketch Kit"/>
    <n v="4262.62"/>
    <n v="9"/>
    <n v="689.14"/>
  </r>
  <r>
    <d v="2017-03-07T00:00:00"/>
    <x v="3"/>
    <x v="2"/>
    <x v="2"/>
    <x v="0"/>
    <x v="1"/>
    <x v="7"/>
    <s v="Color Set"/>
    <n v="133.99"/>
    <n v="6"/>
    <n v="17.86"/>
  </r>
  <r>
    <d v="2017-03-10T00:00:00"/>
    <x v="3"/>
    <x v="2"/>
    <x v="8"/>
    <x v="5"/>
    <x v="0"/>
    <x v="0"/>
    <s v="Desk Lamp"/>
    <n v="3825.55"/>
    <n v="9"/>
    <n v="54.45"/>
  </r>
  <r>
    <d v="2017-03-10T00:00:00"/>
    <x v="3"/>
    <x v="2"/>
    <x v="1"/>
    <x v="5"/>
    <x v="0"/>
    <x v="10"/>
    <s v="Wooden Bookcase"/>
    <n v="4380.3"/>
    <n v="10"/>
    <n v="853.29"/>
  </r>
  <r>
    <d v="2017-03-10T00:00:00"/>
    <x v="3"/>
    <x v="2"/>
    <x v="5"/>
    <x v="2"/>
    <x v="0"/>
    <x v="0"/>
    <s v="Wall Decor"/>
    <n v="3887.54"/>
    <n v="10"/>
    <n v="795.41"/>
  </r>
  <r>
    <d v="2017-03-12T00:00:00"/>
    <x v="3"/>
    <x v="2"/>
    <x v="10"/>
    <x v="6"/>
    <x v="1"/>
    <x v="1"/>
    <s v="Air Cleaner"/>
    <n v="795.76"/>
    <n v="5"/>
    <n v="57.05"/>
  </r>
  <r>
    <d v="2017-03-12T00:00:00"/>
    <x v="3"/>
    <x v="2"/>
    <x v="9"/>
    <x v="2"/>
    <x v="2"/>
    <x v="6"/>
    <s v="Inkjet Copier"/>
    <n v="985.95"/>
    <n v="1"/>
    <n v="99.18"/>
  </r>
  <r>
    <d v="2017-03-14T00:00:00"/>
    <x v="3"/>
    <x v="2"/>
    <x v="8"/>
    <x v="6"/>
    <x v="1"/>
    <x v="11"/>
    <s v="Drawer Unit"/>
    <n v="1149.27"/>
    <n v="7"/>
    <n v="219.28"/>
  </r>
  <r>
    <d v="2017-03-15T00:00:00"/>
    <x v="3"/>
    <x v="2"/>
    <x v="6"/>
    <x v="5"/>
    <x v="2"/>
    <x v="5"/>
    <s v="Mouse"/>
    <n v="1678.2"/>
    <n v="3"/>
    <n v="299.98"/>
  </r>
  <r>
    <d v="2017-03-15T00:00:00"/>
    <x v="3"/>
    <x v="2"/>
    <x v="11"/>
    <x v="7"/>
    <x v="0"/>
    <x v="10"/>
    <s v="Metal Bookcase"/>
    <n v="1251.8800000000001"/>
    <n v="9"/>
    <n v="256.3"/>
  </r>
  <r>
    <d v="2017-03-15T00:00:00"/>
    <x v="3"/>
    <x v="2"/>
    <x v="3"/>
    <x v="3"/>
    <x v="0"/>
    <x v="4"/>
    <s v="Office Chair"/>
    <n v="720.39"/>
    <n v="6"/>
    <n v="193.72"/>
  </r>
  <r>
    <d v="2017-03-15T00:00:00"/>
    <x v="3"/>
    <x v="2"/>
    <x v="5"/>
    <x v="5"/>
    <x v="0"/>
    <x v="10"/>
    <s v="Metal Bookcase"/>
    <n v="2665.54"/>
    <n v="9"/>
    <n v="546.65"/>
  </r>
  <r>
    <d v="2017-03-15T00:00:00"/>
    <x v="3"/>
    <x v="2"/>
    <x v="4"/>
    <x v="6"/>
    <x v="0"/>
    <x v="0"/>
    <s v="Desk Lamp"/>
    <n v="2653.36"/>
    <n v="6"/>
    <n v="97.45"/>
  </r>
  <r>
    <d v="2017-03-15T00:00:00"/>
    <x v="3"/>
    <x v="2"/>
    <x v="10"/>
    <x v="1"/>
    <x v="0"/>
    <x v="0"/>
    <s v="Wall Decor"/>
    <n v="4585.3900000000003"/>
    <n v="7"/>
    <n v="691.08"/>
  </r>
  <r>
    <d v="2017-03-16T00:00:00"/>
    <x v="3"/>
    <x v="2"/>
    <x v="5"/>
    <x v="3"/>
    <x v="1"/>
    <x v="8"/>
    <s v="Printer Paper"/>
    <n v="4872.41"/>
    <n v="5"/>
    <n v="790.46"/>
  </r>
  <r>
    <d v="2017-03-16T00:00:00"/>
    <x v="3"/>
    <x v="2"/>
    <x v="2"/>
    <x v="6"/>
    <x v="2"/>
    <x v="5"/>
    <s v="Keyboard"/>
    <n v="2252.4"/>
    <n v="5"/>
    <n v="629.65"/>
  </r>
  <r>
    <d v="2017-03-17T00:00:00"/>
    <x v="3"/>
    <x v="2"/>
    <x v="2"/>
    <x v="0"/>
    <x v="1"/>
    <x v="9"/>
    <s v="Binder Pack"/>
    <n v="1450.18"/>
    <n v="2"/>
    <n v="163.02000000000001"/>
  </r>
  <r>
    <d v="2017-03-19T00:00:00"/>
    <x v="3"/>
    <x v="2"/>
    <x v="8"/>
    <x v="8"/>
    <x v="1"/>
    <x v="7"/>
    <s v="Sketch Kit"/>
    <n v="1037.8800000000001"/>
    <n v="2"/>
    <n v="4.99"/>
  </r>
  <r>
    <d v="2017-03-20T00:00:00"/>
    <x v="3"/>
    <x v="2"/>
    <x v="9"/>
    <x v="7"/>
    <x v="0"/>
    <x v="0"/>
    <s v="Wall Decor"/>
    <n v="263.41000000000003"/>
    <n v="6"/>
    <n v="29.93"/>
  </r>
  <r>
    <d v="2017-03-20T00:00:00"/>
    <x v="3"/>
    <x v="2"/>
    <x v="5"/>
    <x v="5"/>
    <x v="2"/>
    <x v="3"/>
    <s v="IP Phone"/>
    <n v="2867.59"/>
    <n v="1"/>
    <n v="425.9"/>
  </r>
  <r>
    <d v="2017-03-20T00:00:00"/>
    <x v="3"/>
    <x v="2"/>
    <x v="2"/>
    <x v="9"/>
    <x v="0"/>
    <x v="0"/>
    <s v="Desk Lamp"/>
    <n v="1248.17"/>
    <n v="5"/>
    <n v="289.64"/>
  </r>
  <r>
    <d v="2017-03-20T00:00:00"/>
    <x v="3"/>
    <x v="2"/>
    <x v="11"/>
    <x v="1"/>
    <x v="2"/>
    <x v="6"/>
    <s v="Laser Copier"/>
    <n v="4448.76"/>
    <n v="3"/>
    <n v="827.36"/>
  </r>
  <r>
    <d v="2017-03-21T00:00:00"/>
    <x v="3"/>
    <x v="2"/>
    <x v="8"/>
    <x v="4"/>
    <x v="1"/>
    <x v="8"/>
    <s v="A4 Paper Pack"/>
    <n v="1995.43"/>
    <n v="10"/>
    <n v="371.99"/>
  </r>
  <r>
    <d v="2017-03-24T00:00:00"/>
    <x v="3"/>
    <x v="2"/>
    <x v="1"/>
    <x v="2"/>
    <x v="0"/>
    <x v="0"/>
    <s v="Wall Decor"/>
    <n v="285.49"/>
    <n v="1"/>
    <n v="63.17"/>
  </r>
  <r>
    <d v="2017-03-26T00:00:00"/>
    <x v="3"/>
    <x v="2"/>
    <x v="10"/>
    <x v="7"/>
    <x v="1"/>
    <x v="9"/>
    <s v="Ring Binder"/>
    <n v="3722.86"/>
    <n v="1"/>
    <n v="1022.58"/>
  </r>
  <r>
    <d v="2017-03-26T00:00:00"/>
    <x v="3"/>
    <x v="2"/>
    <x v="1"/>
    <x v="9"/>
    <x v="1"/>
    <x v="7"/>
    <s v="Color Set"/>
    <n v="1629.61"/>
    <n v="9"/>
    <n v="477.82"/>
  </r>
  <r>
    <d v="2017-03-27T00:00:00"/>
    <x v="3"/>
    <x v="2"/>
    <x v="2"/>
    <x v="8"/>
    <x v="0"/>
    <x v="4"/>
    <s v="Executive Chair"/>
    <n v="20.329999999999998"/>
    <n v="3"/>
    <n v="4.0599999999999996"/>
  </r>
  <r>
    <d v="2017-03-27T00:00:00"/>
    <x v="3"/>
    <x v="2"/>
    <x v="4"/>
    <x v="0"/>
    <x v="2"/>
    <x v="5"/>
    <s v="Mouse"/>
    <n v="1100.8599999999999"/>
    <n v="2"/>
    <n v="324.54000000000002"/>
  </r>
  <r>
    <d v="2017-03-28T00:00:00"/>
    <x v="3"/>
    <x v="2"/>
    <x v="1"/>
    <x v="0"/>
    <x v="0"/>
    <x v="2"/>
    <s v="Conference Table"/>
    <n v="594.37"/>
    <n v="5"/>
    <n v="78.84"/>
  </r>
  <r>
    <d v="2017-03-28T00:00:00"/>
    <x v="3"/>
    <x v="2"/>
    <x v="6"/>
    <x v="9"/>
    <x v="1"/>
    <x v="7"/>
    <s v="Color Set"/>
    <n v="3135.19"/>
    <n v="5"/>
    <n v="921.65"/>
  </r>
  <r>
    <d v="2017-03-29T00:00:00"/>
    <x v="3"/>
    <x v="2"/>
    <x v="7"/>
    <x v="3"/>
    <x v="0"/>
    <x v="2"/>
    <s v="Study Table"/>
    <n v="4573.96"/>
    <n v="4"/>
    <n v="1261.28"/>
  </r>
  <r>
    <d v="2017-03-30T00:00:00"/>
    <x v="3"/>
    <x v="2"/>
    <x v="4"/>
    <x v="6"/>
    <x v="1"/>
    <x v="11"/>
    <s v="Storage Box"/>
    <n v="1327.33"/>
    <n v="3"/>
    <n v="44.81"/>
  </r>
  <r>
    <d v="2017-03-30T00:00:00"/>
    <x v="3"/>
    <x v="2"/>
    <x v="10"/>
    <x v="8"/>
    <x v="2"/>
    <x v="5"/>
    <s v="Keyboard"/>
    <n v="1319.94"/>
    <n v="8"/>
    <n v="369.59"/>
  </r>
  <r>
    <d v="2017-03-31T00:00:00"/>
    <x v="3"/>
    <x v="2"/>
    <x v="8"/>
    <x v="0"/>
    <x v="0"/>
    <x v="10"/>
    <s v="Wooden Bookcase"/>
    <n v="1022.7"/>
    <n v="7"/>
    <n v="149.41"/>
  </r>
  <r>
    <d v="2017-03-31T00:00:00"/>
    <x v="3"/>
    <x v="2"/>
    <x v="2"/>
    <x v="4"/>
    <x v="2"/>
    <x v="5"/>
    <s v="Keyboard"/>
    <n v="4663.5"/>
    <n v="5"/>
    <n v="718.32"/>
  </r>
  <r>
    <d v="2017-04-01T00:00:00"/>
    <x v="3"/>
    <x v="3"/>
    <x v="8"/>
    <x v="5"/>
    <x v="1"/>
    <x v="1"/>
    <s v="Air Cleaner"/>
    <n v="537.16999999999996"/>
    <n v="7"/>
    <n v="86.89"/>
  </r>
  <r>
    <d v="2017-04-01T00:00:00"/>
    <x v="3"/>
    <x v="3"/>
    <x v="3"/>
    <x v="8"/>
    <x v="1"/>
    <x v="7"/>
    <s v="Sketch Kit"/>
    <n v="286.39999999999998"/>
    <n v="6"/>
    <n v="55.57"/>
  </r>
  <r>
    <d v="2017-04-02T00:00:00"/>
    <x v="3"/>
    <x v="3"/>
    <x v="5"/>
    <x v="3"/>
    <x v="0"/>
    <x v="0"/>
    <s v="Wall Decor"/>
    <n v="275.70999999999998"/>
    <n v="6"/>
    <n v="46.05"/>
  </r>
  <r>
    <d v="2017-04-03T00:00:00"/>
    <x v="3"/>
    <x v="3"/>
    <x v="7"/>
    <x v="1"/>
    <x v="0"/>
    <x v="0"/>
    <s v="Wall Decor"/>
    <n v="4132.75"/>
    <n v="9"/>
    <n v="1093.1300000000001"/>
  </r>
  <r>
    <d v="2017-04-04T00:00:00"/>
    <x v="3"/>
    <x v="3"/>
    <x v="1"/>
    <x v="4"/>
    <x v="1"/>
    <x v="9"/>
    <s v="Binder Pack"/>
    <n v="2763.5"/>
    <n v="6"/>
    <n v="265.27999999999997"/>
  </r>
  <r>
    <d v="2017-04-04T00:00:00"/>
    <x v="3"/>
    <x v="3"/>
    <x v="4"/>
    <x v="2"/>
    <x v="2"/>
    <x v="6"/>
    <s v="Inkjet Copier"/>
    <n v="2580.9"/>
    <n v="2"/>
    <n v="683.41"/>
  </r>
  <r>
    <d v="2017-04-05T00:00:00"/>
    <x v="3"/>
    <x v="3"/>
    <x v="8"/>
    <x v="9"/>
    <x v="0"/>
    <x v="4"/>
    <s v="Ergonomic Chair"/>
    <n v="1160.6500000000001"/>
    <n v="3"/>
    <n v="130.66999999999999"/>
  </r>
  <r>
    <d v="2017-04-06T00:00:00"/>
    <x v="3"/>
    <x v="3"/>
    <x v="4"/>
    <x v="3"/>
    <x v="1"/>
    <x v="1"/>
    <s v="Air Cleaner"/>
    <n v="2878.15"/>
    <n v="9"/>
    <n v="17.420000000000002"/>
  </r>
  <r>
    <d v="2017-04-06T00:00:00"/>
    <x v="3"/>
    <x v="3"/>
    <x v="0"/>
    <x v="4"/>
    <x v="1"/>
    <x v="8"/>
    <s v="A4 Paper Pack"/>
    <n v="2364.87"/>
    <n v="5"/>
    <n v="295.32"/>
  </r>
  <r>
    <d v="2017-04-06T00:00:00"/>
    <x v="3"/>
    <x v="3"/>
    <x v="3"/>
    <x v="0"/>
    <x v="1"/>
    <x v="1"/>
    <s v="Air Cleaner"/>
    <n v="1513.55"/>
    <n v="9"/>
    <n v="301.8"/>
  </r>
  <r>
    <d v="2017-04-07T00:00:00"/>
    <x v="3"/>
    <x v="3"/>
    <x v="2"/>
    <x v="5"/>
    <x v="2"/>
    <x v="6"/>
    <s v="Inkjet Copier"/>
    <n v="1184.8599999999999"/>
    <n v="9"/>
    <n v="296.62"/>
  </r>
  <r>
    <d v="2017-04-08T00:00:00"/>
    <x v="3"/>
    <x v="3"/>
    <x v="8"/>
    <x v="3"/>
    <x v="2"/>
    <x v="6"/>
    <s v="Laser Copier"/>
    <n v="4378.1000000000004"/>
    <n v="10"/>
    <n v="991.25"/>
  </r>
  <r>
    <d v="2017-04-08T00:00:00"/>
    <x v="3"/>
    <x v="3"/>
    <x v="7"/>
    <x v="3"/>
    <x v="0"/>
    <x v="4"/>
    <s v="Office Chair"/>
    <n v="4343.99"/>
    <n v="7"/>
    <n v="960.05"/>
  </r>
  <r>
    <d v="2017-04-08T00:00:00"/>
    <x v="3"/>
    <x v="3"/>
    <x v="8"/>
    <x v="8"/>
    <x v="2"/>
    <x v="5"/>
    <s v="Keyboard"/>
    <n v="1176.05"/>
    <n v="9"/>
    <n v="343.16"/>
  </r>
  <r>
    <d v="2017-04-12T00:00:00"/>
    <x v="3"/>
    <x v="3"/>
    <x v="10"/>
    <x v="6"/>
    <x v="0"/>
    <x v="0"/>
    <s v="Desk Lamp"/>
    <n v="4647.16"/>
    <n v="7"/>
    <n v="1089.27"/>
  </r>
  <r>
    <d v="2017-04-12T00:00:00"/>
    <x v="3"/>
    <x v="3"/>
    <x v="9"/>
    <x v="7"/>
    <x v="0"/>
    <x v="0"/>
    <s v="Desk Lamp"/>
    <n v="4262.3900000000003"/>
    <n v="9"/>
    <n v="840.36"/>
  </r>
  <r>
    <d v="2017-04-12T00:00:00"/>
    <x v="3"/>
    <x v="3"/>
    <x v="2"/>
    <x v="5"/>
    <x v="1"/>
    <x v="7"/>
    <s v="Sketch Kit"/>
    <n v="2277.4"/>
    <n v="6"/>
    <n v="201.55"/>
  </r>
  <r>
    <d v="2017-04-12T00:00:00"/>
    <x v="3"/>
    <x v="3"/>
    <x v="1"/>
    <x v="6"/>
    <x v="2"/>
    <x v="5"/>
    <s v="Keyboard"/>
    <n v="4500.4399999999996"/>
    <n v="8"/>
    <n v="228.07"/>
  </r>
  <r>
    <d v="2017-04-12T00:00:00"/>
    <x v="3"/>
    <x v="3"/>
    <x v="3"/>
    <x v="5"/>
    <x v="2"/>
    <x v="3"/>
    <s v="IP Phone"/>
    <n v="3427.38"/>
    <n v="9"/>
    <n v="406.27"/>
  </r>
  <r>
    <d v="2017-04-12T00:00:00"/>
    <x v="3"/>
    <x v="3"/>
    <x v="11"/>
    <x v="9"/>
    <x v="0"/>
    <x v="4"/>
    <s v="Office Chair"/>
    <n v="4434.53"/>
    <n v="6"/>
    <n v="138.16"/>
  </r>
  <r>
    <d v="2017-04-13T00:00:00"/>
    <x v="3"/>
    <x v="3"/>
    <x v="7"/>
    <x v="8"/>
    <x v="2"/>
    <x v="3"/>
    <s v="Smartphone"/>
    <n v="4565.6000000000004"/>
    <n v="7"/>
    <n v="804.77"/>
  </r>
  <r>
    <d v="2017-04-14T00:00:00"/>
    <x v="3"/>
    <x v="3"/>
    <x v="9"/>
    <x v="3"/>
    <x v="2"/>
    <x v="5"/>
    <s v="Keyboard"/>
    <n v="4610.0200000000004"/>
    <n v="6"/>
    <n v="314.77999999999997"/>
  </r>
  <r>
    <d v="2017-04-14T00:00:00"/>
    <x v="3"/>
    <x v="3"/>
    <x v="10"/>
    <x v="2"/>
    <x v="1"/>
    <x v="8"/>
    <s v="A4 Paper Pack"/>
    <n v="1014.03"/>
    <n v="5"/>
    <n v="302.57"/>
  </r>
  <r>
    <d v="2017-04-14T00:00:00"/>
    <x v="3"/>
    <x v="3"/>
    <x v="10"/>
    <x v="6"/>
    <x v="1"/>
    <x v="1"/>
    <s v="Air Cleaner"/>
    <n v="2839.45"/>
    <n v="3"/>
    <n v="278.07"/>
  </r>
  <r>
    <d v="2017-04-15T00:00:00"/>
    <x v="3"/>
    <x v="3"/>
    <x v="11"/>
    <x v="6"/>
    <x v="2"/>
    <x v="3"/>
    <s v="Smartphone"/>
    <n v="4771.7299999999996"/>
    <n v="6"/>
    <n v="482.71"/>
  </r>
  <r>
    <d v="2017-04-16T00:00:00"/>
    <x v="3"/>
    <x v="3"/>
    <x v="11"/>
    <x v="9"/>
    <x v="1"/>
    <x v="9"/>
    <s v="Ring Binder"/>
    <n v="2027.69"/>
    <n v="5"/>
    <n v="360.17"/>
  </r>
  <r>
    <d v="2017-04-17T00:00:00"/>
    <x v="3"/>
    <x v="3"/>
    <x v="4"/>
    <x v="7"/>
    <x v="2"/>
    <x v="6"/>
    <s v="Laser Copier"/>
    <n v="3913.97"/>
    <n v="6"/>
    <n v="786.19"/>
  </r>
  <r>
    <d v="2017-04-17T00:00:00"/>
    <x v="3"/>
    <x v="3"/>
    <x v="2"/>
    <x v="0"/>
    <x v="1"/>
    <x v="1"/>
    <s v="Air Cleaner"/>
    <n v="191.62"/>
    <n v="7"/>
    <n v="24.99"/>
  </r>
  <r>
    <d v="2017-04-18T00:00:00"/>
    <x v="3"/>
    <x v="3"/>
    <x v="7"/>
    <x v="7"/>
    <x v="2"/>
    <x v="3"/>
    <s v="Smartphone"/>
    <n v="880.67"/>
    <n v="2"/>
    <n v="191.54"/>
  </r>
  <r>
    <d v="2017-04-18T00:00:00"/>
    <x v="3"/>
    <x v="3"/>
    <x v="7"/>
    <x v="6"/>
    <x v="0"/>
    <x v="10"/>
    <s v="Metal Bookcase"/>
    <n v="2188.84"/>
    <n v="4"/>
    <n v="552.47"/>
  </r>
  <r>
    <d v="2017-04-19T00:00:00"/>
    <x v="3"/>
    <x v="3"/>
    <x v="7"/>
    <x v="9"/>
    <x v="0"/>
    <x v="10"/>
    <s v="Metal Bookcase"/>
    <n v="1908.89"/>
    <n v="6"/>
    <n v="383.92"/>
  </r>
  <r>
    <d v="2017-04-21T00:00:00"/>
    <x v="3"/>
    <x v="3"/>
    <x v="8"/>
    <x v="3"/>
    <x v="2"/>
    <x v="5"/>
    <s v="USB Drive"/>
    <n v="3445.53"/>
    <n v="4"/>
    <n v="286.19"/>
  </r>
  <r>
    <d v="2017-04-23T00:00:00"/>
    <x v="3"/>
    <x v="3"/>
    <x v="0"/>
    <x v="8"/>
    <x v="1"/>
    <x v="1"/>
    <s v="Air Cleaner"/>
    <n v="4844.34"/>
    <n v="4"/>
    <n v="1392.37"/>
  </r>
  <r>
    <d v="2017-04-23T00:00:00"/>
    <x v="3"/>
    <x v="3"/>
    <x v="5"/>
    <x v="5"/>
    <x v="0"/>
    <x v="10"/>
    <s v="Wooden Bookcase"/>
    <n v="68.37"/>
    <n v="3"/>
    <n v="4.0999999999999996"/>
  </r>
  <r>
    <d v="2017-04-24T00:00:00"/>
    <x v="3"/>
    <x v="3"/>
    <x v="0"/>
    <x v="3"/>
    <x v="1"/>
    <x v="8"/>
    <s v="A4 Paper Pack"/>
    <n v="2104.8200000000002"/>
    <n v="6"/>
    <n v="339.1"/>
  </r>
  <r>
    <d v="2017-04-25T00:00:00"/>
    <x v="3"/>
    <x v="3"/>
    <x v="0"/>
    <x v="4"/>
    <x v="0"/>
    <x v="0"/>
    <s v="Desk Lamp"/>
    <n v="4364.9799999999996"/>
    <n v="10"/>
    <n v="311.39999999999998"/>
  </r>
  <r>
    <d v="2017-04-25T00:00:00"/>
    <x v="3"/>
    <x v="3"/>
    <x v="1"/>
    <x v="9"/>
    <x v="1"/>
    <x v="7"/>
    <s v="Sketch Kit"/>
    <n v="1653.23"/>
    <n v="9"/>
    <n v="370.94"/>
  </r>
  <r>
    <d v="2017-04-29T00:00:00"/>
    <x v="3"/>
    <x v="3"/>
    <x v="3"/>
    <x v="0"/>
    <x v="1"/>
    <x v="8"/>
    <s v="Printer Paper"/>
    <n v="3893.38"/>
    <n v="7"/>
    <n v="771.95"/>
  </r>
  <r>
    <d v="2017-04-29T00:00:00"/>
    <x v="3"/>
    <x v="3"/>
    <x v="7"/>
    <x v="1"/>
    <x v="2"/>
    <x v="3"/>
    <s v="IP Phone"/>
    <n v="3693.09"/>
    <n v="6"/>
    <n v="730"/>
  </r>
  <r>
    <d v="2017-04-29T00:00:00"/>
    <x v="3"/>
    <x v="3"/>
    <x v="4"/>
    <x v="1"/>
    <x v="2"/>
    <x v="6"/>
    <s v="Laser Copier"/>
    <n v="3333.03"/>
    <n v="1"/>
    <n v="223.19"/>
  </r>
  <r>
    <d v="2017-04-30T00:00:00"/>
    <x v="3"/>
    <x v="3"/>
    <x v="9"/>
    <x v="2"/>
    <x v="0"/>
    <x v="10"/>
    <s v="Metal Bookcase"/>
    <n v="3850.47"/>
    <n v="7"/>
    <n v="702.06"/>
  </r>
  <r>
    <d v="2017-04-30T00:00:00"/>
    <x v="3"/>
    <x v="3"/>
    <x v="8"/>
    <x v="2"/>
    <x v="1"/>
    <x v="11"/>
    <s v="Drawer Unit"/>
    <n v="298.7"/>
    <n v="7"/>
    <n v="40.549999999999997"/>
  </r>
  <r>
    <d v="2017-04-30T00:00:00"/>
    <x v="3"/>
    <x v="3"/>
    <x v="1"/>
    <x v="5"/>
    <x v="0"/>
    <x v="0"/>
    <s v="Wall Decor"/>
    <n v="3351.52"/>
    <n v="4"/>
    <n v="567.53"/>
  </r>
  <r>
    <d v="2017-04-30T00:00:00"/>
    <x v="3"/>
    <x v="3"/>
    <x v="5"/>
    <x v="4"/>
    <x v="2"/>
    <x v="3"/>
    <s v="Smartphone"/>
    <n v="4423.74"/>
    <n v="3"/>
    <n v="947.35"/>
  </r>
  <r>
    <d v="2017-04-30T00:00:00"/>
    <x v="3"/>
    <x v="3"/>
    <x v="7"/>
    <x v="0"/>
    <x v="1"/>
    <x v="9"/>
    <s v="Binder Pack"/>
    <n v="1259.5"/>
    <n v="2"/>
    <n v="24.6"/>
  </r>
  <r>
    <d v="2017-05-01T00:00:00"/>
    <x v="3"/>
    <x v="4"/>
    <x v="4"/>
    <x v="7"/>
    <x v="2"/>
    <x v="3"/>
    <s v="Smartphone"/>
    <n v="1641.2"/>
    <n v="3"/>
    <n v="97.93"/>
  </r>
  <r>
    <d v="2017-05-02T00:00:00"/>
    <x v="3"/>
    <x v="4"/>
    <x v="7"/>
    <x v="5"/>
    <x v="0"/>
    <x v="10"/>
    <s v="Wooden Bookcase"/>
    <n v="4430.2700000000004"/>
    <n v="3"/>
    <n v="578.88"/>
  </r>
  <r>
    <d v="2017-05-02T00:00:00"/>
    <x v="3"/>
    <x v="4"/>
    <x v="7"/>
    <x v="2"/>
    <x v="2"/>
    <x v="3"/>
    <s v="Smartphone"/>
    <n v="4442.67"/>
    <n v="8"/>
    <n v="1260.4100000000001"/>
  </r>
  <r>
    <d v="2017-05-02T00:00:00"/>
    <x v="3"/>
    <x v="4"/>
    <x v="5"/>
    <x v="9"/>
    <x v="2"/>
    <x v="3"/>
    <s v="Smartphone"/>
    <n v="1122.3599999999999"/>
    <n v="2"/>
    <n v="278.3"/>
  </r>
  <r>
    <d v="2017-05-02T00:00:00"/>
    <x v="3"/>
    <x v="4"/>
    <x v="0"/>
    <x v="9"/>
    <x v="2"/>
    <x v="3"/>
    <s v="Smartphone"/>
    <n v="2930.2"/>
    <n v="8"/>
    <n v="345.09"/>
  </r>
  <r>
    <d v="2017-05-02T00:00:00"/>
    <x v="3"/>
    <x v="4"/>
    <x v="6"/>
    <x v="1"/>
    <x v="0"/>
    <x v="10"/>
    <s v="Wooden Bookcase"/>
    <n v="1404.55"/>
    <n v="6"/>
    <n v="314.56"/>
  </r>
  <r>
    <d v="2017-05-03T00:00:00"/>
    <x v="3"/>
    <x v="4"/>
    <x v="6"/>
    <x v="8"/>
    <x v="1"/>
    <x v="7"/>
    <s v="Sketch Kit"/>
    <n v="1152.1099999999999"/>
    <n v="10"/>
    <n v="143.97999999999999"/>
  </r>
  <r>
    <d v="2017-05-03T00:00:00"/>
    <x v="3"/>
    <x v="4"/>
    <x v="8"/>
    <x v="2"/>
    <x v="0"/>
    <x v="0"/>
    <s v="Wall Decor"/>
    <n v="234.69"/>
    <n v="10"/>
    <n v="66.930000000000007"/>
  </r>
  <r>
    <d v="2017-05-03T00:00:00"/>
    <x v="3"/>
    <x v="4"/>
    <x v="4"/>
    <x v="8"/>
    <x v="1"/>
    <x v="11"/>
    <s v="Drawer Unit"/>
    <n v="305.95999999999998"/>
    <n v="7"/>
    <n v="22.06"/>
  </r>
  <r>
    <d v="2017-05-04T00:00:00"/>
    <x v="3"/>
    <x v="4"/>
    <x v="0"/>
    <x v="8"/>
    <x v="1"/>
    <x v="7"/>
    <s v="Color Set"/>
    <n v="883.89"/>
    <n v="9"/>
    <n v="240.91"/>
  </r>
  <r>
    <d v="2017-05-04T00:00:00"/>
    <x v="3"/>
    <x v="4"/>
    <x v="5"/>
    <x v="1"/>
    <x v="0"/>
    <x v="10"/>
    <s v="Wooden Bookcase"/>
    <n v="4513.18"/>
    <n v="10"/>
    <n v="613.74"/>
  </r>
  <r>
    <d v="2017-05-05T00:00:00"/>
    <x v="3"/>
    <x v="4"/>
    <x v="1"/>
    <x v="4"/>
    <x v="0"/>
    <x v="10"/>
    <s v="Wooden Bookcase"/>
    <n v="4159.8900000000003"/>
    <n v="6"/>
    <n v="1023.19"/>
  </r>
  <r>
    <d v="2017-05-06T00:00:00"/>
    <x v="3"/>
    <x v="4"/>
    <x v="5"/>
    <x v="9"/>
    <x v="0"/>
    <x v="10"/>
    <s v="Metal Bookcase"/>
    <n v="176.42"/>
    <n v="10"/>
    <n v="20.97"/>
  </r>
  <r>
    <d v="2017-05-07T00:00:00"/>
    <x v="3"/>
    <x v="4"/>
    <x v="8"/>
    <x v="0"/>
    <x v="2"/>
    <x v="3"/>
    <s v="Smartphone"/>
    <n v="2309.06"/>
    <n v="10"/>
    <n v="390.15"/>
  </r>
  <r>
    <d v="2017-05-08T00:00:00"/>
    <x v="3"/>
    <x v="4"/>
    <x v="7"/>
    <x v="1"/>
    <x v="2"/>
    <x v="6"/>
    <s v="Inkjet Copier"/>
    <n v="4252.0600000000004"/>
    <n v="5"/>
    <n v="8.7200000000000006"/>
  </r>
  <r>
    <d v="2017-05-08T00:00:00"/>
    <x v="3"/>
    <x v="4"/>
    <x v="10"/>
    <x v="6"/>
    <x v="1"/>
    <x v="8"/>
    <s v="A4 Paper Pack"/>
    <n v="4330.13"/>
    <n v="6"/>
    <n v="567.69000000000005"/>
  </r>
  <r>
    <d v="2017-05-08T00:00:00"/>
    <x v="3"/>
    <x v="4"/>
    <x v="10"/>
    <x v="3"/>
    <x v="1"/>
    <x v="11"/>
    <s v="Storage Box"/>
    <n v="1205.8800000000001"/>
    <n v="3"/>
    <n v="43.59"/>
  </r>
  <r>
    <d v="2017-05-09T00:00:00"/>
    <x v="3"/>
    <x v="4"/>
    <x v="3"/>
    <x v="4"/>
    <x v="0"/>
    <x v="2"/>
    <s v="Conference Table"/>
    <n v="1505.11"/>
    <n v="8"/>
    <n v="205.93"/>
  </r>
  <r>
    <d v="2017-05-09T00:00:00"/>
    <x v="3"/>
    <x v="4"/>
    <x v="0"/>
    <x v="8"/>
    <x v="1"/>
    <x v="9"/>
    <s v="Binder Pack"/>
    <n v="4627.3999999999996"/>
    <n v="7"/>
    <n v="614.04999999999995"/>
  </r>
  <r>
    <d v="2017-05-10T00:00:00"/>
    <x v="3"/>
    <x v="4"/>
    <x v="3"/>
    <x v="8"/>
    <x v="1"/>
    <x v="9"/>
    <s v="Ring Binder"/>
    <n v="2928.93"/>
    <n v="6"/>
    <n v="644.22"/>
  </r>
  <r>
    <d v="2017-05-10T00:00:00"/>
    <x v="3"/>
    <x v="4"/>
    <x v="7"/>
    <x v="1"/>
    <x v="2"/>
    <x v="6"/>
    <s v="Inkjet Copier"/>
    <n v="1945.04"/>
    <n v="9"/>
    <n v="130.21"/>
  </r>
  <r>
    <d v="2017-05-10T00:00:00"/>
    <x v="3"/>
    <x v="4"/>
    <x v="10"/>
    <x v="3"/>
    <x v="1"/>
    <x v="7"/>
    <s v="Color Set"/>
    <n v="2944.64"/>
    <n v="5"/>
    <n v="787.19"/>
  </r>
  <r>
    <d v="2017-05-10T00:00:00"/>
    <x v="3"/>
    <x v="4"/>
    <x v="3"/>
    <x v="5"/>
    <x v="2"/>
    <x v="5"/>
    <s v="Mouse"/>
    <n v="3001.55"/>
    <n v="6"/>
    <n v="359.15"/>
  </r>
  <r>
    <d v="2017-05-11T00:00:00"/>
    <x v="3"/>
    <x v="4"/>
    <x v="4"/>
    <x v="6"/>
    <x v="1"/>
    <x v="9"/>
    <s v="Ring Binder"/>
    <n v="660.52"/>
    <n v="1"/>
    <n v="161.24"/>
  </r>
  <r>
    <d v="2017-05-13T00:00:00"/>
    <x v="3"/>
    <x v="4"/>
    <x v="4"/>
    <x v="0"/>
    <x v="1"/>
    <x v="11"/>
    <s v="Drawer Unit"/>
    <n v="3118.95"/>
    <n v="10"/>
    <n v="345.84"/>
  </r>
  <r>
    <d v="2017-05-14T00:00:00"/>
    <x v="3"/>
    <x v="4"/>
    <x v="5"/>
    <x v="8"/>
    <x v="2"/>
    <x v="3"/>
    <s v="IP Phone"/>
    <n v="3473.82"/>
    <n v="7"/>
    <n v="425.31"/>
  </r>
  <r>
    <d v="2017-05-15T00:00:00"/>
    <x v="3"/>
    <x v="4"/>
    <x v="0"/>
    <x v="9"/>
    <x v="0"/>
    <x v="10"/>
    <s v="Metal Bookcase"/>
    <n v="3353.78"/>
    <n v="5"/>
    <n v="676.7"/>
  </r>
  <r>
    <d v="2017-05-15T00:00:00"/>
    <x v="3"/>
    <x v="4"/>
    <x v="4"/>
    <x v="1"/>
    <x v="1"/>
    <x v="7"/>
    <s v="Color Set"/>
    <n v="2048.04"/>
    <n v="4"/>
    <n v="236.65"/>
  </r>
  <r>
    <d v="2017-05-15T00:00:00"/>
    <x v="3"/>
    <x v="4"/>
    <x v="10"/>
    <x v="8"/>
    <x v="1"/>
    <x v="8"/>
    <s v="Printer Paper"/>
    <n v="1394.12"/>
    <n v="4"/>
    <n v="331.07"/>
  </r>
  <r>
    <d v="2017-05-15T00:00:00"/>
    <x v="3"/>
    <x v="4"/>
    <x v="7"/>
    <x v="8"/>
    <x v="0"/>
    <x v="0"/>
    <s v="Wall Decor"/>
    <n v="4835.3500000000004"/>
    <n v="5"/>
    <n v="953.33"/>
  </r>
  <r>
    <d v="2017-05-16T00:00:00"/>
    <x v="3"/>
    <x v="4"/>
    <x v="3"/>
    <x v="9"/>
    <x v="2"/>
    <x v="5"/>
    <s v="Keyboard"/>
    <n v="552.88"/>
    <n v="7"/>
    <n v="76.040000000000006"/>
  </r>
  <r>
    <d v="2017-05-16T00:00:00"/>
    <x v="3"/>
    <x v="4"/>
    <x v="10"/>
    <x v="6"/>
    <x v="2"/>
    <x v="5"/>
    <s v="Mouse"/>
    <n v="3426.64"/>
    <n v="4"/>
    <n v="14.64"/>
  </r>
  <r>
    <d v="2017-05-17T00:00:00"/>
    <x v="3"/>
    <x v="4"/>
    <x v="8"/>
    <x v="5"/>
    <x v="2"/>
    <x v="6"/>
    <s v="Inkjet Copier"/>
    <n v="307.76"/>
    <n v="6"/>
    <n v="14.9"/>
  </r>
  <r>
    <d v="2017-05-17T00:00:00"/>
    <x v="3"/>
    <x v="4"/>
    <x v="7"/>
    <x v="7"/>
    <x v="0"/>
    <x v="4"/>
    <s v="Executive Chair"/>
    <n v="204.97"/>
    <n v="7"/>
    <n v="32.880000000000003"/>
  </r>
  <r>
    <d v="2017-05-17T00:00:00"/>
    <x v="3"/>
    <x v="4"/>
    <x v="4"/>
    <x v="4"/>
    <x v="0"/>
    <x v="0"/>
    <s v="Wall Decor"/>
    <n v="4927.3999999999996"/>
    <n v="10"/>
    <n v="683.53"/>
  </r>
  <r>
    <d v="2017-05-17T00:00:00"/>
    <x v="3"/>
    <x v="4"/>
    <x v="4"/>
    <x v="3"/>
    <x v="0"/>
    <x v="2"/>
    <s v="Study Table"/>
    <n v="3400.41"/>
    <n v="4"/>
    <n v="513.1"/>
  </r>
  <r>
    <d v="2017-05-18T00:00:00"/>
    <x v="3"/>
    <x v="4"/>
    <x v="4"/>
    <x v="2"/>
    <x v="1"/>
    <x v="11"/>
    <s v="Drawer Unit"/>
    <n v="4552.91"/>
    <n v="10"/>
    <n v="1292.08"/>
  </r>
  <r>
    <d v="2017-05-18T00:00:00"/>
    <x v="3"/>
    <x v="4"/>
    <x v="5"/>
    <x v="3"/>
    <x v="0"/>
    <x v="2"/>
    <s v="Study Table"/>
    <n v="1768.59"/>
    <n v="8"/>
    <n v="450.31"/>
  </r>
  <r>
    <d v="2017-05-18T00:00:00"/>
    <x v="3"/>
    <x v="4"/>
    <x v="4"/>
    <x v="4"/>
    <x v="1"/>
    <x v="1"/>
    <s v="Heater"/>
    <n v="3038.15"/>
    <n v="7"/>
    <n v="460.47"/>
  </r>
  <r>
    <d v="2017-05-18T00:00:00"/>
    <x v="3"/>
    <x v="4"/>
    <x v="3"/>
    <x v="7"/>
    <x v="2"/>
    <x v="3"/>
    <s v="Smartphone"/>
    <n v="3567.12"/>
    <n v="1"/>
    <n v="930.74"/>
  </r>
  <r>
    <d v="2017-05-18T00:00:00"/>
    <x v="3"/>
    <x v="4"/>
    <x v="7"/>
    <x v="2"/>
    <x v="0"/>
    <x v="10"/>
    <s v="Wooden Bookcase"/>
    <n v="4513.17"/>
    <n v="5"/>
    <n v="1299.48"/>
  </r>
  <r>
    <d v="2017-05-19T00:00:00"/>
    <x v="3"/>
    <x v="4"/>
    <x v="10"/>
    <x v="6"/>
    <x v="0"/>
    <x v="10"/>
    <s v="Metal Bookcase"/>
    <n v="914.2"/>
    <n v="7"/>
    <n v="169.71"/>
  </r>
  <r>
    <d v="2017-05-19T00:00:00"/>
    <x v="3"/>
    <x v="4"/>
    <x v="9"/>
    <x v="7"/>
    <x v="2"/>
    <x v="3"/>
    <s v="Smartphone"/>
    <n v="2790.12"/>
    <n v="7"/>
    <n v="459.79"/>
  </r>
  <r>
    <d v="2017-05-20T00:00:00"/>
    <x v="3"/>
    <x v="4"/>
    <x v="0"/>
    <x v="5"/>
    <x v="2"/>
    <x v="5"/>
    <s v="Mouse"/>
    <n v="250.51"/>
    <n v="9"/>
    <n v="1.59"/>
  </r>
  <r>
    <d v="2017-05-21T00:00:00"/>
    <x v="3"/>
    <x v="4"/>
    <x v="8"/>
    <x v="2"/>
    <x v="0"/>
    <x v="10"/>
    <s v="Metal Bookcase"/>
    <n v="438.14"/>
    <n v="8"/>
    <n v="52.89"/>
  </r>
  <r>
    <d v="2017-05-21T00:00:00"/>
    <x v="3"/>
    <x v="4"/>
    <x v="10"/>
    <x v="1"/>
    <x v="2"/>
    <x v="5"/>
    <s v="USB Drive"/>
    <n v="3931.67"/>
    <n v="3"/>
    <n v="436.42"/>
  </r>
  <r>
    <d v="2017-05-21T00:00:00"/>
    <x v="3"/>
    <x v="4"/>
    <x v="8"/>
    <x v="1"/>
    <x v="2"/>
    <x v="5"/>
    <s v="Keyboard"/>
    <n v="2959.25"/>
    <n v="3"/>
    <n v="368.99"/>
  </r>
  <r>
    <d v="2017-05-22T00:00:00"/>
    <x v="3"/>
    <x v="4"/>
    <x v="4"/>
    <x v="4"/>
    <x v="2"/>
    <x v="5"/>
    <s v="Mouse"/>
    <n v="552.65"/>
    <n v="5"/>
    <n v="43.72"/>
  </r>
  <r>
    <d v="2017-05-22T00:00:00"/>
    <x v="3"/>
    <x v="4"/>
    <x v="2"/>
    <x v="8"/>
    <x v="0"/>
    <x v="10"/>
    <s v="Wooden Bookcase"/>
    <n v="3390.38"/>
    <n v="8"/>
    <n v="900.56"/>
  </r>
  <r>
    <d v="2017-05-22T00:00:00"/>
    <x v="3"/>
    <x v="4"/>
    <x v="5"/>
    <x v="7"/>
    <x v="2"/>
    <x v="3"/>
    <s v="IP Phone"/>
    <n v="1241.71"/>
    <n v="8"/>
    <n v="123.86"/>
  </r>
  <r>
    <d v="2017-05-22T00:00:00"/>
    <x v="3"/>
    <x v="4"/>
    <x v="8"/>
    <x v="7"/>
    <x v="0"/>
    <x v="4"/>
    <s v="Office Chair"/>
    <n v="1001.8"/>
    <n v="1"/>
    <n v="240.19"/>
  </r>
  <r>
    <d v="2017-05-22T00:00:00"/>
    <x v="3"/>
    <x v="4"/>
    <x v="6"/>
    <x v="7"/>
    <x v="1"/>
    <x v="9"/>
    <s v="Ring Binder"/>
    <n v="4855.6400000000003"/>
    <n v="2"/>
    <n v="389.68"/>
  </r>
  <r>
    <d v="2017-05-23T00:00:00"/>
    <x v="3"/>
    <x v="4"/>
    <x v="2"/>
    <x v="8"/>
    <x v="0"/>
    <x v="10"/>
    <s v="Metal Bookcase"/>
    <n v="2391.29"/>
    <n v="8"/>
    <n v="123.63"/>
  </r>
  <r>
    <d v="2017-05-23T00:00:00"/>
    <x v="3"/>
    <x v="4"/>
    <x v="3"/>
    <x v="8"/>
    <x v="0"/>
    <x v="10"/>
    <s v="Wooden Bookcase"/>
    <n v="1958.62"/>
    <n v="8"/>
    <n v="208.96"/>
  </r>
  <r>
    <d v="2017-05-24T00:00:00"/>
    <x v="3"/>
    <x v="4"/>
    <x v="6"/>
    <x v="9"/>
    <x v="1"/>
    <x v="1"/>
    <s v="Air Cleaner"/>
    <n v="3485.14"/>
    <n v="9"/>
    <n v="679.63"/>
  </r>
  <r>
    <d v="2017-05-25T00:00:00"/>
    <x v="3"/>
    <x v="4"/>
    <x v="10"/>
    <x v="1"/>
    <x v="1"/>
    <x v="1"/>
    <s v="Heater"/>
    <n v="4570.8999999999996"/>
    <n v="10"/>
    <n v="944.49"/>
  </r>
  <r>
    <d v="2017-05-27T00:00:00"/>
    <x v="3"/>
    <x v="4"/>
    <x v="1"/>
    <x v="1"/>
    <x v="0"/>
    <x v="4"/>
    <s v="Office Chair"/>
    <n v="3565.18"/>
    <n v="8"/>
    <n v="1067.9000000000001"/>
  </r>
  <r>
    <d v="2017-05-27T00:00:00"/>
    <x v="3"/>
    <x v="4"/>
    <x v="7"/>
    <x v="3"/>
    <x v="1"/>
    <x v="8"/>
    <s v="Printer Paper"/>
    <n v="966.66"/>
    <n v="4"/>
    <n v="124.3"/>
  </r>
  <r>
    <d v="2017-05-27T00:00:00"/>
    <x v="3"/>
    <x v="4"/>
    <x v="10"/>
    <x v="3"/>
    <x v="0"/>
    <x v="4"/>
    <s v="Ergonomic Chair"/>
    <n v="20.46"/>
    <n v="4"/>
    <n v="5.83"/>
  </r>
  <r>
    <d v="2017-05-27T00:00:00"/>
    <x v="3"/>
    <x v="4"/>
    <x v="8"/>
    <x v="5"/>
    <x v="2"/>
    <x v="3"/>
    <s v="IP Phone"/>
    <n v="1678.72"/>
    <n v="2"/>
    <n v="222.49"/>
  </r>
  <r>
    <d v="2017-05-28T00:00:00"/>
    <x v="3"/>
    <x v="4"/>
    <x v="2"/>
    <x v="0"/>
    <x v="1"/>
    <x v="1"/>
    <s v="Air Cleaner"/>
    <n v="2542.5300000000002"/>
    <n v="2"/>
    <n v="93.08"/>
  </r>
  <r>
    <d v="2017-05-29T00:00:00"/>
    <x v="3"/>
    <x v="4"/>
    <x v="2"/>
    <x v="6"/>
    <x v="0"/>
    <x v="2"/>
    <s v="Study Table"/>
    <n v="1178.7"/>
    <n v="1"/>
    <n v="225.48"/>
  </r>
  <r>
    <d v="2017-05-29T00:00:00"/>
    <x v="3"/>
    <x v="4"/>
    <x v="8"/>
    <x v="6"/>
    <x v="2"/>
    <x v="6"/>
    <s v="Laser Copier"/>
    <n v="4369.17"/>
    <n v="10"/>
    <n v="1169.99"/>
  </r>
  <r>
    <d v="2017-05-29T00:00:00"/>
    <x v="3"/>
    <x v="4"/>
    <x v="0"/>
    <x v="0"/>
    <x v="1"/>
    <x v="1"/>
    <s v="Air Cleaner"/>
    <n v="3676.92"/>
    <n v="9"/>
    <n v="441.07"/>
  </r>
  <r>
    <d v="2017-05-30T00:00:00"/>
    <x v="3"/>
    <x v="4"/>
    <x v="11"/>
    <x v="4"/>
    <x v="1"/>
    <x v="8"/>
    <s v="Printer Paper"/>
    <n v="2797.27"/>
    <n v="8"/>
    <n v="320.39999999999998"/>
  </r>
  <r>
    <d v="2017-05-30T00:00:00"/>
    <x v="3"/>
    <x v="4"/>
    <x v="6"/>
    <x v="3"/>
    <x v="0"/>
    <x v="10"/>
    <s v="Wooden Bookcase"/>
    <n v="3126.18"/>
    <n v="10"/>
    <n v="265.55"/>
  </r>
  <r>
    <d v="2017-05-30T00:00:00"/>
    <x v="3"/>
    <x v="4"/>
    <x v="6"/>
    <x v="6"/>
    <x v="1"/>
    <x v="11"/>
    <s v="Drawer Unit"/>
    <n v="2785.36"/>
    <n v="6"/>
    <n v="202.38"/>
  </r>
  <r>
    <d v="2017-05-30T00:00:00"/>
    <x v="3"/>
    <x v="4"/>
    <x v="8"/>
    <x v="4"/>
    <x v="0"/>
    <x v="2"/>
    <s v="Conference Table"/>
    <n v="3530.42"/>
    <n v="3"/>
    <n v="393.01"/>
  </r>
  <r>
    <d v="2017-05-31T00:00:00"/>
    <x v="3"/>
    <x v="4"/>
    <x v="7"/>
    <x v="0"/>
    <x v="1"/>
    <x v="11"/>
    <s v="Storage Box"/>
    <n v="3975.03"/>
    <n v="9"/>
    <n v="100.5"/>
  </r>
  <r>
    <d v="2017-06-01T00:00:00"/>
    <x v="3"/>
    <x v="5"/>
    <x v="8"/>
    <x v="4"/>
    <x v="2"/>
    <x v="5"/>
    <s v="USB Drive"/>
    <n v="3808.9"/>
    <n v="6"/>
    <n v="147.86000000000001"/>
  </r>
  <r>
    <d v="2017-06-01T00:00:00"/>
    <x v="3"/>
    <x v="5"/>
    <x v="8"/>
    <x v="7"/>
    <x v="2"/>
    <x v="3"/>
    <s v="Smartphone"/>
    <n v="3397.61"/>
    <n v="4"/>
    <n v="847.1"/>
  </r>
  <r>
    <d v="2017-06-02T00:00:00"/>
    <x v="3"/>
    <x v="5"/>
    <x v="10"/>
    <x v="9"/>
    <x v="0"/>
    <x v="0"/>
    <s v="Desk Lamp"/>
    <n v="3906.3"/>
    <n v="5"/>
    <n v="748.35"/>
  </r>
  <r>
    <d v="2017-06-02T00:00:00"/>
    <x v="3"/>
    <x v="5"/>
    <x v="10"/>
    <x v="0"/>
    <x v="1"/>
    <x v="7"/>
    <s v="Color Set"/>
    <n v="3465.33"/>
    <n v="4"/>
    <n v="585.1"/>
  </r>
  <r>
    <d v="2017-06-03T00:00:00"/>
    <x v="3"/>
    <x v="5"/>
    <x v="10"/>
    <x v="4"/>
    <x v="2"/>
    <x v="6"/>
    <s v="Inkjet Copier"/>
    <n v="3100.04"/>
    <n v="2"/>
    <n v="204.15"/>
  </r>
  <r>
    <d v="2017-06-03T00:00:00"/>
    <x v="3"/>
    <x v="5"/>
    <x v="2"/>
    <x v="3"/>
    <x v="1"/>
    <x v="7"/>
    <s v="Sketch Kit"/>
    <n v="2522.3200000000002"/>
    <n v="10"/>
    <n v="147.6"/>
  </r>
  <r>
    <d v="2017-06-04T00:00:00"/>
    <x v="3"/>
    <x v="5"/>
    <x v="10"/>
    <x v="0"/>
    <x v="1"/>
    <x v="8"/>
    <s v="Printer Paper"/>
    <n v="1747.09"/>
    <n v="5"/>
    <n v="13.53"/>
  </r>
  <r>
    <d v="2017-06-04T00:00:00"/>
    <x v="3"/>
    <x v="5"/>
    <x v="4"/>
    <x v="9"/>
    <x v="0"/>
    <x v="0"/>
    <s v="Desk Lamp"/>
    <n v="2603.21"/>
    <n v="4"/>
    <n v="569.91"/>
  </r>
  <r>
    <d v="2017-06-04T00:00:00"/>
    <x v="3"/>
    <x v="5"/>
    <x v="6"/>
    <x v="9"/>
    <x v="1"/>
    <x v="1"/>
    <s v="Heater"/>
    <n v="3465.06"/>
    <n v="5"/>
    <n v="801.83"/>
  </r>
  <r>
    <d v="2017-06-05T00:00:00"/>
    <x v="3"/>
    <x v="5"/>
    <x v="8"/>
    <x v="3"/>
    <x v="1"/>
    <x v="9"/>
    <s v="Binder Pack"/>
    <n v="4701.54"/>
    <n v="2"/>
    <n v="607.19000000000005"/>
  </r>
  <r>
    <d v="2017-06-06T00:00:00"/>
    <x v="3"/>
    <x v="5"/>
    <x v="0"/>
    <x v="4"/>
    <x v="1"/>
    <x v="9"/>
    <s v="Binder Pack"/>
    <n v="57.45"/>
    <n v="10"/>
    <n v="9.5500000000000007"/>
  </r>
  <r>
    <d v="2017-06-06T00:00:00"/>
    <x v="3"/>
    <x v="5"/>
    <x v="6"/>
    <x v="1"/>
    <x v="0"/>
    <x v="2"/>
    <s v="Conference Table"/>
    <n v="1949.62"/>
    <n v="2"/>
    <n v="119.88"/>
  </r>
  <r>
    <d v="2017-06-06T00:00:00"/>
    <x v="3"/>
    <x v="5"/>
    <x v="3"/>
    <x v="4"/>
    <x v="2"/>
    <x v="3"/>
    <s v="IP Phone"/>
    <n v="3616.32"/>
    <n v="7"/>
    <n v="711.86"/>
  </r>
  <r>
    <d v="2017-06-07T00:00:00"/>
    <x v="3"/>
    <x v="5"/>
    <x v="4"/>
    <x v="5"/>
    <x v="1"/>
    <x v="7"/>
    <s v="Sketch Kit"/>
    <n v="1183.6400000000001"/>
    <n v="9"/>
    <n v="57.54"/>
  </r>
  <r>
    <d v="2017-06-08T00:00:00"/>
    <x v="3"/>
    <x v="5"/>
    <x v="10"/>
    <x v="9"/>
    <x v="1"/>
    <x v="7"/>
    <s v="Color Set"/>
    <n v="3423.09"/>
    <n v="3"/>
    <n v="926.49"/>
  </r>
  <r>
    <d v="2017-06-08T00:00:00"/>
    <x v="3"/>
    <x v="5"/>
    <x v="11"/>
    <x v="9"/>
    <x v="1"/>
    <x v="1"/>
    <s v="Air Cleaner"/>
    <n v="1739.31"/>
    <n v="7"/>
    <n v="256.92"/>
  </r>
  <r>
    <d v="2017-06-08T00:00:00"/>
    <x v="3"/>
    <x v="5"/>
    <x v="7"/>
    <x v="8"/>
    <x v="2"/>
    <x v="3"/>
    <s v="Smartphone"/>
    <n v="2790.61"/>
    <n v="9"/>
    <n v="759.32"/>
  </r>
  <r>
    <d v="2017-06-09T00:00:00"/>
    <x v="3"/>
    <x v="5"/>
    <x v="9"/>
    <x v="8"/>
    <x v="2"/>
    <x v="5"/>
    <s v="Mouse"/>
    <n v="3308.18"/>
    <n v="8"/>
    <n v="931"/>
  </r>
  <r>
    <d v="2017-06-09T00:00:00"/>
    <x v="3"/>
    <x v="5"/>
    <x v="0"/>
    <x v="7"/>
    <x v="0"/>
    <x v="0"/>
    <s v="Wall Decor"/>
    <n v="1817.12"/>
    <n v="10"/>
    <n v="144.11000000000001"/>
  </r>
  <r>
    <d v="2017-06-10T00:00:00"/>
    <x v="3"/>
    <x v="5"/>
    <x v="2"/>
    <x v="3"/>
    <x v="2"/>
    <x v="3"/>
    <s v="Smartphone"/>
    <n v="3957.1"/>
    <n v="3"/>
    <n v="184.69"/>
  </r>
  <r>
    <d v="2017-06-10T00:00:00"/>
    <x v="3"/>
    <x v="5"/>
    <x v="6"/>
    <x v="9"/>
    <x v="0"/>
    <x v="4"/>
    <s v="Office Chair"/>
    <n v="3823.71"/>
    <n v="3"/>
    <n v="189.13"/>
  </r>
  <r>
    <d v="2017-06-11T00:00:00"/>
    <x v="3"/>
    <x v="5"/>
    <x v="5"/>
    <x v="9"/>
    <x v="0"/>
    <x v="4"/>
    <s v="Office Chair"/>
    <n v="2377.7600000000002"/>
    <n v="6"/>
    <n v="491.75"/>
  </r>
  <r>
    <d v="2017-06-11T00:00:00"/>
    <x v="3"/>
    <x v="5"/>
    <x v="4"/>
    <x v="4"/>
    <x v="0"/>
    <x v="0"/>
    <s v="Desk Lamp"/>
    <n v="679.15"/>
    <n v="4"/>
    <n v="184.09"/>
  </r>
  <r>
    <d v="2017-06-11T00:00:00"/>
    <x v="3"/>
    <x v="5"/>
    <x v="4"/>
    <x v="2"/>
    <x v="0"/>
    <x v="2"/>
    <s v="Study Table"/>
    <n v="3593.33"/>
    <n v="6"/>
    <n v="369.01"/>
  </r>
  <r>
    <d v="2017-06-11T00:00:00"/>
    <x v="3"/>
    <x v="5"/>
    <x v="6"/>
    <x v="5"/>
    <x v="1"/>
    <x v="7"/>
    <s v="Sketch Kit"/>
    <n v="4616.5200000000004"/>
    <n v="7"/>
    <n v="924.49"/>
  </r>
  <r>
    <d v="2017-06-11T00:00:00"/>
    <x v="3"/>
    <x v="5"/>
    <x v="6"/>
    <x v="6"/>
    <x v="0"/>
    <x v="2"/>
    <s v="Study Table"/>
    <n v="3895.2"/>
    <n v="6"/>
    <n v="911.64"/>
  </r>
  <r>
    <d v="2017-06-11T00:00:00"/>
    <x v="3"/>
    <x v="5"/>
    <x v="2"/>
    <x v="6"/>
    <x v="2"/>
    <x v="5"/>
    <s v="USB Drive"/>
    <n v="2002.02"/>
    <n v="1"/>
    <n v="501.56"/>
  </r>
  <r>
    <d v="2017-06-12T00:00:00"/>
    <x v="3"/>
    <x v="5"/>
    <x v="7"/>
    <x v="5"/>
    <x v="2"/>
    <x v="5"/>
    <s v="Mouse"/>
    <n v="4613.41"/>
    <n v="5"/>
    <n v="211.06"/>
  </r>
  <r>
    <d v="2017-06-12T00:00:00"/>
    <x v="3"/>
    <x v="5"/>
    <x v="11"/>
    <x v="3"/>
    <x v="0"/>
    <x v="10"/>
    <s v="Wooden Bookcase"/>
    <n v="456.78"/>
    <n v="3"/>
    <n v="63.77"/>
  </r>
  <r>
    <d v="2017-06-13T00:00:00"/>
    <x v="3"/>
    <x v="5"/>
    <x v="11"/>
    <x v="0"/>
    <x v="2"/>
    <x v="6"/>
    <s v="Laser Copier"/>
    <n v="1475.98"/>
    <n v="8"/>
    <n v="102.17"/>
  </r>
  <r>
    <d v="2017-06-13T00:00:00"/>
    <x v="3"/>
    <x v="5"/>
    <x v="8"/>
    <x v="2"/>
    <x v="0"/>
    <x v="0"/>
    <s v="Desk Lamp"/>
    <n v="412.93"/>
    <n v="6"/>
    <n v="0.13"/>
  </r>
  <r>
    <d v="2017-06-14T00:00:00"/>
    <x v="3"/>
    <x v="5"/>
    <x v="5"/>
    <x v="4"/>
    <x v="2"/>
    <x v="5"/>
    <s v="USB Drive"/>
    <n v="2852.34"/>
    <n v="4"/>
    <n v="784.75"/>
  </r>
  <r>
    <d v="2017-06-17T00:00:00"/>
    <x v="3"/>
    <x v="5"/>
    <x v="11"/>
    <x v="7"/>
    <x v="0"/>
    <x v="4"/>
    <s v="Ergonomic Chair"/>
    <n v="330.68"/>
    <n v="2"/>
    <n v="25.32"/>
  </r>
  <r>
    <d v="2017-06-17T00:00:00"/>
    <x v="3"/>
    <x v="5"/>
    <x v="7"/>
    <x v="6"/>
    <x v="0"/>
    <x v="2"/>
    <s v="Study Table"/>
    <n v="1745.91"/>
    <n v="6"/>
    <n v="521.19000000000005"/>
  </r>
  <r>
    <d v="2017-06-17T00:00:00"/>
    <x v="3"/>
    <x v="5"/>
    <x v="11"/>
    <x v="1"/>
    <x v="2"/>
    <x v="5"/>
    <s v="Keyboard"/>
    <n v="1938.15"/>
    <n v="3"/>
    <n v="20.83"/>
  </r>
  <r>
    <d v="2017-06-19T00:00:00"/>
    <x v="3"/>
    <x v="5"/>
    <x v="2"/>
    <x v="5"/>
    <x v="2"/>
    <x v="6"/>
    <s v="Laser Copier"/>
    <n v="4997.3"/>
    <n v="4"/>
    <n v="998.08"/>
  </r>
  <r>
    <d v="2017-06-19T00:00:00"/>
    <x v="3"/>
    <x v="5"/>
    <x v="3"/>
    <x v="9"/>
    <x v="0"/>
    <x v="10"/>
    <s v="Metal Bookcase"/>
    <n v="799.2"/>
    <n v="1"/>
    <n v="239.2"/>
  </r>
  <r>
    <d v="2017-06-19T00:00:00"/>
    <x v="3"/>
    <x v="5"/>
    <x v="11"/>
    <x v="6"/>
    <x v="2"/>
    <x v="6"/>
    <s v="Inkjet Copier"/>
    <n v="4100.8100000000004"/>
    <n v="7"/>
    <n v="1020.02"/>
  </r>
  <r>
    <d v="2017-06-19T00:00:00"/>
    <x v="3"/>
    <x v="5"/>
    <x v="6"/>
    <x v="2"/>
    <x v="2"/>
    <x v="5"/>
    <s v="USB Drive"/>
    <n v="2686.04"/>
    <n v="9"/>
    <n v="596.47"/>
  </r>
  <r>
    <d v="2017-06-20T00:00:00"/>
    <x v="3"/>
    <x v="5"/>
    <x v="8"/>
    <x v="3"/>
    <x v="0"/>
    <x v="10"/>
    <s v="Metal Bookcase"/>
    <n v="2036.48"/>
    <n v="7"/>
    <n v="290.02999999999997"/>
  </r>
  <r>
    <d v="2017-06-20T00:00:00"/>
    <x v="3"/>
    <x v="5"/>
    <x v="2"/>
    <x v="9"/>
    <x v="1"/>
    <x v="9"/>
    <s v="Binder Pack"/>
    <n v="162.09"/>
    <n v="3"/>
    <n v="27.58"/>
  </r>
  <r>
    <d v="2017-06-22T00:00:00"/>
    <x v="3"/>
    <x v="5"/>
    <x v="8"/>
    <x v="2"/>
    <x v="2"/>
    <x v="5"/>
    <s v="Mouse"/>
    <n v="2631.38"/>
    <n v="1"/>
    <n v="626.91999999999996"/>
  </r>
  <r>
    <d v="2017-06-23T00:00:00"/>
    <x v="3"/>
    <x v="5"/>
    <x v="11"/>
    <x v="1"/>
    <x v="2"/>
    <x v="6"/>
    <s v="Inkjet Copier"/>
    <n v="4455.26"/>
    <n v="1"/>
    <n v="454.94"/>
  </r>
  <r>
    <d v="2017-06-25T00:00:00"/>
    <x v="3"/>
    <x v="5"/>
    <x v="7"/>
    <x v="8"/>
    <x v="0"/>
    <x v="2"/>
    <s v="Study Table"/>
    <n v="2455.16"/>
    <n v="4"/>
    <n v="229.13"/>
  </r>
  <r>
    <d v="2017-06-27T00:00:00"/>
    <x v="3"/>
    <x v="5"/>
    <x v="5"/>
    <x v="0"/>
    <x v="0"/>
    <x v="4"/>
    <s v="Office Chair"/>
    <n v="3253.3"/>
    <n v="7"/>
    <n v="317.8"/>
  </r>
  <r>
    <d v="2017-06-27T00:00:00"/>
    <x v="3"/>
    <x v="5"/>
    <x v="3"/>
    <x v="0"/>
    <x v="2"/>
    <x v="3"/>
    <s v="IP Phone"/>
    <n v="616.04999999999995"/>
    <n v="3"/>
    <n v="126.79"/>
  </r>
  <r>
    <d v="2017-06-29T00:00:00"/>
    <x v="3"/>
    <x v="5"/>
    <x v="6"/>
    <x v="7"/>
    <x v="1"/>
    <x v="8"/>
    <s v="Printer Paper"/>
    <n v="3674.46"/>
    <n v="1"/>
    <n v="397.53"/>
  </r>
  <r>
    <d v="2017-06-29T00:00:00"/>
    <x v="3"/>
    <x v="5"/>
    <x v="3"/>
    <x v="4"/>
    <x v="2"/>
    <x v="3"/>
    <s v="Smartphone"/>
    <n v="1438.29"/>
    <n v="9"/>
    <n v="348.78"/>
  </r>
  <r>
    <d v="2017-06-29T00:00:00"/>
    <x v="3"/>
    <x v="5"/>
    <x v="6"/>
    <x v="6"/>
    <x v="2"/>
    <x v="5"/>
    <s v="USB Drive"/>
    <n v="1884.8"/>
    <n v="8"/>
    <n v="161.33000000000001"/>
  </r>
  <r>
    <d v="2017-07-01T00:00:00"/>
    <x v="3"/>
    <x v="6"/>
    <x v="9"/>
    <x v="3"/>
    <x v="1"/>
    <x v="9"/>
    <s v="Ring Binder"/>
    <n v="3453.34"/>
    <n v="1"/>
    <n v="84.8"/>
  </r>
  <r>
    <d v="2017-07-02T00:00:00"/>
    <x v="3"/>
    <x v="6"/>
    <x v="11"/>
    <x v="8"/>
    <x v="0"/>
    <x v="4"/>
    <s v="Office Chair"/>
    <n v="2182.52"/>
    <n v="7"/>
    <n v="363.88"/>
  </r>
  <r>
    <d v="2017-07-02T00:00:00"/>
    <x v="3"/>
    <x v="6"/>
    <x v="10"/>
    <x v="7"/>
    <x v="1"/>
    <x v="1"/>
    <s v="Heater"/>
    <n v="1015.54"/>
    <n v="2"/>
    <n v="60.07"/>
  </r>
  <r>
    <d v="2017-07-02T00:00:00"/>
    <x v="3"/>
    <x v="6"/>
    <x v="3"/>
    <x v="5"/>
    <x v="1"/>
    <x v="9"/>
    <s v="Ring Binder"/>
    <n v="2957.41"/>
    <n v="5"/>
    <n v="300.07"/>
  </r>
  <r>
    <d v="2017-07-03T00:00:00"/>
    <x v="3"/>
    <x v="6"/>
    <x v="0"/>
    <x v="2"/>
    <x v="0"/>
    <x v="2"/>
    <s v="Study Table"/>
    <n v="1707.73"/>
    <n v="1"/>
    <n v="426.59"/>
  </r>
  <r>
    <d v="2017-07-03T00:00:00"/>
    <x v="3"/>
    <x v="6"/>
    <x v="6"/>
    <x v="3"/>
    <x v="2"/>
    <x v="5"/>
    <s v="Mouse"/>
    <n v="3003.36"/>
    <n v="9"/>
    <n v="560.6"/>
  </r>
  <r>
    <d v="2017-07-03T00:00:00"/>
    <x v="3"/>
    <x v="6"/>
    <x v="6"/>
    <x v="2"/>
    <x v="0"/>
    <x v="10"/>
    <s v="Metal Bookcase"/>
    <n v="709.33"/>
    <n v="5"/>
    <n v="43.74"/>
  </r>
  <r>
    <d v="2017-07-04T00:00:00"/>
    <x v="3"/>
    <x v="6"/>
    <x v="10"/>
    <x v="9"/>
    <x v="0"/>
    <x v="10"/>
    <s v="Metal Bookcase"/>
    <n v="1128.25"/>
    <n v="4"/>
    <n v="194.92"/>
  </r>
  <r>
    <d v="2017-07-05T00:00:00"/>
    <x v="3"/>
    <x v="6"/>
    <x v="8"/>
    <x v="0"/>
    <x v="0"/>
    <x v="4"/>
    <s v="Office Chair"/>
    <n v="4567.62"/>
    <n v="7"/>
    <n v="347.26"/>
  </r>
  <r>
    <d v="2017-07-07T00:00:00"/>
    <x v="3"/>
    <x v="6"/>
    <x v="5"/>
    <x v="5"/>
    <x v="2"/>
    <x v="5"/>
    <s v="USB Drive"/>
    <n v="1415.67"/>
    <n v="7"/>
    <n v="68.790000000000006"/>
  </r>
  <r>
    <d v="2017-07-07T00:00:00"/>
    <x v="3"/>
    <x v="6"/>
    <x v="10"/>
    <x v="7"/>
    <x v="0"/>
    <x v="10"/>
    <s v="Wooden Bookcase"/>
    <n v="1270.3399999999999"/>
    <n v="1"/>
    <n v="49.4"/>
  </r>
  <r>
    <d v="2017-07-07T00:00:00"/>
    <x v="3"/>
    <x v="6"/>
    <x v="7"/>
    <x v="6"/>
    <x v="2"/>
    <x v="6"/>
    <s v="Inkjet Copier"/>
    <n v="746.71"/>
    <n v="4"/>
    <n v="8.83"/>
  </r>
  <r>
    <d v="2017-07-11T00:00:00"/>
    <x v="3"/>
    <x v="6"/>
    <x v="11"/>
    <x v="9"/>
    <x v="1"/>
    <x v="9"/>
    <s v="Binder Pack"/>
    <n v="2401.54"/>
    <n v="6"/>
    <n v="703.1"/>
  </r>
  <r>
    <d v="2017-07-11T00:00:00"/>
    <x v="3"/>
    <x v="6"/>
    <x v="1"/>
    <x v="1"/>
    <x v="1"/>
    <x v="1"/>
    <s v="Heater"/>
    <n v="3670.78"/>
    <n v="9"/>
    <n v="738.49"/>
  </r>
  <r>
    <d v="2017-07-11T00:00:00"/>
    <x v="3"/>
    <x v="6"/>
    <x v="10"/>
    <x v="1"/>
    <x v="2"/>
    <x v="5"/>
    <s v="USB Drive"/>
    <n v="3946.82"/>
    <n v="6"/>
    <n v="928.37"/>
  </r>
  <r>
    <d v="2017-07-12T00:00:00"/>
    <x v="3"/>
    <x v="6"/>
    <x v="10"/>
    <x v="6"/>
    <x v="1"/>
    <x v="9"/>
    <s v="Ring Binder"/>
    <n v="4304.8500000000004"/>
    <n v="3"/>
    <n v="475.69"/>
  </r>
  <r>
    <d v="2017-07-13T00:00:00"/>
    <x v="3"/>
    <x v="6"/>
    <x v="3"/>
    <x v="5"/>
    <x v="2"/>
    <x v="5"/>
    <s v="Keyboard"/>
    <n v="4709.8"/>
    <n v="10"/>
    <n v="1222.68"/>
  </r>
  <r>
    <d v="2017-07-13T00:00:00"/>
    <x v="3"/>
    <x v="6"/>
    <x v="0"/>
    <x v="5"/>
    <x v="2"/>
    <x v="5"/>
    <s v="Keyboard"/>
    <n v="3276.28"/>
    <n v="3"/>
    <n v="556"/>
  </r>
  <r>
    <d v="2017-07-14T00:00:00"/>
    <x v="3"/>
    <x v="6"/>
    <x v="5"/>
    <x v="5"/>
    <x v="2"/>
    <x v="6"/>
    <s v="Inkjet Copier"/>
    <n v="827.56"/>
    <n v="6"/>
    <n v="203.5"/>
  </r>
  <r>
    <d v="2017-07-15T00:00:00"/>
    <x v="3"/>
    <x v="6"/>
    <x v="1"/>
    <x v="4"/>
    <x v="0"/>
    <x v="4"/>
    <s v="Executive Chair"/>
    <n v="4720.43"/>
    <n v="5"/>
    <n v="712.96"/>
  </r>
  <r>
    <d v="2017-07-15T00:00:00"/>
    <x v="3"/>
    <x v="6"/>
    <x v="1"/>
    <x v="1"/>
    <x v="2"/>
    <x v="3"/>
    <s v="Smartphone"/>
    <n v="931.97"/>
    <n v="7"/>
    <n v="35.299999999999997"/>
  </r>
  <r>
    <d v="2017-07-15T00:00:00"/>
    <x v="3"/>
    <x v="6"/>
    <x v="10"/>
    <x v="1"/>
    <x v="1"/>
    <x v="1"/>
    <s v="Air Cleaner"/>
    <n v="90.23"/>
    <n v="5"/>
    <n v="6.14"/>
  </r>
  <r>
    <d v="2017-07-16T00:00:00"/>
    <x v="3"/>
    <x v="6"/>
    <x v="8"/>
    <x v="4"/>
    <x v="2"/>
    <x v="5"/>
    <s v="Keyboard"/>
    <n v="4357.18"/>
    <n v="9"/>
    <n v="153.24"/>
  </r>
  <r>
    <d v="2017-07-16T00:00:00"/>
    <x v="3"/>
    <x v="6"/>
    <x v="11"/>
    <x v="4"/>
    <x v="1"/>
    <x v="1"/>
    <s v="Heater"/>
    <n v="2347.2800000000002"/>
    <n v="7"/>
    <n v="49.56"/>
  </r>
  <r>
    <d v="2017-07-17T00:00:00"/>
    <x v="3"/>
    <x v="6"/>
    <x v="11"/>
    <x v="8"/>
    <x v="0"/>
    <x v="0"/>
    <s v="Wall Decor"/>
    <n v="3132.15"/>
    <n v="9"/>
    <n v="590.15"/>
  </r>
  <r>
    <d v="2017-07-17T00:00:00"/>
    <x v="3"/>
    <x v="6"/>
    <x v="6"/>
    <x v="4"/>
    <x v="0"/>
    <x v="4"/>
    <s v="Ergonomic Chair"/>
    <n v="650.76"/>
    <n v="3"/>
    <n v="190.12"/>
  </r>
  <r>
    <d v="2017-07-17T00:00:00"/>
    <x v="3"/>
    <x v="6"/>
    <x v="5"/>
    <x v="7"/>
    <x v="2"/>
    <x v="6"/>
    <s v="Inkjet Copier"/>
    <n v="3233.19"/>
    <n v="3"/>
    <n v="81.569999999999993"/>
  </r>
  <r>
    <d v="2017-07-18T00:00:00"/>
    <x v="3"/>
    <x v="6"/>
    <x v="2"/>
    <x v="9"/>
    <x v="0"/>
    <x v="4"/>
    <s v="Executive Chair"/>
    <n v="871.44"/>
    <n v="1"/>
    <n v="34.32"/>
  </r>
  <r>
    <d v="2017-07-20T00:00:00"/>
    <x v="3"/>
    <x v="6"/>
    <x v="9"/>
    <x v="6"/>
    <x v="1"/>
    <x v="8"/>
    <s v="A4 Paper Pack"/>
    <n v="2972.5"/>
    <n v="10"/>
    <n v="456.32"/>
  </r>
  <r>
    <d v="2017-07-21T00:00:00"/>
    <x v="3"/>
    <x v="6"/>
    <x v="10"/>
    <x v="3"/>
    <x v="0"/>
    <x v="0"/>
    <s v="Desk Lamp"/>
    <n v="3351.91"/>
    <n v="10"/>
    <n v="832.75"/>
  </r>
  <r>
    <d v="2017-07-21T00:00:00"/>
    <x v="3"/>
    <x v="6"/>
    <x v="2"/>
    <x v="9"/>
    <x v="0"/>
    <x v="4"/>
    <s v="Ergonomic Chair"/>
    <n v="2898.13"/>
    <n v="3"/>
    <n v="795.24"/>
  </r>
  <r>
    <d v="2017-07-22T00:00:00"/>
    <x v="3"/>
    <x v="6"/>
    <x v="7"/>
    <x v="3"/>
    <x v="1"/>
    <x v="9"/>
    <s v="Ring Binder"/>
    <n v="1272.8900000000001"/>
    <n v="4"/>
    <n v="144.09"/>
  </r>
  <r>
    <d v="2017-07-22T00:00:00"/>
    <x v="3"/>
    <x v="6"/>
    <x v="6"/>
    <x v="7"/>
    <x v="0"/>
    <x v="10"/>
    <s v="Metal Bookcase"/>
    <n v="4069.31"/>
    <n v="1"/>
    <n v="1153.23"/>
  </r>
  <r>
    <d v="2017-07-23T00:00:00"/>
    <x v="3"/>
    <x v="6"/>
    <x v="4"/>
    <x v="3"/>
    <x v="0"/>
    <x v="10"/>
    <s v="Wooden Bookcase"/>
    <n v="4446.76"/>
    <n v="7"/>
    <n v="217.15"/>
  </r>
  <r>
    <d v="2017-07-24T00:00:00"/>
    <x v="3"/>
    <x v="6"/>
    <x v="5"/>
    <x v="1"/>
    <x v="2"/>
    <x v="6"/>
    <s v="Laser Copier"/>
    <n v="3581.18"/>
    <n v="9"/>
    <n v="542.44000000000005"/>
  </r>
  <r>
    <d v="2017-07-27T00:00:00"/>
    <x v="3"/>
    <x v="6"/>
    <x v="6"/>
    <x v="5"/>
    <x v="1"/>
    <x v="9"/>
    <s v="Ring Binder"/>
    <n v="3579.41"/>
    <n v="8"/>
    <n v="308.95"/>
  </r>
  <r>
    <d v="2017-07-27T00:00:00"/>
    <x v="3"/>
    <x v="6"/>
    <x v="11"/>
    <x v="2"/>
    <x v="1"/>
    <x v="8"/>
    <s v="Printer Paper"/>
    <n v="3724.09"/>
    <n v="2"/>
    <n v="705.49"/>
  </r>
  <r>
    <d v="2017-07-29T00:00:00"/>
    <x v="3"/>
    <x v="6"/>
    <x v="6"/>
    <x v="8"/>
    <x v="1"/>
    <x v="1"/>
    <s v="Heater"/>
    <n v="743.92"/>
    <n v="7"/>
    <n v="56.18"/>
  </r>
  <r>
    <d v="2017-07-30T00:00:00"/>
    <x v="3"/>
    <x v="6"/>
    <x v="8"/>
    <x v="0"/>
    <x v="2"/>
    <x v="5"/>
    <s v="Mouse"/>
    <n v="4802.3100000000004"/>
    <n v="9"/>
    <n v="1343.09"/>
  </r>
  <r>
    <d v="2017-07-30T00:00:00"/>
    <x v="3"/>
    <x v="6"/>
    <x v="11"/>
    <x v="6"/>
    <x v="0"/>
    <x v="4"/>
    <s v="Ergonomic Chair"/>
    <n v="456.2"/>
    <n v="9"/>
    <n v="75.989999999999995"/>
  </r>
  <r>
    <d v="2017-07-30T00:00:00"/>
    <x v="3"/>
    <x v="6"/>
    <x v="5"/>
    <x v="0"/>
    <x v="1"/>
    <x v="1"/>
    <s v="Heater"/>
    <n v="4143.2299999999996"/>
    <n v="1"/>
    <n v="550.32000000000005"/>
  </r>
  <r>
    <d v="2017-07-31T00:00:00"/>
    <x v="3"/>
    <x v="6"/>
    <x v="4"/>
    <x v="6"/>
    <x v="1"/>
    <x v="7"/>
    <s v="Sketch Kit"/>
    <n v="1505.31"/>
    <n v="9"/>
    <n v="409.14"/>
  </r>
  <r>
    <d v="2017-08-01T00:00:00"/>
    <x v="3"/>
    <x v="7"/>
    <x v="9"/>
    <x v="9"/>
    <x v="2"/>
    <x v="5"/>
    <s v="USB Drive"/>
    <n v="3656.42"/>
    <n v="6"/>
    <n v="826.44"/>
  </r>
  <r>
    <d v="2017-08-01T00:00:00"/>
    <x v="3"/>
    <x v="7"/>
    <x v="3"/>
    <x v="2"/>
    <x v="1"/>
    <x v="8"/>
    <s v="A4 Paper Pack"/>
    <n v="1585.45"/>
    <n v="8"/>
    <n v="390.75"/>
  </r>
  <r>
    <d v="2017-08-01T00:00:00"/>
    <x v="3"/>
    <x v="7"/>
    <x v="7"/>
    <x v="7"/>
    <x v="1"/>
    <x v="11"/>
    <s v="Storage Box"/>
    <n v="4495.87"/>
    <n v="4"/>
    <n v="244.78"/>
  </r>
  <r>
    <d v="2017-08-03T00:00:00"/>
    <x v="3"/>
    <x v="7"/>
    <x v="10"/>
    <x v="1"/>
    <x v="1"/>
    <x v="1"/>
    <s v="Heater"/>
    <n v="3700.64"/>
    <n v="8"/>
    <n v="958.56"/>
  </r>
  <r>
    <d v="2017-08-03T00:00:00"/>
    <x v="3"/>
    <x v="7"/>
    <x v="9"/>
    <x v="1"/>
    <x v="1"/>
    <x v="8"/>
    <s v="Printer Paper"/>
    <n v="4098.25"/>
    <n v="8"/>
    <n v="679.37"/>
  </r>
  <r>
    <d v="2017-08-03T00:00:00"/>
    <x v="3"/>
    <x v="7"/>
    <x v="6"/>
    <x v="1"/>
    <x v="1"/>
    <x v="9"/>
    <s v="Ring Binder"/>
    <n v="2564.52"/>
    <n v="5"/>
    <n v="139.02000000000001"/>
  </r>
  <r>
    <d v="2017-08-03T00:00:00"/>
    <x v="3"/>
    <x v="7"/>
    <x v="3"/>
    <x v="3"/>
    <x v="0"/>
    <x v="10"/>
    <s v="Metal Bookcase"/>
    <n v="3634.2"/>
    <n v="2"/>
    <n v="1078.28"/>
  </r>
  <r>
    <d v="2017-08-04T00:00:00"/>
    <x v="3"/>
    <x v="7"/>
    <x v="5"/>
    <x v="6"/>
    <x v="2"/>
    <x v="6"/>
    <s v="Inkjet Copier"/>
    <n v="536.5"/>
    <n v="1"/>
    <n v="108.86"/>
  </r>
  <r>
    <d v="2017-08-05T00:00:00"/>
    <x v="3"/>
    <x v="7"/>
    <x v="4"/>
    <x v="0"/>
    <x v="1"/>
    <x v="8"/>
    <s v="A4 Paper Pack"/>
    <n v="4822.87"/>
    <n v="4"/>
    <n v="191.04"/>
  </r>
  <r>
    <d v="2017-08-05T00:00:00"/>
    <x v="3"/>
    <x v="7"/>
    <x v="10"/>
    <x v="3"/>
    <x v="0"/>
    <x v="2"/>
    <s v="Study Table"/>
    <n v="349.11"/>
    <n v="4"/>
    <n v="10.28"/>
  </r>
  <r>
    <d v="2017-08-06T00:00:00"/>
    <x v="3"/>
    <x v="7"/>
    <x v="11"/>
    <x v="0"/>
    <x v="1"/>
    <x v="1"/>
    <s v="Air Cleaner"/>
    <n v="1136.7"/>
    <n v="1"/>
    <n v="65.25"/>
  </r>
  <r>
    <d v="2017-08-06T00:00:00"/>
    <x v="3"/>
    <x v="7"/>
    <x v="3"/>
    <x v="7"/>
    <x v="1"/>
    <x v="9"/>
    <s v="Binder Pack"/>
    <n v="819.62"/>
    <n v="7"/>
    <n v="186.84"/>
  </r>
  <r>
    <d v="2017-08-06T00:00:00"/>
    <x v="3"/>
    <x v="7"/>
    <x v="6"/>
    <x v="6"/>
    <x v="1"/>
    <x v="1"/>
    <s v="Air Cleaner"/>
    <n v="2391.14"/>
    <n v="5"/>
    <n v="260.95999999999998"/>
  </r>
  <r>
    <d v="2017-08-07T00:00:00"/>
    <x v="3"/>
    <x v="7"/>
    <x v="4"/>
    <x v="4"/>
    <x v="1"/>
    <x v="9"/>
    <s v="Binder Pack"/>
    <n v="3509.06"/>
    <n v="9"/>
    <n v="288.26"/>
  </r>
  <r>
    <d v="2017-08-07T00:00:00"/>
    <x v="3"/>
    <x v="7"/>
    <x v="11"/>
    <x v="0"/>
    <x v="0"/>
    <x v="10"/>
    <s v="Wooden Bookcase"/>
    <n v="938.62"/>
    <n v="6"/>
    <n v="26.44"/>
  </r>
  <r>
    <d v="2017-08-08T00:00:00"/>
    <x v="3"/>
    <x v="7"/>
    <x v="6"/>
    <x v="4"/>
    <x v="0"/>
    <x v="4"/>
    <s v="Ergonomic Chair"/>
    <n v="2842.8"/>
    <n v="9"/>
    <n v="693.71"/>
  </r>
  <r>
    <d v="2017-08-09T00:00:00"/>
    <x v="3"/>
    <x v="7"/>
    <x v="3"/>
    <x v="6"/>
    <x v="0"/>
    <x v="2"/>
    <s v="Conference Table"/>
    <n v="4439.37"/>
    <n v="3"/>
    <n v="206.58"/>
  </r>
  <r>
    <d v="2017-08-09T00:00:00"/>
    <x v="3"/>
    <x v="7"/>
    <x v="5"/>
    <x v="4"/>
    <x v="0"/>
    <x v="0"/>
    <s v="Desk Lamp"/>
    <n v="4815.9799999999996"/>
    <n v="4"/>
    <n v="1061.19"/>
  </r>
  <r>
    <d v="2017-08-10T00:00:00"/>
    <x v="3"/>
    <x v="7"/>
    <x v="6"/>
    <x v="8"/>
    <x v="0"/>
    <x v="2"/>
    <s v="Conference Table"/>
    <n v="4093.71"/>
    <n v="10"/>
    <n v="367.47"/>
  </r>
  <r>
    <d v="2017-08-10T00:00:00"/>
    <x v="3"/>
    <x v="7"/>
    <x v="5"/>
    <x v="3"/>
    <x v="1"/>
    <x v="11"/>
    <s v="Storage Box"/>
    <n v="4659.5200000000004"/>
    <n v="8"/>
    <n v="1149.33"/>
  </r>
  <r>
    <d v="2017-08-10T00:00:00"/>
    <x v="3"/>
    <x v="7"/>
    <x v="3"/>
    <x v="4"/>
    <x v="0"/>
    <x v="2"/>
    <s v="Study Table"/>
    <n v="3549.52"/>
    <n v="7"/>
    <n v="836.99"/>
  </r>
  <r>
    <d v="2017-08-11T00:00:00"/>
    <x v="3"/>
    <x v="7"/>
    <x v="0"/>
    <x v="4"/>
    <x v="2"/>
    <x v="3"/>
    <s v="IP Phone"/>
    <n v="1898.37"/>
    <n v="1"/>
    <n v="490.78"/>
  </r>
  <r>
    <d v="2017-08-11T00:00:00"/>
    <x v="3"/>
    <x v="7"/>
    <x v="9"/>
    <x v="1"/>
    <x v="0"/>
    <x v="2"/>
    <s v="Study Table"/>
    <n v="3323.6"/>
    <n v="4"/>
    <n v="299.70999999999998"/>
  </r>
  <r>
    <d v="2017-08-12T00:00:00"/>
    <x v="3"/>
    <x v="7"/>
    <x v="1"/>
    <x v="7"/>
    <x v="2"/>
    <x v="3"/>
    <s v="Smartphone"/>
    <n v="4520.7"/>
    <n v="10"/>
    <n v="706.66"/>
  </r>
  <r>
    <d v="2017-08-12T00:00:00"/>
    <x v="3"/>
    <x v="7"/>
    <x v="0"/>
    <x v="9"/>
    <x v="1"/>
    <x v="7"/>
    <s v="Color Set"/>
    <n v="2091.94"/>
    <n v="10"/>
    <n v="551.23"/>
  </r>
  <r>
    <d v="2017-08-12T00:00:00"/>
    <x v="3"/>
    <x v="7"/>
    <x v="6"/>
    <x v="2"/>
    <x v="1"/>
    <x v="7"/>
    <s v="Color Set"/>
    <n v="1905.65"/>
    <n v="5"/>
    <n v="287.88"/>
  </r>
  <r>
    <d v="2017-08-13T00:00:00"/>
    <x v="3"/>
    <x v="7"/>
    <x v="11"/>
    <x v="5"/>
    <x v="2"/>
    <x v="5"/>
    <s v="Mouse"/>
    <n v="205.81"/>
    <n v="7"/>
    <n v="40.24"/>
  </r>
  <r>
    <d v="2017-08-15T00:00:00"/>
    <x v="3"/>
    <x v="7"/>
    <x v="5"/>
    <x v="2"/>
    <x v="1"/>
    <x v="8"/>
    <s v="A4 Paper Pack"/>
    <n v="253.68"/>
    <n v="10"/>
    <n v="2.94"/>
  </r>
  <r>
    <d v="2017-08-15T00:00:00"/>
    <x v="3"/>
    <x v="7"/>
    <x v="7"/>
    <x v="4"/>
    <x v="1"/>
    <x v="8"/>
    <s v="A4 Paper Pack"/>
    <n v="4579.08"/>
    <n v="7"/>
    <n v="254.49"/>
  </r>
  <r>
    <d v="2017-08-15T00:00:00"/>
    <x v="3"/>
    <x v="7"/>
    <x v="10"/>
    <x v="0"/>
    <x v="1"/>
    <x v="9"/>
    <s v="Binder Pack"/>
    <n v="3646.05"/>
    <n v="9"/>
    <n v="58.55"/>
  </r>
  <r>
    <d v="2017-08-17T00:00:00"/>
    <x v="3"/>
    <x v="7"/>
    <x v="10"/>
    <x v="1"/>
    <x v="2"/>
    <x v="3"/>
    <s v="IP Phone"/>
    <n v="2508.38"/>
    <n v="7"/>
    <n v="209.19"/>
  </r>
  <r>
    <d v="2017-08-18T00:00:00"/>
    <x v="3"/>
    <x v="7"/>
    <x v="7"/>
    <x v="0"/>
    <x v="1"/>
    <x v="9"/>
    <s v="Ring Binder"/>
    <n v="1248.06"/>
    <n v="10"/>
    <n v="251.5"/>
  </r>
  <r>
    <d v="2017-08-18T00:00:00"/>
    <x v="3"/>
    <x v="7"/>
    <x v="9"/>
    <x v="0"/>
    <x v="0"/>
    <x v="0"/>
    <s v="Desk Lamp"/>
    <n v="229.22"/>
    <n v="1"/>
    <n v="1.93"/>
  </r>
  <r>
    <d v="2017-08-18T00:00:00"/>
    <x v="3"/>
    <x v="7"/>
    <x v="9"/>
    <x v="9"/>
    <x v="1"/>
    <x v="1"/>
    <s v="Air Cleaner"/>
    <n v="1170.6099999999999"/>
    <n v="8"/>
    <n v="62.89"/>
  </r>
  <r>
    <d v="2017-08-19T00:00:00"/>
    <x v="3"/>
    <x v="7"/>
    <x v="9"/>
    <x v="7"/>
    <x v="1"/>
    <x v="11"/>
    <s v="Drawer Unit"/>
    <n v="919.42"/>
    <n v="5"/>
    <n v="30.49"/>
  </r>
  <r>
    <d v="2017-08-19T00:00:00"/>
    <x v="3"/>
    <x v="7"/>
    <x v="8"/>
    <x v="3"/>
    <x v="2"/>
    <x v="6"/>
    <s v="Inkjet Copier"/>
    <n v="1066.98"/>
    <n v="4"/>
    <n v="158.96"/>
  </r>
  <r>
    <d v="2017-08-20T00:00:00"/>
    <x v="3"/>
    <x v="7"/>
    <x v="3"/>
    <x v="4"/>
    <x v="2"/>
    <x v="6"/>
    <s v="Laser Copier"/>
    <n v="4155.24"/>
    <n v="7"/>
    <n v="758.36"/>
  </r>
  <r>
    <d v="2017-08-20T00:00:00"/>
    <x v="3"/>
    <x v="7"/>
    <x v="2"/>
    <x v="3"/>
    <x v="1"/>
    <x v="1"/>
    <s v="Air Cleaner"/>
    <n v="761.17"/>
    <n v="6"/>
    <n v="151.44"/>
  </r>
  <r>
    <d v="2017-08-20T00:00:00"/>
    <x v="3"/>
    <x v="7"/>
    <x v="8"/>
    <x v="9"/>
    <x v="1"/>
    <x v="1"/>
    <s v="Air Cleaner"/>
    <n v="2024.48"/>
    <n v="7"/>
    <n v="484.01"/>
  </r>
  <r>
    <d v="2017-08-21T00:00:00"/>
    <x v="3"/>
    <x v="7"/>
    <x v="6"/>
    <x v="4"/>
    <x v="1"/>
    <x v="8"/>
    <s v="A4 Paper Pack"/>
    <n v="4549.67"/>
    <n v="6"/>
    <n v="111.8"/>
  </r>
  <r>
    <d v="2017-08-22T00:00:00"/>
    <x v="3"/>
    <x v="7"/>
    <x v="2"/>
    <x v="6"/>
    <x v="1"/>
    <x v="7"/>
    <s v="Color Set"/>
    <n v="2499.89"/>
    <n v="4"/>
    <n v="99.47"/>
  </r>
  <r>
    <d v="2017-08-23T00:00:00"/>
    <x v="3"/>
    <x v="7"/>
    <x v="11"/>
    <x v="3"/>
    <x v="0"/>
    <x v="10"/>
    <s v="Wooden Bookcase"/>
    <n v="3587.98"/>
    <n v="1"/>
    <n v="500.42"/>
  </r>
  <r>
    <d v="2017-08-24T00:00:00"/>
    <x v="3"/>
    <x v="7"/>
    <x v="5"/>
    <x v="2"/>
    <x v="1"/>
    <x v="8"/>
    <s v="A4 Paper Pack"/>
    <n v="2385.38"/>
    <n v="6"/>
    <n v="114.31"/>
  </r>
  <r>
    <d v="2017-08-24T00:00:00"/>
    <x v="3"/>
    <x v="7"/>
    <x v="7"/>
    <x v="5"/>
    <x v="1"/>
    <x v="9"/>
    <s v="Binder Pack"/>
    <n v="3240.44"/>
    <n v="9"/>
    <n v="812.38"/>
  </r>
  <r>
    <d v="2017-08-24T00:00:00"/>
    <x v="3"/>
    <x v="7"/>
    <x v="11"/>
    <x v="9"/>
    <x v="1"/>
    <x v="11"/>
    <s v="Storage Box"/>
    <n v="3973.3"/>
    <n v="10"/>
    <n v="800.15"/>
  </r>
  <r>
    <d v="2017-08-25T00:00:00"/>
    <x v="3"/>
    <x v="7"/>
    <x v="5"/>
    <x v="9"/>
    <x v="1"/>
    <x v="11"/>
    <s v="Drawer Unit"/>
    <n v="2181.4299999999998"/>
    <n v="2"/>
    <n v="400.1"/>
  </r>
  <r>
    <d v="2017-08-25T00:00:00"/>
    <x v="3"/>
    <x v="7"/>
    <x v="3"/>
    <x v="4"/>
    <x v="0"/>
    <x v="4"/>
    <s v="Executive Chair"/>
    <n v="1780.22"/>
    <n v="4"/>
    <n v="403.23"/>
  </r>
  <r>
    <d v="2017-08-25T00:00:00"/>
    <x v="3"/>
    <x v="7"/>
    <x v="8"/>
    <x v="6"/>
    <x v="2"/>
    <x v="6"/>
    <s v="Inkjet Copier"/>
    <n v="3811.56"/>
    <n v="5"/>
    <n v="52"/>
  </r>
  <r>
    <d v="2017-08-25T00:00:00"/>
    <x v="3"/>
    <x v="7"/>
    <x v="0"/>
    <x v="5"/>
    <x v="0"/>
    <x v="10"/>
    <s v="Metal Bookcase"/>
    <n v="957.02"/>
    <n v="9"/>
    <n v="70.8"/>
  </r>
  <r>
    <d v="2017-08-26T00:00:00"/>
    <x v="3"/>
    <x v="7"/>
    <x v="2"/>
    <x v="1"/>
    <x v="0"/>
    <x v="10"/>
    <s v="Wooden Bookcase"/>
    <n v="3745.3"/>
    <n v="2"/>
    <n v="150.72999999999999"/>
  </r>
  <r>
    <d v="2017-08-26T00:00:00"/>
    <x v="3"/>
    <x v="7"/>
    <x v="10"/>
    <x v="3"/>
    <x v="0"/>
    <x v="10"/>
    <s v="Wooden Bookcase"/>
    <n v="120.33"/>
    <n v="3"/>
    <n v="2.63"/>
  </r>
  <r>
    <d v="2017-08-28T00:00:00"/>
    <x v="3"/>
    <x v="7"/>
    <x v="7"/>
    <x v="5"/>
    <x v="0"/>
    <x v="2"/>
    <s v="Conference Table"/>
    <n v="4426.7"/>
    <n v="9"/>
    <n v="164.51"/>
  </r>
  <r>
    <d v="2017-08-28T00:00:00"/>
    <x v="3"/>
    <x v="7"/>
    <x v="11"/>
    <x v="9"/>
    <x v="1"/>
    <x v="7"/>
    <s v="Sketch Kit"/>
    <n v="2507.66"/>
    <n v="1"/>
    <n v="308.19"/>
  </r>
  <r>
    <d v="2017-08-28T00:00:00"/>
    <x v="3"/>
    <x v="7"/>
    <x v="6"/>
    <x v="8"/>
    <x v="0"/>
    <x v="2"/>
    <s v="Study Table"/>
    <n v="314.81"/>
    <n v="7"/>
    <n v="72.209999999999994"/>
  </r>
  <r>
    <d v="2017-08-28T00:00:00"/>
    <x v="3"/>
    <x v="7"/>
    <x v="8"/>
    <x v="5"/>
    <x v="1"/>
    <x v="8"/>
    <s v="A4 Paper Pack"/>
    <n v="291.82"/>
    <n v="5"/>
    <n v="59.01"/>
  </r>
  <r>
    <d v="2017-08-29T00:00:00"/>
    <x v="3"/>
    <x v="7"/>
    <x v="6"/>
    <x v="6"/>
    <x v="2"/>
    <x v="3"/>
    <s v="Smartphone"/>
    <n v="106.16"/>
    <n v="2"/>
    <n v="10.55"/>
  </r>
  <r>
    <d v="2017-08-29T00:00:00"/>
    <x v="3"/>
    <x v="7"/>
    <x v="8"/>
    <x v="6"/>
    <x v="2"/>
    <x v="5"/>
    <s v="USB Drive"/>
    <n v="3911.41"/>
    <n v="4"/>
    <n v="1092.99"/>
  </r>
  <r>
    <d v="2017-08-29T00:00:00"/>
    <x v="3"/>
    <x v="7"/>
    <x v="10"/>
    <x v="2"/>
    <x v="1"/>
    <x v="8"/>
    <s v="A4 Paper Pack"/>
    <n v="233.04"/>
    <n v="1"/>
    <n v="16.75"/>
  </r>
  <r>
    <d v="2017-08-29T00:00:00"/>
    <x v="3"/>
    <x v="7"/>
    <x v="0"/>
    <x v="9"/>
    <x v="2"/>
    <x v="5"/>
    <s v="USB Drive"/>
    <n v="2562.08"/>
    <n v="8"/>
    <n v="498.67"/>
  </r>
  <r>
    <d v="2017-08-30T00:00:00"/>
    <x v="3"/>
    <x v="7"/>
    <x v="11"/>
    <x v="7"/>
    <x v="2"/>
    <x v="6"/>
    <s v="Inkjet Copier"/>
    <n v="811.41"/>
    <n v="1"/>
    <n v="24.2"/>
  </r>
  <r>
    <d v="2017-08-30T00:00:00"/>
    <x v="3"/>
    <x v="7"/>
    <x v="8"/>
    <x v="6"/>
    <x v="2"/>
    <x v="6"/>
    <s v="Inkjet Copier"/>
    <n v="2532.17"/>
    <n v="2"/>
    <n v="749.13"/>
  </r>
  <r>
    <d v="2017-08-30T00:00:00"/>
    <x v="3"/>
    <x v="7"/>
    <x v="10"/>
    <x v="0"/>
    <x v="0"/>
    <x v="10"/>
    <s v="Metal Bookcase"/>
    <n v="1581.91"/>
    <n v="6"/>
    <n v="346.03"/>
  </r>
  <r>
    <d v="2017-08-31T00:00:00"/>
    <x v="3"/>
    <x v="7"/>
    <x v="6"/>
    <x v="8"/>
    <x v="0"/>
    <x v="2"/>
    <s v="Study Table"/>
    <n v="3909.9"/>
    <n v="5"/>
    <n v="103.5"/>
  </r>
  <r>
    <d v="2017-08-31T00:00:00"/>
    <x v="3"/>
    <x v="7"/>
    <x v="4"/>
    <x v="8"/>
    <x v="1"/>
    <x v="11"/>
    <s v="Drawer Unit"/>
    <n v="341.33"/>
    <n v="7"/>
    <n v="5.99"/>
  </r>
  <r>
    <d v="2017-09-01T00:00:00"/>
    <x v="3"/>
    <x v="8"/>
    <x v="10"/>
    <x v="5"/>
    <x v="2"/>
    <x v="6"/>
    <s v="Laser Copier"/>
    <n v="2905.42"/>
    <n v="2"/>
    <n v="180.09"/>
  </r>
  <r>
    <d v="2017-09-03T00:00:00"/>
    <x v="3"/>
    <x v="8"/>
    <x v="4"/>
    <x v="6"/>
    <x v="0"/>
    <x v="0"/>
    <s v="Desk Lamp"/>
    <n v="3556.05"/>
    <n v="5"/>
    <n v="600.41"/>
  </r>
  <r>
    <d v="2017-09-04T00:00:00"/>
    <x v="3"/>
    <x v="8"/>
    <x v="7"/>
    <x v="6"/>
    <x v="0"/>
    <x v="2"/>
    <s v="Study Table"/>
    <n v="4073.59"/>
    <n v="4"/>
    <n v="482.67"/>
  </r>
  <r>
    <d v="2017-09-04T00:00:00"/>
    <x v="3"/>
    <x v="8"/>
    <x v="1"/>
    <x v="4"/>
    <x v="2"/>
    <x v="6"/>
    <s v="Laser Copier"/>
    <n v="312.93"/>
    <n v="3"/>
    <n v="4.63"/>
  </r>
  <r>
    <d v="2017-09-04T00:00:00"/>
    <x v="3"/>
    <x v="8"/>
    <x v="7"/>
    <x v="7"/>
    <x v="1"/>
    <x v="7"/>
    <s v="Color Set"/>
    <n v="1597.79"/>
    <n v="1"/>
    <n v="101.81"/>
  </r>
  <r>
    <d v="2017-09-04T00:00:00"/>
    <x v="3"/>
    <x v="8"/>
    <x v="3"/>
    <x v="0"/>
    <x v="0"/>
    <x v="0"/>
    <s v="Wall Decor"/>
    <n v="420.21"/>
    <n v="4"/>
    <n v="125.11"/>
  </r>
  <r>
    <d v="2017-09-04T00:00:00"/>
    <x v="3"/>
    <x v="8"/>
    <x v="6"/>
    <x v="5"/>
    <x v="2"/>
    <x v="6"/>
    <s v="Inkjet Copier"/>
    <n v="3742.13"/>
    <n v="1"/>
    <n v="27.33"/>
  </r>
  <r>
    <d v="2017-09-05T00:00:00"/>
    <x v="3"/>
    <x v="8"/>
    <x v="0"/>
    <x v="1"/>
    <x v="0"/>
    <x v="0"/>
    <s v="Wall Decor"/>
    <n v="2945.8"/>
    <n v="1"/>
    <n v="288.37"/>
  </r>
  <r>
    <d v="2017-09-05T00:00:00"/>
    <x v="3"/>
    <x v="8"/>
    <x v="7"/>
    <x v="2"/>
    <x v="2"/>
    <x v="3"/>
    <s v="Smartphone"/>
    <n v="2731.93"/>
    <n v="4"/>
    <n v="452.05"/>
  </r>
  <r>
    <d v="2017-09-05T00:00:00"/>
    <x v="3"/>
    <x v="8"/>
    <x v="7"/>
    <x v="0"/>
    <x v="0"/>
    <x v="10"/>
    <s v="Wooden Bookcase"/>
    <n v="2593.8000000000002"/>
    <n v="6"/>
    <n v="8.36"/>
  </r>
  <r>
    <d v="2017-09-06T00:00:00"/>
    <x v="3"/>
    <x v="8"/>
    <x v="8"/>
    <x v="0"/>
    <x v="2"/>
    <x v="6"/>
    <s v="Laser Copier"/>
    <n v="4334.21"/>
    <n v="7"/>
    <n v="993.31"/>
  </r>
  <r>
    <d v="2017-09-06T00:00:00"/>
    <x v="3"/>
    <x v="8"/>
    <x v="4"/>
    <x v="1"/>
    <x v="0"/>
    <x v="10"/>
    <s v="Metal Bookcase"/>
    <n v="77.27"/>
    <n v="6"/>
    <n v="16.559999999999999"/>
  </r>
  <r>
    <d v="2017-09-07T00:00:00"/>
    <x v="3"/>
    <x v="8"/>
    <x v="9"/>
    <x v="9"/>
    <x v="1"/>
    <x v="11"/>
    <s v="Storage Box"/>
    <n v="3802.57"/>
    <n v="3"/>
    <n v="308.89"/>
  </r>
  <r>
    <d v="2017-09-07T00:00:00"/>
    <x v="3"/>
    <x v="8"/>
    <x v="1"/>
    <x v="1"/>
    <x v="0"/>
    <x v="4"/>
    <s v="Ergonomic Chair"/>
    <n v="3159.01"/>
    <n v="5"/>
    <n v="209.06"/>
  </r>
  <r>
    <d v="2017-09-07T00:00:00"/>
    <x v="3"/>
    <x v="8"/>
    <x v="7"/>
    <x v="5"/>
    <x v="2"/>
    <x v="6"/>
    <s v="Inkjet Copier"/>
    <n v="1790.49"/>
    <n v="3"/>
    <n v="241.89"/>
  </r>
  <r>
    <d v="2017-09-07T00:00:00"/>
    <x v="3"/>
    <x v="8"/>
    <x v="10"/>
    <x v="4"/>
    <x v="1"/>
    <x v="9"/>
    <s v="Binder Pack"/>
    <n v="852.55"/>
    <n v="3"/>
    <n v="20.21"/>
  </r>
  <r>
    <d v="2017-09-08T00:00:00"/>
    <x v="3"/>
    <x v="8"/>
    <x v="0"/>
    <x v="0"/>
    <x v="2"/>
    <x v="5"/>
    <s v="Mouse"/>
    <n v="1487.3"/>
    <n v="2"/>
    <n v="430.59"/>
  </r>
  <r>
    <d v="2017-09-08T00:00:00"/>
    <x v="3"/>
    <x v="8"/>
    <x v="6"/>
    <x v="4"/>
    <x v="1"/>
    <x v="8"/>
    <s v="Printer Paper"/>
    <n v="1312.74"/>
    <n v="5"/>
    <n v="103.54"/>
  </r>
  <r>
    <d v="2017-09-09T00:00:00"/>
    <x v="3"/>
    <x v="8"/>
    <x v="6"/>
    <x v="2"/>
    <x v="1"/>
    <x v="1"/>
    <s v="Air Cleaner"/>
    <n v="378.47"/>
    <n v="5"/>
    <n v="14.08"/>
  </r>
  <r>
    <d v="2017-09-09T00:00:00"/>
    <x v="3"/>
    <x v="8"/>
    <x v="10"/>
    <x v="3"/>
    <x v="1"/>
    <x v="8"/>
    <s v="A4 Paper Pack"/>
    <n v="1939.67"/>
    <n v="2"/>
    <n v="159.38"/>
  </r>
  <r>
    <d v="2017-09-09T00:00:00"/>
    <x v="3"/>
    <x v="8"/>
    <x v="3"/>
    <x v="5"/>
    <x v="1"/>
    <x v="11"/>
    <s v="Storage Box"/>
    <n v="2744.08"/>
    <n v="4"/>
    <n v="8.9499999999999993"/>
  </r>
  <r>
    <d v="2017-09-10T00:00:00"/>
    <x v="3"/>
    <x v="8"/>
    <x v="0"/>
    <x v="2"/>
    <x v="0"/>
    <x v="10"/>
    <s v="Wooden Bookcase"/>
    <n v="4417.1899999999996"/>
    <n v="8"/>
    <n v="668.41"/>
  </r>
  <r>
    <d v="2017-09-10T00:00:00"/>
    <x v="3"/>
    <x v="8"/>
    <x v="4"/>
    <x v="1"/>
    <x v="0"/>
    <x v="0"/>
    <s v="Wall Decor"/>
    <n v="1111.92"/>
    <n v="6"/>
    <n v="319.83"/>
  </r>
  <r>
    <d v="2017-09-11T00:00:00"/>
    <x v="3"/>
    <x v="8"/>
    <x v="8"/>
    <x v="8"/>
    <x v="1"/>
    <x v="11"/>
    <s v="Drawer Unit"/>
    <n v="155.09"/>
    <n v="10"/>
    <n v="26.4"/>
  </r>
  <r>
    <d v="2017-09-11T00:00:00"/>
    <x v="3"/>
    <x v="8"/>
    <x v="11"/>
    <x v="7"/>
    <x v="2"/>
    <x v="3"/>
    <s v="IP Phone"/>
    <n v="3669.99"/>
    <n v="2"/>
    <n v="857.03"/>
  </r>
  <r>
    <d v="2017-09-14T00:00:00"/>
    <x v="3"/>
    <x v="8"/>
    <x v="7"/>
    <x v="4"/>
    <x v="0"/>
    <x v="4"/>
    <s v="Office Chair"/>
    <n v="1539.22"/>
    <n v="4"/>
    <n v="7.83"/>
  </r>
  <r>
    <d v="2017-09-14T00:00:00"/>
    <x v="3"/>
    <x v="8"/>
    <x v="0"/>
    <x v="2"/>
    <x v="0"/>
    <x v="4"/>
    <s v="Ergonomic Chair"/>
    <n v="747.23"/>
    <n v="1"/>
    <n v="138.97999999999999"/>
  </r>
  <r>
    <d v="2017-09-15T00:00:00"/>
    <x v="3"/>
    <x v="8"/>
    <x v="9"/>
    <x v="1"/>
    <x v="2"/>
    <x v="5"/>
    <s v="Mouse"/>
    <n v="2172.1"/>
    <n v="7"/>
    <n v="502.88"/>
  </r>
  <r>
    <d v="2017-09-16T00:00:00"/>
    <x v="3"/>
    <x v="8"/>
    <x v="6"/>
    <x v="3"/>
    <x v="2"/>
    <x v="6"/>
    <s v="Inkjet Copier"/>
    <n v="2927.64"/>
    <n v="1"/>
    <n v="318.19"/>
  </r>
  <r>
    <d v="2017-09-16T00:00:00"/>
    <x v="3"/>
    <x v="8"/>
    <x v="4"/>
    <x v="0"/>
    <x v="0"/>
    <x v="0"/>
    <s v="Wall Decor"/>
    <n v="387.8"/>
    <n v="4"/>
    <n v="101.06"/>
  </r>
  <r>
    <d v="2017-09-16T00:00:00"/>
    <x v="3"/>
    <x v="8"/>
    <x v="4"/>
    <x v="2"/>
    <x v="2"/>
    <x v="6"/>
    <s v="Laser Copier"/>
    <n v="387.47"/>
    <n v="8"/>
    <n v="47.35"/>
  </r>
  <r>
    <d v="2017-09-16T00:00:00"/>
    <x v="3"/>
    <x v="8"/>
    <x v="2"/>
    <x v="8"/>
    <x v="0"/>
    <x v="10"/>
    <s v="Metal Bookcase"/>
    <n v="4968.82"/>
    <n v="9"/>
    <n v="201.78"/>
  </r>
  <r>
    <d v="2017-09-16T00:00:00"/>
    <x v="3"/>
    <x v="8"/>
    <x v="6"/>
    <x v="0"/>
    <x v="2"/>
    <x v="5"/>
    <s v="USB Drive"/>
    <n v="252.61"/>
    <n v="3"/>
    <n v="31.31"/>
  </r>
  <r>
    <d v="2017-09-17T00:00:00"/>
    <x v="3"/>
    <x v="8"/>
    <x v="11"/>
    <x v="0"/>
    <x v="2"/>
    <x v="3"/>
    <s v="Smartphone"/>
    <n v="1365.13"/>
    <n v="3"/>
    <n v="117.5"/>
  </r>
  <r>
    <d v="2017-09-18T00:00:00"/>
    <x v="3"/>
    <x v="8"/>
    <x v="2"/>
    <x v="3"/>
    <x v="0"/>
    <x v="10"/>
    <s v="Wooden Bookcase"/>
    <n v="845.45"/>
    <n v="2"/>
    <n v="182.51"/>
  </r>
  <r>
    <d v="2017-09-18T00:00:00"/>
    <x v="3"/>
    <x v="8"/>
    <x v="10"/>
    <x v="0"/>
    <x v="2"/>
    <x v="5"/>
    <s v="Mouse"/>
    <n v="2138.27"/>
    <n v="4"/>
    <n v="618.57000000000005"/>
  </r>
  <r>
    <d v="2017-09-19T00:00:00"/>
    <x v="3"/>
    <x v="8"/>
    <x v="10"/>
    <x v="5"/>
    <x v="0"/>
    <x v="0"/>
    <s v="Wall Decor"/>
    <n v="4736.4399999999996"/>
    <n v="5"/>
    <n v="385.05"/>
  </r>
  <r>
    <d v="2017-09-19T00:00:00"/>
    <x v="3"/>
    <x v="8"/>
    <x v="9"/>
    <x v="3"/>
    <x v="2"/>
    <x v="3"/>
    <s v="Smartphone"/>
    <n v="1211.56"/>
    <n v="7"/>
    <n v="304.48"/>
  </r>
  <r>
    <d v="2017-09-19T00:00:00"/>
    <x v="3"/>
    <x v="8"/>
    <x v="8"/>
    <x v="8"/>
    <x v="0"/>
    <x v="2"/>
    <s v="Study Table"/>
    <n v="4607.04"/>
    <n v="5"/>
    <n v="1068.57"/>
  </r>
  <r>
    <d v="2017-09-20T00:00:00"/>
    <x v="3"/>
    <x v="8"/>
    <x v="11"/>
    <x v="6"/>
    <x v="2"/>
    <x v="5"/>
    <s v="Mouse"/>
    <n v="4458.1000000000004"/>
    <n v="3"/>
    <n v="399.79"/>
  </r>
  <r>
    <d v="2017-09-20T00:00:00"/>
    <x v="3"/>
    <x v="8"/>
    <x v="10"/>
    <x v="5"/>
    <x v="2"/>
    <x v="3"/>
    <s v="Smartphone"/>
    <n v="3091.41"/>
    <n v="7"/>
    <n v="475.8"/>
  </r>
  <r>
    <d v="2017-09-20T00:00:00"/>
    <x v="3"/>
    <x v="8"/>
    <x v="11"/>
    <x v="9"/>
    <x v="0"/>
    <x v="10"/>
    <s v="Metal Bookcase"/>
    <n v="902.27"/>
    <n v="5"/>
    <n v="131.04"/>
  </r>
  <r>
    <d v="2017-09-20T00:00:00"/>
    <x v="3"/>
    <x v="8"/>
    <x v="9"/>
    <x v="6"/>
    <x v="1"/>
    <x v="11"/>
    <s v="Storage Box"/>
    <n v="3736.33"/>
    <n v="9"/>
    <n v="574.46"/>
  </r>
  <r>
    <d v="2017-09-21T00:00:00"/>
    <x v="3"/>
    <x v="8"/>
    <x v="3"/>
    <x v="5"/>
    <x v="1"/>
    <x v="9"/>
    <s v="Binder Pack"/>
    <n v="4819.51"/>
    <n v="10"/>
    <n v="1408.63"/>
  </r>
  <r>
    <d v="2017-09-22T00:00:00"/>
    <x v="3"/>
    <x v="8"/>
    <x v="8"/>
    <x v="8"/>
    <x v="0"/>
    <x v="4"/>
    <s v="Office Chair"/>
    <n v="1243.6300000000001"/>
    <n v="9"/>
    <n v="10.37"/>
  </r>
  <r>
    <d v="2017-09-23T00:00:00"/>
    <x v="3"/>
    <x v="8"/>
    <x v="9"/>
    <x v="2"/>
    <x v="2"/>
    <x v="3"/>
    <s v="Smartphone"/>
    <n v="2368.25"/>
    <n v="3"/>
    <n v="138.56"/>
  </r>
  <r>
    <d v="2017-09-23T00:00:00"/>
    <x v="3"/>
    <x v="8"/>
    <x v="1"/>
    <x v="0"/>
    <x v="0"/>
    <x v="4"/>
    <s v="Ergonomic Chair"/>
    <n v="37.56"/>
    <n v="2"/>
    <n v="7.96"/>
  </r>
  <r>
    <d v="2017-09-23T00:00:00"/>
    <x v="3"/>
    <x v="8"/>
    <x v="3"/>
    <x v="2"/>
    <x v="0"/>
    <x v="2"/>
    <s v="Conference Table"/>
    <n v="613.36"/>
    <n v="7"/>
    <n v="95.27"/>
  </r>
  <r>
    <d v="2017-09-24T00:00:00"/>
    <x v="3"/>
    <x v="8"/>
    <x v="1"/>
    <x v="4"/>
    <x v="1"/>
    <x v="1"/>
    <s v="Heater"/>
    <n v="2379.46"/>
    <n v="8"/>
    <n v="586.48"/>
  </r>
  <r>
    <d v="2017-09-24T00:00:00"/>
    <x v="3"/>
    <x v="8"/>
    <x v="0"/>
    <x v="0"/>
    <x v="2"/>
    <x v="6"/>
    <s v="Inkjet Copier"/>
    <n v="2583.56"/>
    <n v="4"/>
    <n v="699.01"/>
  </r>
  <r>
    <d v="2017-09-24T00:00:00"/>
    <x v="3"/>
    <x v="8"/>
    <x v="10"/>
    <x v="5"/>
    <x v="0"/>
    <x v="10"/>
    <s v="Metal Bookcase"/>
    <n v="1913.09"/>
    <n v="10"/>
    <n v="381.95"/>
  </r>
  <r>
    <d v="2017-09-24T00:00:00"/>
    <x v="3"/>
    <x v="8"/>
    <x v="10"/>
    <x v="7"/>
    <x v="2"/>
    <x v="3"/>
    <s v="Smartphone"/>
    <n v="1735.25"/>
    <n v="2"/>
    <n v="245.87"/>
  </r>
  <r>
    <d v="2017-09-25T00:00:00"/>
    <x v="3"/>
    <x v="8"/>
    <x v="10"/>
    <x v="9"/>
    <x v="0"/>
    <x v="4"/>
    <s v="Executive Chair"/>
    <n v="2295.04"/>
    <n v="9"/>
    <n v="576.42999999999995"/>
  </r>
  <r>
    <d v="2017-09-25T00:00:00"/>
    <x v="3"/>
    <x v="8"/>
    <x v="7"/>
    <x v="5"/>
    <x v="1"/>
    <x v="8"/>
    <s v="A4 Paper Pack"/>
    <n v="3478.67"/>
    <n v="10"/>
    <n v="482.41"/>
  </r>
  <r>
    <d v="2017-09-25T00:00:00"/>
    <x v="3"/>
    <x v="8"/>
    <x v="1"/>
    <x v="4"/>
    <x v="1"/>
    <x v="1"/>
    <s v="Air Cleaner"/>
    <n v="4930.95"/>
    <n v="3"/>
    <n v="407.34"/>
  </r>
  <r>
    <d v="2017-09-26T00:00:00"/>
    <x v="3"/>
    <x v="8"/>
    <x v="1"/>
    <x v="2"/>
    <x v="0"/>
    <x v="0"/>
    <s v="Wall Decor"/>
    <n v="97.77"/>
    <n v="9"/>
    <n v="21.65"/>
  </r>
  <r>
    <d v="2017-09-26T00:00:00"/>
    <x v="3"/>
    <x v="8"/>
    <x v="9"/>
    <x v="6"/>
    <x v="0"/>
    <x v="10"/>
    <s v="Wooden Bookcase"/>
    <n v="3287.33"/>
    <n v="1"/>
    <n v="506.53"/>
  </r>
  <r>
    <d v="2017-09-27T00:00:00"/>
    <x v="3"/>
    <x v="8"/>
    <x v="9"/>
    <x v="2"/>
    <x v="2"/>
    <x v="5"/>
    <s v="Keyboard"/>
    <n v="2680.19"/>
    <n v="2"/>
    <n v="31.24"/>
  </r>
  <r>
    <d v="2017-09-28T00:00:00"/>
    <x v="3"/>
    <x v="8"/>
    <x v="5"/>
    <x v="1"/>
    <x v="0"/>
    <x v="10"/>
    <s v="Wooden Bookcase"/>
    <n v="3087.31"/>
    <n v="9"/>
    <n v="432.55"/>
  </r>
  <r>
    <d v="2017-09-29T00:00:00"/>
    <x v="3"/>
    <x v="8"/>
    <x v="1"/>
    <x v="9"/>
    <x v="2"/>
    <x v="3"/>
    <s v="Smartphone"/>
    <n v="3233.8"/>
    <n v="10"/>
    <n v="354.34"/>
  </r>
  <r>
    <d v="2017-09-29T00:00:00"/>
    <x v="3"/>
    <x v="8"/>
    <x v="11"/>
    <x v="3"/>
    <x v="1"/>
    <x v="8"/>
    <s v="Printer Paper"/>
    <n v="989.29"/>
    <n v="4"/>
    <n v="33.979999999999997"/>
  </r>
  <r>
    <d v="2017-09-30T00:00:00"/>
    <x v="3"/>
    <x v="8"/>
    <x v="3"/>
    <x v="9"/>
    <x v="1"/>
    <x v="8"/>
    <s v="Printer Paper"/>
    <n v="511.3"/>
    <n v="5"/>
    <n v="1.45"/>
  </r>
  <r>
    <d v="2017-10-01T00:00:00"/>
    <x v="3"/>
    <x v="9"/>
    <x v="11"/>
    <x v="7"/>
    <x v="1"/>
    <x v="7"/>
    <s v="Sketch Kit"/>
    <n v="452.79"/>
    <n v="10"/>
    <n v="18.86"/>
  </r>
  <r>
    <d v="2017-10-02T00:00:00"/>
    <x v="3"/>
    <x v="9"/>
    <x v="1"/>
    <x v="4"/>
    <x v="2"/>
    <x v="5"/>
    <s v="Keyboard"/>
    <n v="4087"/>
    <n v="7"/>
    <n v="1057.74"/>
  </r>
  <r>
    <d v="2017-10-02T00:00:00"/>
    <x v="3"/>
    <x v="9"/>
    <x v="4"/>
    <x v="3"/>
    <x v="2"/>
    <x v="5"/>
    <s v="Mouse"/>
    <n v="3716.15"/>
    <n v="6"/>
    <n v="177.24"/>
  </r>
  <r>
    <d v="2017-10-03T00:00:00"/>
    <x v="3"/>
    <x v="9"/>
    <x v="6"/>
    <x v="5"/>
    <x v="2"/>
    <x v="5"/>
    <s v="Keyboard"/>
    <n v="2279.1799999999998"/>
    <n v="5"/>
    <n v="225.98"/>
  </r>
  <r>
    <d v="2017-10-04T00:00:00"/>
    <x v="3"/>
    <x v="9"/>
    <x v="5"/>
    <x v="8"/>
    <x v="1"/>
    <x v="7"/>
    <s v="Color Set"/>
    <n v="1570.77"/>
    <n v="5"/>
    <n v="455.8"/>
  </r>
  <r>
    <d v="2017-10-04T00:00:00"/>
    <x v="3"/>
    <x v="9"/>
    <x v="3"/>
    <x v="3"/>
    <x v="0"/>
    <x v="10"/>
    <s v="Metal Bookcase"/>
    <n v="4025.89"/>
    <n v="9"/>
    <n v="90.41"/>
  </r>
  <r>
    <d v="2017-10-04T00:00:00"/>
    <x v="3"/>
    <x v="9"/>
    <x v="0"/>
    <x v="8"/>
    <x v="0"/>
    <x v="10"/>
    <s v="Wooden Bookcase"/>
    <n v="4769.1000000000004"/>
    <n v="2"/>
    <n v="830.9"/>
  </r>
  <r>
    <d v="2017-10-04T00:00:00"/>
    <x v="3"/>
    <x v="9"/>
    <x v="11"/>
    <x v="8"/>
    <x v="0"/>
    <x v="2"/>
    <s v="Conference Table"/>
    <n v="1970.01"/>
    <n v="7"/>
    <n v="225.63"/>
  </r>
  <r>
    <d v="2017-10-05T00:00:00"/>
    <x v="3"/>
    <x v="9"/>
    <x v="4"/>
    <x v="9"/>
    <x v="0"/>
    <x v="2"/>
    <s v="Conference Table"/>
    <n v="279.20999999999998"/>
    <n v="9"/>
    <n v="0.22"/>
  </r>
  <r>
    <d v="2017-10-05T00:00:00"/>
    <x v="3"/>
    <x v="9"/>
    <x v="8"/>
    <x v="2"/>
    <x v="0"/>
    <x v="2"/>
    <s v="Conference Table"/>
    <n v="507.1"/>
    <n v="5"/>
    <n v="91.31"/>
  </r>
  <r>
    <d v="2017-10-06T00:00:00"/>
    <x v="3"/>
    <x v="9"/>
    <x v="6"/>
    <x v="4"/>
    <x v="1"/>
    <x v="9"/>
    <s v="Ring Binder"/>
    <n v="4652.9799999999996"/>
    <n v="7"/>
    <n v="150.61000000000001"/>
  </r>
  <r>
    <d v="2017-10-06T00:00:00"/>
    <x v="3"/>
    <x v="9"/>
    <x v="1"/>
    <x v="8"/>
    <x v="1"/>
    <x v="9"/>
    <s v="Ring Binder"/>
    <n v="1439.31"/>
    <n v="6"/>
    <n v="189.26"/>
  </r>
  <r>
    <d v="2017-10-06T00:00:00"/>
    <x v="3"/>
    <x v="9"/>
    <x v="11"/>
    <x v="5"/>
    <x v="0"/>
    <x v="2"/>
    <s v="Study Table"/>
    <n v="1701.28"/>
    <n v="1"/>
    <n v="207.89"/>
  </r>
  <r>
    <d v="2017-10-10T00:00:00"/>
    <x v="3"/>
    <x v="9"/>
    <x v="3"/>
    <x v="0"/>
    <x v="2"/>
    <x v="6"/>
    <s v="Laser Copier"/>
    <n v="2989.33"/>
    <n v="1"/>
    <n v="396.78"/>
  </r>
  <r>
    <d v="2017-10-10T00:00:00"/>
    <x v="3"/>
    <x v="9"/>
    <x v="6"/>
    <x v="6"/>
    <x v="2"/>
    <x v="5"/>
    <s v="USB Drive"/>
    <n v="3268.95"/>
    <n v="4"/>
    <n v="605.6"/>
  </r>
  <r>
    <d v="2017-10-12T00:00:00"/>
    <x v="3"/>
    <x v="9"/>
    <x v="7"/>
    <x v="8"/>
    <x v="0"/>
    <x v="4"/>
    <s v="Ergonomic Chair"/>
    <n v="1061.96"/>
    <n v="5"/>
    <n v="298.8"/>
  </r>
  <r>
    <d v="2017-10-13T00:00:00"/>
    <x v="3"/>
    <x v="9"/>
    <x v="11"/>
    <x v="6"/>
    <x v="0"/>
    <x v="10"/>
    <s v="Wooden Bookcase"/>
    <n v="1216.01"/>
    <n v="8"/>
    <n v="264.12"/>
  </r>
  <r>
    <d v="2017-10-14T00:00:00"/>
    <x v="3"/>
    <x v="9"/>
    <x v="8"/>
    <x v="3"/>
    <x v="0"/>
    <x v="10"/>
    <s v="Metal Bookcase"/>
    <n v="4561.49"/>
    <n v="10"/>
    <n v="1303.55"/>
  </r>
  <r>
    <d v="2017-10-14T00:00:00"/>
    <x v="3"/>
    <x v="9"/>
    <x v="1"/>
    <x v="6"/>
    <x v="0"/>
    <x v="0"/>
    <s v="Desk Lamp"/>
    <n v="4133.0600000000004"/>
    <n v="9"/>
    <n v="866.98"/>
  </r>
  <r>
    <d v="2017-10-14T00:00:00"/>
    <x v="3"/>
    <x v="9"/>
    <x v="7"/>
    <x v="3"/>
    <x v="1"/>
    <x v="1"/>
    <s v="Air Cleaner"/>
    <n v="3193.57"/>
    <n v="3"/>
    <n v="97.13"/>
  </r>
  <r>
    <d v="2017-10-15T00:00:00"/>
    <x v="3"/>
    <x v="9"/>
    <x v="6"/>
    <x v="8"/>
    <x v="2"/>
    <x v="6"/>
    <s v="Laser Copier"/>
    <n v="623.6"/>
    <n v="7"/>
    <n v="42.54"/>
  </r>
  <r>
    <d v="2017-10-16T00:00:00"/>
    <x v="3"/>
    <x v="9"/>
    <x v="8"/>
    <x v="9"/>
    <x v="1"/>
    <x v="8"/>
    <s v="A4 Paper Pack"/>
    <n v="2187.3000000000002"/>
    <n v="2"/>
    <n v="232.22"/>
  </r>
  <r>
    <d v="2017-10-16T00:00:00"/>
    <x v="3"/>
    <x v="9"/>
    <x v="2"/>
    <x v="8"/>
    <x v="1"/>
    <x v="9"/>
    <s v="Binder Pack"/>
    <n v="3513.93"/>
    <n v="5"/>
    <n v="146.29"/>
  </r>
  <r>
    <d v="2017-10-17T00:00:00"/>
    <x v="3"/>
    <x v="9"/>
    <x v="4"/>
    <x v="3"/>
    <x v="2"/>
    <x v="6"/>
    <s v="Laser Copier"/>
    <n v="3139.43"/>
    <n v="9"/>
    <n v="631.95000000000005"/>
  </r>
  <r>
    <d v="2017-10-17T00:00:00"/>
    <x v="3"/>
    <x v="9"/>
    <x v="7"/>
    <x v="5"/>
    <x v="1"/>
    <x v="7"/>
    <s v="Color Set"/>
    <n v="4363.6499999999996"/>
    <n v="6"/>
    <n v="852.89"/>
  </r>
  <r>
    <d v="2017-10-17T00:00:00"/>
    <x v="3"/>
    <x v="9"/>
    <x v="1"/>
    <x v="0"/>
    <x v="1"/>
    <x v="1"/>
    <s v="Heater"/>
    <n v="1166.25"/>
    <n v="8"/>
    <n v="97.77"/>
  </r>
  <r>
    <d v="2017-10-18T00:00:00"/>
    <x v="3"/>
    <x v="9"/>
    <x v="6"/>
    <x v="9"/>
    <x v="2"/>
    <x v="5"/>
    <s v="Keyboard"/>
    <n v="4060.61"/>
    <n v="3"/>
    <n v="988.78"/>
  </r>
  <r>
    <d v="2017-10-18T00:00:00"/>
    <x v="3"/>
    <x v="9"/>
    <x v="0"/>
    <x v="0"/>
    <x v="0"/>
    <x v="10"/>
    <s v="Wooden Bookcase"/>
    <n v="3181.88"/>
    <n v="9"/>
    <n v="187.64"/>
  </r>
  <r>
    <d v="2017-10-19T00:00:00"/>
    <x v="3"/>
    <x v="9"/>
    <x v="0"/>
    <x v="2"/>
    <x v="1"/>
    <x v="9"/>
    <s v="Ring Binder"/>
    <n v="3398.47"/>
    <n v="4"/>
    <n v="937.65"/>
  </r>
  <r>
    <d v="2017-10-20T00:00:00"/>
    <x v="3"/>
    <x v="9"/>
    <x v="8"/>
    <x v="1"/>
    <x v="0"/>
    <x v="2"/>
    <s v="Study Table"/>
    <n v="4873.76"/>
    <n v="6"/>
    <n v="1432.04"/>
  </r>
  <r>
    <d v="2017-10-21T00:00:00"/>
    <x v="3"/>
    <x v="9"/>
    <x v="10"/>
    <x v="1"/>
    <x v="2"/>
    <x v="3"/>
    <s v="IP Phone"/>
    <n v="4685.6000000000004"/>
    <n v="1"/>
    <n v="12.83"/>
  </r>
  <r>
    <d v="2017-10-22T00:00:00"/>
    <x v="3"/>
    <x v="9"/>
    <x v="9"/>
    <x v="3"/>
    <x v="2"/>
    <x v="3"/>
    <s v="Smartphone"/>
    <n v="4001.26"/>
    <n v="7"/>
    <n v="629.28"/>
  </r>
  <r>
    <d v="2017-10-22T00:00:00"/>
    <x v="3"/>
    <x v="9"/>
    <x v="1"/>
    <x v="0"/>
    <x v="0"/>
    <x v="10"/>
    <s v="Metal Bookcase"/>
    <n v="3327.87"/>
    <n v="4"/>
    <n v="850.11"/>
  </r>
  <r>
    <d v="2017-10-23T00:00:00"/>
    <x v="3"/>
    <x v="9"/>
    <x v="7"/>
    <x v="0"/>
    <x v="0"/>
    <x v="4"/>
    <s v="Office Chair"/>
    <n v="451.34"/>
    <n v="2"/>
    <n v="77.760000000000005"/>
  </r>
  <r>
    <d v="2017-10-23T00:00:00"/>
    <x v="3"/>
    <x v="9"/>
    <x v="0"/>
    <x v="0"/>
    <x v="1"/>
    <x v="11"/>
    <s v="Drawer Unit"/>
    <n v="2987.31"/>
    <n v="6"/>
    <n v="235.98"/>
  </r>
  <r>
    <d v="2017-10-23T00:00:00"/>
    <x v="3"/>
    <x v="9"/>
    <x v="8"/>
    <x v="2"/>
    <x v="0"/>
    <x v="0"/>
    <s v="Wall Decor"/>
    <n v="3326.24"/>
    <n v="6"/>
    <n v="366.55"/>
  </r>
  <r>
    <d v="2017-10-24T00:00:00"/>
    <x v="3"/>
    <x v="9"/>
    <x v="4"/>
    <x v="1"/>
    <x v="1"/>
    <x v="1"/>
    <s v="Heater"/>
    <n v="2459.0300000000002"/>
    <n v="4"/>
    <n v="264.2"/>
  </r>
  <r>
    <d v="2017-10-24T00:00:00"/>
    <x v="3"/>
    <x v="9"/>
    <x v="4"/>
    <x v="7"/>
    <x v="1"/>
    <x v="8"/>
    <s v="A4 Paper Pack"/>
    <n v="808.69"/>
    <n v="5"/>
    <n v="34.869999999999997"/>
  </r>
  <r>
    <d v="2017-10-24T00:00:00"/>
    <x v="3"/>
    <x v="9"/>
    <x v="10"/>
    <x v="3"/>
    <x v="2"/>
    <x v="5"/>
    <s v="USB Drive"/>
    <n v="3916.69"/>
    <n v="3"/>
    <n v="360.99"/>
  </r>
  <r>
    <d v="2017-10-24T00:00:00"/>
    <x v="3"/>
    <x v="9"/>
    <x v="2"/>
    <x v="3"/>
    <x v="1"/>
    <x v="7"/>
    <s v="Sketch Kit"/>
    <n v="3374.86"/>
    <n v="9"/>
    <n v="861.28"/>
  </r>
  <r>
    <d v="2017-10-25T00:00:00"/>
    <x v="3"/>
    <x v="9"/>
    <x v="4"/>
    <x v="6"/>
    <x v="2"/>
    <x v="5"/>
    <s v="Mouse"/>
    <n v="4843.8100000000004"/>
    <n v="6"/>
    <n v="1182.92"/>
  </r>
  <r>
    <d v="2017-10-25T00:00:00"/>
    <x v="3"/>
    <x v="9"/>
    <x v="1"/>
    <x v="5"/>
    <x v="0"/>
    <x v="2"/>
    <s v="Study Table"/>
    <n v="3631.59"/>
    <n v="1"/>
    <n v="848.09"/>
  </r>
  <r>
    <d v="2017-10-26T00:00:00"/>
    <x v="3"/>
    <x v="9"/>
    <x v="7"/>
    <x v="9"/>
    <x v="1"/>
    <x v="9"/>
    <s v="Binder Pack"/>
    <n v="2141.5"/>
    <n v="1"/>
    <n v="572.15"/>
  </r>
  <r>
    <d v="2017-10-26T00:00:00"/>
    <x v="3"/>
    <x v="9"/>
    <x v="1"/>
    <x v="3"/>
    <x v="1"/>
    <x v="1"/>
    <s v="Heater"/>
    <n v="4721.74"/>
    <n v="7"/>
    <n v="1245.0899999999999"/>
  </r>
  <r>
    <d v="2017-10-27T00:00:00"/>
    <x v="3"/>
    <x v="9"/>
    <x v="1"/>
    <x v="2"/>
    <x v="0"/>
    <x v="0"/>
    <s v="Desk Lamp"/>
    <n v="861.19"/>
    <n v="2"/>
    <n v="11.77"/>
  </r>
  <r>
    <d v="2017-10-27T00:00:00"/>
    <x v="3"/>
    <x v="9"/>
    <x v="5"/>
    <x v="9"/>
    <x v="2"/>
    <x v="5"/>
    <s v="Mouse"/>
    <n v="3907.63"/>
    <n v="6"/>
    <n v="872.9"/>
  </r>
  <r>
    <d v="2017-10-27T00:00:00"/>
    <x v="3"/>
    <x v="9"/>
    <x v="3"/>
    <x v="7"/>
    <x v="2"/>
    <x v="6"/>
    <s v="Inkjet Copier"/>
    <n v="1437.11"/>
    <n v="1"/>
    <n v="78.39"/>
  </r>
  <r>
    <d v="2017-10-28T00:00:00"/>
    <x v="3"/>
    <x v="9"/>
    <x v="1"/>
    <x v="6"/>
    <x v="2"/>
    <x v="6"/>
    <s v="Inkjet Copier"/>
    <n v="1550.55"/>
    <n v="6"/>
    <n v="259.83999999999997"/>
  </r>
  <r>
    <d v="2017-10-28T00:00:00"/>
    <x v="3"/>
    <x v="9"/>
    <x v="3"/>
    <x v="5"/>
    <x v="0"/>
    <x v="10"/>
    <s v="Wooden Bookcase"/>
    <n v="520.36"/>
    <n v="9"/>
    <n v="116.31"/>
  </r>
  <r>
    <d v="2017-10-29T00:00:00"/>
    <x v="3"/>
    <x v="9"/>
    <x v="4"/>
    <x v="5"/>
    <x v="1"/>
    <x v="11"/>
    <s v="Drawer Unit"/>
    <n v="4322.43"/>
    <n v="1"/>
    <n v="928.7"/>
  </r>
  <r>
    <d v="2017-10-29T00:00:00"/>
    <x v="3"/>
    <x v="9"/>
    <x v="5"/>
    <x v="7"/>
    <x v="0"/>
    <x v="10"/>
    <s v="Wooden Bookcase"/>
    <n v="2927.98"/>
    <n v="6"/>
    <n v="859.55"/>
  </r>
  <r>
    <d v="2017-10-31T00:00:00"/>
    <x v="3"/>
    <x v="9"/>
    <x v="6"/>
    <x v="6"/>
    <x v="2"/>
    <x v="5"/>
    <s v="USB Drive"/>
    <n v="4398.42"/>
    <n v="5"/>
    <n v="1170.68"/>
  </r>
  <r>
    <d v="2017-10-31T00:00:00"/>
    <x v="3"/>
    <x v="9"/>
    <x v="5"/>
    <x v="3"/>
    <x v="1"/>
    <x v="1"/>
    <s v="Heater"/>
    <n v="1724.27"/>
    <n v="4"/>
    <n v="136.88"/>
  </r>
  <r>
    <d v="2017-11-01T00:00:00"/>
    <x v="3"/>
    <x v="10"/>
    <x v="9"/>
    <x v="7"/>
    <x v="0"/>
    <x v="2"/>
    <s v="Study Table"/>
    <n v="1894.25"/>
    <n v="2"/>
    <n v="438.54"/>
  </r>
  <r>
    <d v="2017-11-03T00:00:00"/>
    <x v="3"/>
    <x v="10"/>
    <x v="4"/>
    <x v="9"/>
    <x v="0"/>
    <x v="2"/>
    <s v="Conference Table"/>
    <n v="4908.92"/>
    <n v="7"/>
    <n v="1102.68"/>
  </r>
  <r>
    <d v="2017-11-03T00:00:00"/>
    <x v="3"/>
    <x v="10"/>
    <x v="8"/>
    <x v="7"/>
    <x v="1"/>
    <x v="1"/>
    <s v="Heater"/>
    <n v="1404.74"/>
    <n v="3"/>
    <n v="113.78"/>
  </r>
  <r>
    <d v="2017-11-05T00:00:00"/>
    <x v="3"/>
    <x v="10"/>
    <x v="2"/>
    <x v="3"/>
    <x v="1"/>
    <x v="7"/>
    <s v="Color Set"/>
    <n v="3077.34"/>
    <n v="8"/>
    <n v="80"/>
  </r>
  <r>
    <d v="2017-11-06T00:00:00"/>
    <x v="3"/>
    <x v="10"/>
    <x v="5"/>
    <x v="0"/>
    <x v="2"/>
    <x v="6"/>
    <s v="Laser Copier"/>
    <n v="765.68"/>
    <n v="10"/>
    <n v="225.18"/>
  </r>
  <r>
    <d v="2017-11-06T00:00:00"/>
    <x v="3"/>
    <x v="10"/>
    <x v="3"/>
    <x v="6"/>
    <x v="1"/>
    <x v="7"/>
    <s v="Sketch Kit"/>
    <n v="3727.78"/>
    <n v="1"/>
    <n v="384.7"/>
  </r>
  <r>
    <d v="2017-11-06T00:00:00"/>
    <x v="3"/>
    <x v="10"/>
    <x v="10"/>
    <x v="6"/>
    <x v="1"/>
    <x v="8"/>
    <s v="Printer Paper"/>
    <n v="4459.76"/>
    <n v="1"/>
    <n v="989.51"/>
  </r>
  <r>
    <d v="2017-11-07T00:00:00"/>
    <x v="3"/>
    <x v="10"/>
    <x v="1"/>
    <x v="6"/>
    <x v="0"/>
    <x v="4"/>
    <s v="Executive Chair"/>
    <n v="540.17999999999995"/>
    <n v="7"/>
    <n v="120.96"/>
  </r>
  <r>
    <d v="2017-11-08T00:00:00"/>
    <x v="3"/>
    <x v="10"/>
    <x v="11"/>
    <x v="9"/>
    <x v="2"/>
    <x v="5"/>
    <s v="USB Drive"/>
    <n v="267.64999999999998"/>
    <n v="3"/>
    <n v="79.319999999999993"/>
  </r>
  <r>
    <d v="2017-11-08T00:00:00"/>
    <x v="3"/>
    <x v="10"/>
    <x v="4"/>
    <x v="0"/>
    <x v="2"/>
    <x v="5"/>
    <s v="Keyboard"/>
    <n v="2759.32"/>
    <n v="3"/>
    <n v="9.67"/>
  </r>
  <r>
    <d v="2017-11-09T00:00:00"/>
    <x v="3"/>
    <x v="10"/>
    <x v="9"/>
    <x v="3"/>
    <x v="2"/>
    <x v="3"/>
    <s v="Smartphone"/>
    <n v="552.91"/>
    <n v="8"/>
    <n v="25.53"/>
  </r>
  <r>
    <d v="2017-11-09T00:00:00"/>
    <x v="3"/>
    <x v="10"/>
    <x v="4"/>
    <x v="7"/>
    <x v="0"/>
    <x v="4"/>
    <s v="Ergonomic Chair"/>
    <n v="2854.67"/>
    <n v="8"/>
    <n v="215.83"/>
  </r>
  <r>
    <d v="2017-11-09T00:00:00"/>
    <x v="3"/>
    <x v="10"/>
    <x v="5"/>
    <x v="8"/>
    <x v="2"/>
    <x v="3"/>
    <s v="IP Phone"/>
    <n v="2117.42"/>
    <n v="10"/>
    <n v="319.36"/>
  </r>
  <r>
    <d v="2017-11-09T00:00:00"/>
    <x v="3"/>
    <x v="10"/>
    <x v="4"/>
    <x v="8"/>
    <x v="0"/>
    <x v="2"/>
    <s v="Conference Table"/>
    <n v="430.17"/>
    <n v="1"/>
    <n v="22.84"/>
  </r>
  <r>
    <d v="2017-11-10T00:00:00"/>
    <x v="3"/>
    <x v="10"/>
    <x v="8"/>
    <x v="1"/>
    <x v="2"/>
    <x v="5"/>
    <s v="Keyboard"/>
    <n v="2516.5100000000002"/>
    <n v="9"/>
    <n v="313.92"/>
  </r>
  <r>
    <d v="2017-11-10T00:00:00"/>
    <x v="3"/>
    <x v="10"/>
    <x v="3"/>
    <x v="3"/>
    <x v="0"/>
    <x v="10"/>
    <s v="Wooden Bookcase"/>
    <n v="2570.44"/>
    <n v="5"/>
    <n v="687.87"/>
  </r>
  <r>
    <d v="2017-11-10T00:00:00"/>
    <x v="3"/>
    <x v="10"/>
    <x v="2"/>
    <x v="7"/>
    <x v="1"/>
    <x v="8"/>
    <s v="Printer Paper"/>
    <n v="4842.5600000000004"/>
    <n v="7"/>
    <n v="1101.49"/>
  </r>
  <r>
    <d v="2017-11-11T00:00:00"/>
    <x v="3"/>
    <x v="10"/>
    <x v="1"/>
    <x v="7"/>
    <x v="2"/>
    <x v="5"/>
    <s v="USB Drive"/>
    <n v="2165.73"/>
    <n v="4"/>
    <n v="236.87"/>
  </r>
  <r>
    <d v="2017-11-11T00:00:00"/>
    <x v="3"/>
    <x v="10"/>
    <x v="4"/>
    <x v="7"/>
    <x v="0"/>
    <x v="2"/>
    <s v="Study Table"/>
    <n v="2611.9499999999998"/>
    <n v="5"/>
    <n v="395.68"/>
  </r>
  <r>
    <d v="2017-11-11T00:00:00"/>
    <x v="3"/>
    <x v="10"/>
    <x v="2"/>
    <x v="1"/>
    <x v="2"/>
    <x v="3"/>
    <s v="IP Phone"/>
    <n v="37.79"/>
    <n v="3"/>
    <n v="8.83"/>
  </r>
  <r>
    <d v="2017-11-11T00:00:00"/>
    <x v="3"/>
    <x v="10"/>
    <x v="0"/>
    <x v="6"/>
    <x v="0"/>
    <x v="10"/>
    <s v="Wooden Bookcase"/>
    <n v="1011.02"/>
    <n v="6"/>
    <n v="155.18"/>
  </r>
  <r>
    <d v="2017-11-12T00:00:00"/>
    <x v="3"/>
    <x v="10"/>
    <x v="2"/>
    <x v="3"/>
    <x v="0"/>
    <x v="2"/>
    <s v="Conference Table"/>
    <n v="235.27"/>
    <n v="5"/>
    <n v="23.08"/>
  </r>
  <r>
    <d v="2017-11-13T00:00:00"/>
    <x v="3"/>
    <x v="10"/>
    <x v="8"/>
    <x v="8"/>
    <x v="1"/>
    <x v="7"/>
    <s v="Color Set"/>
    <n v="657.11"/>
    <n v="8"/>
    <n v="133.58000000000001"/>
  </r>
  <r>
    <d v="2017-11-13T00:00:00"/>
    <x v="3"/>
    <x v="10"/>
    <x v="11"/>
    <x v="1"/>
    <x v="0"/>
    <x v="4"/>
    <s v="Executive Chair"/>
    <n v="2147.69"/>
    <n v="1"/>
    <n v="505.13"/>
  </r>
  <r>
    <d v="2017-11-15T00:00:00"/>
    <x v="3"/>
    <x v="10"/>
    <x v="7"/>
    <x v="3"/>
    <x v="0"/>
    <x v="0"/>
    <s v="Desk Lamp"/>
    <n v="3865.45"/>
    <n v="5"/>
    <n v="1118.8699999999999"/>
  </r>
  <r>
    <d v="2017-11-16T00:00:00"/>
    <x v="3"/>
    <x v="10"/>
    <x v="1"/>
    <x v="0"/>
    <x v="1"/>
    <x v="9"/>
    <s v="Binder Pack"/>
    <n v="3292.08"/>
    <n v="2"/>
    <n v="64.55"/>
  </r>
  <r>
    <d v="2017-11-17T00:00:00"/>
    <x v="3"/>
    <x v="10"/>
    <x v="6"/>
    <x v="7"/>
    <x v="1"/>
    <x v="8"/>
    <s v="A4 Paper Pack"/>
    <n v="3227.46"/>
    <n v="4"/>
    <n v="287.85000000000002"/>
  </r>
  <r>
    <d v="2017-11-17T00:00:00"/>
    <x v="3"/>
    <x v="10"/>
    <x v="5"/>
    <x v="1"/>
    <x v="2"/>
    <x v="3"/>
    <s v="IP Phone"/>
    <n v="1632"/>
    <n v="8"/>
    <n v="28.55"/>
  </r>
  <r>
    <d v="2017-11-17T00:00:00"/>
    <x v="3"/>
    <x v="10"/>
    <x v="6"/>
    <x v="4"/>
    <x v="1"/>
    <x v="9"/>
    <s v="Binder Pack"/>
    <n v="2126.9"/>
    <n v="5"/>
    <n v="109.2"/>
  </r>
  <r>
    <d v="2017-11-18T00:00:00"/>
    <x v="3"/>
    <x v="10"/>
    <x v="10"/>
    <x v="2"/>
    <x v="1"/>
    <x v="8"/>
    <s v="A4 Paper Pack"/>
    <n v="4335.75"/>
    <n v="10"/>
    <n v="869.9"/>
  </r>
  <r>
    <d v="2017-11-18T00:00:00"/>
    <x v="3"/>
    <x v="10"/>
    <x v="1"/>
    <x v="7"/>
    <x v="0"/>
    <x v="10"/>
    <s v="Wooden Bookcase"/>
    <n v="955.34"/>
    <n v="1"/>
    <n v="59.73"/>
  </r>
  <r>
    <d v="2017-11-19T00:00:00"/>
    <x v="3"/>
    <x v="10"/>
    <x v="1"/>
    <x v="7"/>
    <x v="2"/>
    <x v="5"/>
    <s v="USB Drive"/>
    <n v="662.13"/>
    <n v="8"/>
    <n v="130.04"/>
  </r>
  <r>
    <d v="2017-11-19T00:00:00"/>
    <x v="3"/>
    <x v="10"/>
    <x v="7"/>
    <x v="3"/>
    <x v="0"/>
    <x v="0"/>
    <s v="Desk Lamp"/>
    <n v="1080.72"/>
    <n v="3"/>
    <n v="107.84"/>
  </r>
  <r>
    <d v="2017-11-20T00:00:00"/>
    <x v="3"/>
    <x v="10"/>
    <x v="11"/>
    <x v="7"/>
    <x v="1"/>
    <x v="7"/>
    <s v="Color Set"/>
    <n v="4940.4799999999996"/>
    <n v="4"/>
    <n v="13.75"/>
  </r>
  <r>
    <d v="2017-11-21T00:00:00"/>
    <x v="3"/>
    <x v="10"/>
    <x v="11"/>
    <x v="9"/>
    <x v="1"/>
    <x v="8"/>
    <s v="A4 Paper Pack"/>
    <n v="4941.66"/>
    <n v="7"/>
    <n v="246.11"/>
  </r>
  <r>
    <d v="2017-11-22T00:00:00"/>
    <x v="3"/>
    <x v="10"/>
    <x v="8"/>
    <x v="8"/>
    <x v="0"/>
    <x v="2"/>
    <s v="Study Table"/>
    <n v="2636.26"/>
    <n v="3"/>
    <n v="5.75"/>
  </r>
  <r>
    <d v="2017-11-23T00:00:00"/>
    <x v="3"/>
    <x v="10"/>
    <x v="0"/>
    <x v="4"/>
    <x v="1"/>
    <x v="8"/>
    <s v="Printer Paper"/>
    <n v="1622.25"/>
    <n v="2"/>
    <n v="377.96"/>
  </r>
  <r>
    <d v="2017-11-23T00:00:00"/>
    <x v="3"/>
    <x v="10"/>
    <x v="9"/>
    <x v="3"/>
    <x v="2"/>
    <x v="6"/>
    <s v="Laser Copier"/>
    <n v="4428.83"/>
    <n v="1"/>
    <n v="950.54"/>
  </r>
  <r>
    <d v="2017-11-23T00:00:00"/>
    <x v="3"/>
    <x v="10"/>
    <x v="9"/>
    <x v="6"/>
    <x v="1"/>
    <x v="11"/>
    <s v="Storage Box"/>
    <n v="1981.97"/>
    <n v="7"/>
    <n v="159.38999999999999"/>
  </r>
  <r>
    <d v="2017-11-24T00:00:00"/>
    <x v="3"/>
    <x v="10"/>
    <x v="11"/>
    <x v="5"/>
    <x v="0"/>
    <x v="10"/>
    <s v="Wooden Bookcase"/>
    <n v="2105.92"/>
    <n v="2"/>
    <n v="222.46"/>
  </r>
  <r>
    <d v="2017-11-24T00:00:00"/>
    <x v="3"/>
    <x v="10"/>
    <x v="8"/>
    <x v="4"/>
    <x v="0"/>
    <x v="4"/>
    <s v="Ergonomic Chair"/>
    <n v="2698.26"/>
    <n v="9"/>
    <n v="182.65"/>
  </r>
  <r>
    <d v="2017-11-24T00:00:00"/>
    <x v="3"/>
    <x v="10"/>
    <x v="0"/>
    <x v="7"/>
    <x v="2"/>
    <x v="5"/>
    <s v="Mouse"/>
    <n v="2852.73"/>
    <n v="7"/>
    <n v="434.68"/>
  </r>
  <r>
    <d v="2017-11-25T00:00:00"/>
    <x v="3"/>
    <x v="10"/>
    <x v="9"/>
    <x v="7"/>
    <x v="2"/>
    <x v="3"/>
    <s v="Smartphone"/>
    <n v="3370.22"/>
    <n v="1"/>
    <n v="236.72"/>
  </r>
  <r>
    <d v="2017-11-27T00:00:00"/>
    <x v="3"/>
    <x v="10"/>
    <x v="9"/>
    <x v="4"/>
    <x v="1"/>
    <x v="11"/>
    <s v="Drawer Unit"/>
    <n v="2948.56"/>
    <n v="5"/>
    <n v="384.53"/>
  </r>
  <r>
    <d v="2017-11-29T00:00:00"/>
    <x v="3"/>
    <x v="10"/>
    <x v="7"/>
    <x v="6"/>
    <x v="0"/>
    <x v="2"/>
    <s v="Conference Table"/>
    <n v="1520.5"/>
    <n v="3"/>
    <n v="340.03"/>
  </r>
  <r>
    <d v="2017-12-03T00:00:00"/>
    <x v="3"/>
    <x v="11"/>
    <x v="6"/>
    <x v="4"/>
    <x v="2"/>
    <x v="5"/>
    <s v="Keyboard"/>
    <n v="3656.52"/>
    <n v="10"/>
    <n v="441.51"/>
  </r>
  <r>
    <d v="2017-12-03T00:00:00"/>
    <x v="3"/>
    <x v="11"/>
    <x v="5"/>
    <x v="4"/>
    <x v="2"/>
    <x v="3"/>
    <s v="Smartphone"/>
    <n v="4552.1000000000004"/>
    <n v="1"/>
    <n v="729.22"/>
  </r>
  <r>
    <d v="2017-12-05T00:00:00"/>
    <x v="3"/>
    <x v="11"/>
    <x v="1"/>
    <x v="3"/>
    <x v="1"/>
    <x v="7"/>
    <s v="Sketch Kit"/>
    <n v="609.24"/>
    <n v="4"/>
    <n v="15.14"/>
  </r>
  <r>
    <d v="2017-12-05T00:00:00"/>
    <x v="3"/>
    <x v="11"/>
    <x v="1"/>
    <x v="6"/>
    <x v="1"/>
    <x v="1"/>
    <s v="Heater"/>
    <n v="4254.46"/>
    <n v="10"/>
    <n v="372.19"/>
  </r>
  <r>
    <d v="2017-12-05T00:00:00"/>
    <x v="3"/>
    <x v="11"/>
    <x v="11"/>
    <x v="0"/>
    <x v="1"/>
    <x v="11"/>
    <s v="Storage Box"/>
    <n v="3252.43"/>
    <n v="2"/>
    <n v="5.28"/>
  </r>
  <r>
    <d v="2017-12-06T00:00:00"/>
    <x v="3"/>
    <x v="11"/>
    <x v="11"/>
    <x v="7"/>
    <x v="2"/>
    <x v="5"/>
    <s v="USB Drive"/>
    <n v="2178.3000000000002"/>
    <n v="8"/>
    <n v="11.03"/>
  </r>
  <r>
    <d v="2017-12-06T00:00:00"/>
    <x v="3"/>
    <x v="11"/>
    <x v="1"/>
    <x v="7"/>
    <x v="2"/>
    <x v="5"/>
    <s v="USB Drive"/>
    <n v="4848.07"/>
    <n v="1"/>
    <n v="187.74"/>
  </r>
  <r>
    <d v="2017-12-07T00:00:00"/>
    <x v="3"/>
    <x v="11"/>
    <x v="7"/>
    <x v="1"/>
    <x v="0"/>
    <x v="2"/>
    <s v="Conference Table"/>
    <n v="1984.02"/>
    <n v="2"/>
    <n v="64.900000000000006"/>
  </r>
  <r>
    <d v="2017-12-08T00:00:00"/>
    <x v="3"/>
    <x v="11"/>
    <x v="7"/>
    <x v="6"/>
    <x v="2"/>
    <x v="6"/>
    <s v="Laser Copier"/>
    <n v="3766.11"/>
    <n v="7"/>
    <n v="796"/>
  </r>
  <r>
    <d v="2017-12-09T00:00:00"/>
    <x v="3"/>
    <x v="11"/>
    <x v="5"/>
    <x v="4"/>
    <x v="2"/>
    <x v="3"/>
    <s v="Smartphone"/>
    <n v="1796.7"/>
    <n v="2"/>
    <n v="18.37"/>
  </r>
  <r>
    <d v="2017-12-09T00:00:00"/>
    <x v="3"/>
    <x v="11"/>
    <x v="2"/>
    <x v="2"/>
    <x v="1"/>
    <x v="11"/>
    <s v="Storage Box"/>
    <n v="3149.94"/>
    <n v="3"/>
    <n v="699.33"/>
  </r>
  <r>
    <d v="2017-12-09T00:00:00"/>
    <x v="3"/>
    <x v="11"/>
    <x v="7"/>
    <x v="1"/>
    <x v="0"/>
    <x v="2"/>
    <s v="Study Table"/>
    <n v="1286.76"/>
    <n v="2"/>
    <n v="274.29000000000002"/>
  </r>
  <r>
    <d v="2017-12-11T00:00:00"/>
    <x v="3"/>
    <x v="11"/>
    <x v="6"/>
    <x v="2"/>
    <x v="1"/>
    <x v="11"/>
    <s v="Storage Box"/>
    <n v="3842.3"/>
    <n v="3"/>
    <n v="1058.21"/>
  </r>
  <r>
    <d v="2017-12-11T00:00:00"/>
    <x v="3"/>
    <x v="11"/>
    <x v="7"/>
    <x v="2"/>
    <x v="0"/>
    <x v="0"/>
    <s v="Wall Decor"/>
    <n v="2915.3"/>
    <n v="6"/>
    <n v="843.92"/>
  </r>
  <r>
    <d v="2017-12-12T00:00:00"/>
    <x v="3"/>
    <x v="11"/>
    <x v="2"/>
    <x v="1"/>
    <x v="1"/>
    <x v="9"/>
    <s v="Binder Pack"/>
    <n v="1993.75"/>
    <n v="3"/>
    <n v="206.78"/>
  </r>
  <r>
    <d v="2017-12-12T00:00:00"/>
    <x v="3"/>
    <x v="11"/>
    <x v="10"/>
    <x v="1"/>
    <x v="1"/>
    <x v="8"/>
    <s v="Printer Paper"/>
    <n v="3837.25"/>
    <n v="1"/>
    <n v="281.14"/>
  </r>
  <r>
    <d v="2017-12-13T00:00:00"/>
    <x v="3"/>
    <x v="11"/>
    <x v="3"/>
    <x v="9"/>
    <x v="0"/>
    <x v="0"/>
    <s v="Desk Lamp"/>
    <n v="443.47"/>
    <n v="8"/>
    <n v="38.880000000000003"/>
  </r>
  <r>
    <d v="2017-12-13T00:00:00"/>
    <x v="3"/>
    <x v="11"/>
    <x v="10"/>
    <x v="2"/>
    <x v="1"/>
    <x v="8"/>
    <s v="Printer Paper"/>
    <n v="1446.2"/>
    <n v="7"/>
    <n v="57.09"/>
  </r>
  <r>
    <d v="2017-12-14T00:00:00"/>
    <x v="3"/>
    <x v="11"/>
    <x v="3"/>
    <x v="0"/>
    <x v="1"/>
    <x v="9"/>
    <s v="Binder Pack"/>
    <n v="2503.67"/>
    <n v="6"/>
    <n v="624.32000000000005"/>
  </r>
  <r>
    <d v="2017-12-14T00:00:00"/>
    <x v="3"/>
    <x v="11"/>
    <x v="2"/>
    <x v="7"/>
    <x v="0"/>
    <x v="2"/>
    <s v="Conference Table"/>
    <n v="4240.2700000000004"/>
    <n v="9"/>
    <n v="811.48"/>
  </r>
  <r>
    <d v="2017-12-15T00:00:00"/>
    <x v="3"/>
    <x v="11"/>
    <x v="7"/>
    <x v="6"/>
    <x v="0"/>
    <x v="10"/>
    <s v="Metal Bookcase"/>
    <n v="2102.6799999999998"/>
    <n v="8"/>
    <n v="251.15"/>
  </r>
  <r>
    <d v="2017-12-15T00:00:00"/>
    <x v="3"/>
    <x v="11"/>
    <x v="7"/>
    <x v="0"/>
    <x v="2"/>
    <x v="6"/>
    <s v="Laser Copier"/>
    <n v="4179.9799999999996"/>
    <n v="1"/>
    <n v="391.83"/>
  </r>
  <r>
    <d v="2017-12-16T00:00:00"/>
    <x v="3"/>
    <x v="11"/>
    <x v="6"/>
    <x v="9"/>
    <x v="1"/>
    <x v="8"/>
    <s v="A4 Paper Pack"/>
    <n v="399.95"/>
    <n v="7"/>
    <n v="43"/>
  </r>
  <r>
    <d v="2017-12-18T00:00:00"/>
    <x v="3"/>
    <x v="11"/>
    <x v="0"/>
    <x v="0"/>
    <x v="2"/>
    <x v="6"/>
    <s v="Inkjet Copier"/>
    <n v="615.95000000000005"/>
    <n v="9"/>
    <n v="136.97999999999999"/>
  </r>
  <r>
    <d v="2017-12-18T00:00:00"/>
    <x v="3"/>
    <x v="11"/>
    <x v="11"/>
    <x v="1"/>
    <x v="1"/>
    <x v="11"/>
    <s v="Drawer Unit"/>
    <n v="3828.96"/>
    <n v="6"/>
    <n v="375.52"/>
  </r>
  <r>
    <d v="2017-12-18T00:00:00"/>
    <x v="3"/>
    <x v="11"/>
    <x v="8"/>
    <x v="7"/>
    <x v="2"/>
    <x v="3"/>
    <s v="Smartphone"/>
    <n v="3165.79"/>
    <n v="7"/>
    <n v="580.03"/>
  </r>
  <r>
    <d v="2017-12-19T00:00:00"/>
    <x v="3"/>
    <x v="11"/>
    <x v="0"/>
    <x v="2"/>
    <x v="2"/>
    <x v="3"/>
    <s v="Smartphone"/>
    <n v="804.62"/>
    <n v="9"/>
    <n v="221.03"/>
  </r>
  <r>
    <d v="2017-12-19T00:00:00"/>
    <x v="3"/>
    <x v="11"/>
    <x v="1"/>
    <x v="8"/>
    <x v="1"/>
    <x v="9"/>
    <s v="Ring Binder"/>
    <n v="417.03"/>
    <n v="2"/>
    <n v="62.49"/>
  </r>
  <r>
    <d v="2017-12-19T00:00:00"/>
    <x v="3"/>
    <x v="11"/>
    <x v="9"/>
    <x v="5"/>
    <x v="1"/>
    <x v="7"/>
    <s v="Color Set"/>
    <n v="311.11"/>
    <n v="4"/>
    <n v="12.51"/>
  </r>
  <r>
    <d v="2017-12-19T00:00:00"/>
    <x v="3"/>
    <x v="11"/>
    <x v="3"/>
    <x v="7"/>
    <x v="1"/>
    <x v="11"/>
    <s v="Drawer Unit"/>
    <n v="3402.93"/>
    <n v="10"/>
    <n v="445.21"/>
  </r>
  <r>
    <d v="2017-12-20T00:00:00"/>
    <x v="3"/>
    <x v="11"/>
    <x v="9"/>
    <x v="9"/>
    <x v="0"/>
    <x v="10"/>
    <s v="Metal Bookcase"/>
    <n v="3230.79"/>
    <n v="5"/>
    <n v="591.64"/>
  </r>
  <r>
    <d v="2017-12-20T00:00:00"/>
    <x v="3"/>
    <x v="11"/>
    <x v="10"/>
    <x v="5"/>
    <x v="2"/>
    <x v="5"/>
    <s v="USB Drive"/>
    <n v="4924.91"/>
    <n v="4"/>
    <n v="1308.6500000000001"/>
  </r>
  <r>
    <d v="2017-12-20T00:00:00"/>
    <x v="3"/>
    <x v="11"/>
    <x v="10"/>
    <x v="0"/>
    <x v="2"/>
    <x v="3"/>
    <s v="Smartphone"/>
    <n v="2326.8000000000002"/>
    <n v="5"/>
    <n v="547.91"/>
  </r>
  <r>
    <d v="2017-12-21T00:00:00"/>
    <x v="3"/>
    <x v="11"/>
    <x v="6"/>
    <x v="0"/>
    <x v="1"/>
    <x v="1"/>
    <s v="Heater"/>
    <n v="885.91"/>
    <n v="7"/>
    <n v="140.24"/>
  </r>
  <r>
    <d v="2017-12-21T00:00:00"/>
    <x v="3"/>
    <x v="11"/>
    <x v="5"/>
    <x v="5"/>
    <x v="0"/>
    <x v="0"/>
    <s v="Desk Lamp"/>
    <n v="2245.8200000000002"/>
    <n v="1"/>
    <n v="470.79"/>
  </r>
  <r>
    <d v="2017-12-22T00:00:00"/>
    <x v="3"/>
    <x v="11"/>
    <x v="7"/>
    <x v="6"/>
    <x v="0"/>
    <x v="10"/>
    <s v="Metal Bookcase"/>
    <n v="1529.47"/>
    <n v="10"/>
    <n v="116.48"/>
  </r>
  <r>
    <d v="2017-12-22T00:00:00"/>
    <x v="3"/>
    <x v="11"/>
    <x v="11"/>
    <x v="1"/>
    <x v="2"/>
    <x v="3"/>
    <s v="IP Phone"/>
    <n v="2837.49"/>
    <n v="2"/>
    <n v="104.25"/>
  </r>
  <r>
    <d v="2017-12-22T00:00:00"/>
    <x v="3"/>
    <x v="11"/>
    <x v="0"/>
    <x v="4"/>
    <x v="0"/>
    <x v="2"/>
    <s v="Conference Table"/>
    <n v="1066.2"/>
    <n v="7"/>
    <n v="175.69"/>
  </r>
  <r>
    <d v="2017-12-23T00:00:00"/>
    <x v="3"/>
    <x v="11"/>
    <x v="11"/>
    <x v="3"/>
    <x v="1"/>
    <x v="7"/>
    <s v="Color Set"/>
    <n v="4690.43"/>
    <n v="5"/>
    <n v="193.38"/>
  </r>
  <r>
    <d v="2017-12-24T00:00:00"/>
    <x v="3"/>
    <x v="11"/>
    <x v="1"/>
    <x v="0"/>
    <x v="1"/>
    <x v="8"/>
    <s v="A4 Paper Pack"/>
    <n v="4848.63"/>
    <n v="8"/>
    <n v="175.96"/>
  </r>
  <r>
    <d v="2017-12-24T00:00:00"/>
    <x v="3"/>
    <x v="11"/>
    <x v="5"/>
    <x v="8"/>
    <x v="1"/>
    <x v="11"/>
    <s v="Storage Box"/>
    <n v="704.79"/>
    <n v="10"/>
    <n v="72.83"/>
  </r>
  <r>
    <d v="2017-12-25T00:00:00"/>
    <x v="3"/>
    <x v="11"/>
    <x v="0"/>
    <x v="6"/>
    <x v="0"/>
    <x v="10"/>
    <s v="Metal Bookcase"/>
    <n v="1333.33"/>
    <n v="5"/>
    <n v="300.01"/>
  </r>
  <r>
    <d v="2017-12-26T00:00:00"/>
    <x v="3"/>
    <x v="11"/>
    <x v="10"/>
    <x v="9"/>
    <x v="0"/>
    <x v="2"/>
    <s v="Conference Table"/>
    <n v="4172.28"/>
    <n v="1"/>
    <n v="893.59"/>
  </r>
  <r>
    <d v="2017-12-26T00:00:00"/>
    <x v="3"/>
    <x v="11"/>
    <x v="8"/>
    <x v="1"/>
    <x v="2"/>
    <x v="5"/>
    <s v="Mouse"/>
    <n v="3016.24"/>
    <n v="1"/>
    <n v="607.80999999999995"/>
  </r>
  <r>
    <d v="2017-12-26T00:00:00"/>
    <x v="3"/>
    <x v="11"/>
    <x v="8"/>
    <x v="2"/>
    <x v="2"/>
    <x v="5"/>
    <s v="Mouse"/>
    <n v="1325.35"/>
    <n v="7"/>
    <n v="373.65"/>
  </r>
  <r>
    <d v="2017-12-27T00:00:00"/>
    <x v="3"/>
    <x v="11"/>
    <x v="11"/>
    <x v="9"/>
    <x v="0"/>
    <x v="10"/>
    <s v="Metal Bookcase"/>
    <n v="4431.07"/>
    <n v="9"/>
    <n v="557.29999999999995"/>
  </r>
  <r>
    <d v="2017-12-27T00:00:00"/>
    <x v="3"/>
    <x v="11"/>
    <x v="0"/>
    <x v="2"/>
    <x v="0"/>
    <x v="2"/>
    <s v="Conference Table"/>
    <n v="1802.84"/>
    <n v="1"/>
    <n v="318.68"/>
  </r>
  <r>
    <d v="2017-12-27T00:00:00"/>
    <x v="3"/>
    <x v="11"/>
    <x v="2"/>
    <x v="6"/>
    <x v="2"/>
    <x v="3"/>
    <s v="IP Phone"/>
    <n v="3890.33"/>
    <n v="9"/>
    <n v="146.16"/>
  </r>
  <r>
    <d v="2017-12-27T00:00:00"/>
    <x v="3"/>
    <x v="11"/>
    <x v="6"/>
    <x v="3"/>
    <x v="1"/>
    <x v="11"/>
    <s v="Drawer Unit"/>
    <n v="3457.93"/>
    <n v="3"/>
    <n v="623.91999999999996"/>
  </r>
  <r>
    <d v="2017-12-28T00:00:00"/>
    <x v="3"/>
    <x v="11"/>
    <x v="8"/>
    <x v="3"/>
    <x v="1"/>
    <x v="11"/>
    <s v="Drawer Unit"/>
    <n v="4230.29"/>
    <n v="4"/>
    <n v="474.78"/>
  </r>
  <r>
    <d v="2017-12-28T00:00:00"/>
    <x v="3"/>
    <x v="11"/>
    <x v="6"/>
    <x v="8"/>
    <x v="2"/>
    <x v="5"/>
    <s v="Mouse"/>
    <n v="4968.22"/>
    <n v="10"/>
    <n v="577.70000000000005"/>
  </r>
  <r>
    <d v="2017-12-28T00:00:00"/>
    <x v="3"/>
    <x v="11"/>
    <x v="7"/>
    <x v="4"/>
    <x v="2"/>
    <x v="5"/>
    <s v="Keyboard"/>
    <n v="4658.09"/>
    <n v="1"/>
    <n v="405.93"/>
  </r>
  <r>
    <d v="2017-12-28T00:00:00"/>
    <x v="3"/>
    <x v="11"/>
    <x v="7"/>
    <x v="8"/>
    <x v="1"/>
    <x v="7"/>
    <s v="Color Set"/>
    <n v="4564.66"/>
    <n v="4"/>
    <n v="1062.26"/>
  </r>
  <r>
    <d v="2017-12-29T00:00:00"/>
    <x v="3"/>
    <x v="11"/>
    <x v="6"/>
    <x v="1"/>
    <x v="1"/>
    <x v="1"/>
    <s v="Heater"/>
    <n v="3089.65"/>
    <n v="6"/>
    <n v="475.45"/>
  </r>
  <r>
    <d v="2017-12-30T00:00:00"/>
    <x v="3"/>
    <x v="11"/>
    <x v="6"/>
    <x v="5"/>
    <x v="2"/>
    <x v="5"/>
    <s v="Mouse"/>
    <n v="534.91999999999996"/>
    <n v="2"/>
    <n v="102.57"/>
  </r>
  <r>
    <d v="2017-12-30T00:00:00"/>
    <x v="3"/>
    <x v="11"/>
    <x v="0"/>
    <x v="4"/>
    <x v="0"/>
    <x v="4"/>
    <s v="Office Chair"/>
    <n v="599.95000000000005"/>
    <n v="10"/>
    <n v="93.49"/>
  </r>
  <r>
    <d v="2017-12-30T00:00:00"/>
    <x v="3"/>
    <x v="11"/>
    <x v="1"/>
    <x v="0"/>
    <x v="2"/>
    <x v="6"/>
    <s v="Laser Copier"/>
    <n v="2683.84"/>
    <n v="9"/>
    <n v="65.61"/>
  </r>
  <r>
    <d v="2017-12-30T00:00:00"/>
    <x v="3"/>
    <x v="11"/>
    <x v="0"/>
    <x v="5"/>
    <x v="0"/>
    <x v="0"/>
    <s v="Desk Lamp"/>
    <n v="4622.22"/>
    <n v="5"/>
    <n v="344.8"/>
  </r>
  <r>
    <d v="2018-01-02T00:00:00"/>
    <x v="4"/>
    <x v="0"/>
    <x v="1"/>
    <x v="9"/>
    <x v="0"/>
    <x v="0"/>
    <s v="Wall Decor"/>
    <n v="1948.29"/>
    <n v="7"/>
    <n v="340.57"/>
  </r>
  <r>
    <d v="2018-01-02T00:00:00"/>
    <x v="4"/>
    <x v="0"/>
    <x v="5"/>
    <x v="8"/>
    <x v="0"/>
    <x v="0"/>
    <s v="Desk Lamp"/>
    <n v="910.04"/>
    <n v="9"/>
    <n v="130.63"/>
  </r>
  <r>
    <d v="2018-01-02T00:00:00"/>
    <x v="4"/>
    <x v="0"/>
    <x v="8"/>
    <x v="5"/>
    <x v="1"/>
    <x v="11"/>
    <s v="Storage Box"/>
    <n v="3120.96"/>
    <n v="7"/>
    <n v="171.67"/>
  </r>
  <r>
    <d v="2018-01-02T00:00:00"/>
    <x v="4"/>
    <x v="0"/>
    <x v="10"/>
    <x v="8"/>
    <x v="2"/>
    <x v="5"/>
    <s v="Keyboard"/>
    <n v="4895.4399999999996"/>
    <n v="5"/>
    <n v="141.69"/>
  </r>
  <r>
    <d v="2018-01-04T00:00:00"/>
    <x v="4"/>
    <x v="0"/>
    <x v="3"/>
    <x v="5"/>
    <x v="0"/>
    <x v="0"/>
    <s v="Wall Decor"/>
    <n v="4196.95"/>
    <n v="10"/>
    <n v="806.27"/>
  </r>
  <r>
    <d v="2018-01-05T00:00:00"/>
    <x v="4"/>
    <x v="0"/>
    <x v="1"/>
    <x v="2"/>
    <x v="1"/>
    <x v="9"/>
    <s v="Binder Pack"/>
    <n v="3091.34"/>
    <n v="2"/>
    <n v="862.79"/>
  </r>
  <r>
    <d v="2018-01-05T00:00:00"/>
    <x v="4"/>
    <x v="0"/>
    <x v="5"/>
    <x v="0"/>
    <x v="1"/>
    <x v="7"/>
    <s v="Color Set"/>
    <n v="2076.0100000000002"/>
    <n v="3"/>
    <n v="172.05"/>
  </r>
  <r>
    <d v="2018-01-06T00:00:00"/>
    <x v="4"/>
    <x v="0"/>
    <x v="5"/>
    <x v="8"/>
    <x v="0"/>
    <x v="2"/>
    <s v="Conference Table"/>
    <n v="2103.2600000000002"/>
    <n v="6"/>
    <n v="161.72"/>
  </r>
  <r>
    <d v="2018-01-06T00:00:00"/>
    <x v="4"/>
    <x v="0"/>
    <x v="1"/>
    <x v="0"/>
    <x v="1"/>
    <x v="9"/>
    <s v="Binder Pack"/>
    <n v="3295.68"/>
    <n v="2"/>
    <n v="647.04999999999995"/>
  </r>
  <r>
    <d v="2018-01-06T00:00:00"/>
    <x v="4"/>
    <x v="0"/>
    <x v="9"/>
    <x v="7"/>
    <x v="0"/>
    <x v="2"/>
    <s v="Conference Table"/>
    <n v="3511.04"/>
    <n v="2"/>
    <n v="662.76"/>
  </r>
  <r>
    <d v="2018-01-07T00:00:00"/>
    <x v="4"/>
    <x v="0"/>
    <x v="10"/>
    <x v="9"/>
    <x v="1"/>
    <x v="9"/>
    <s v="Ring Binder"/>
    <n v="2558.0500000000002"/>
    <n v="10"/>
    <n v="326.77"/>
  </r>
  <r>
    <d v="2018-01-07T00:00:00"/>
    <x v="4"/>
    <x v="0"/>
    <x v="7"/>
    <x v="1"/>
    <x v="1"/>
    <x v="8"/>
    <s v="Printer Paper"/>
    <n v="1471.51"/>
    <n v="3"/>
    <n v="246.71"/>
  </r>
  <r>
    <d v="2018-01-07T00:00:00"/>
    <x v="4"/>
    <x v="0"/>
    <x v="1"/>
    <x v="8"/>
    <x v="2"/>
    <x v="5"/>
    <s v="USB Drive"/>
    <n v="767.33"/>
    <n v="4"/>
    <n v="63.86"/>
  </r>
  <r>
    <d v="2018-01-08T00:00:00"/>
    <x v="4"/>
    <x v="0"/>
    <x v="8"/>
    <x v="2"/>
    <x v="0"/>
    <x v="10"/>
    <s v="Wooden Bookcase"/>
    <n v="3767.28"/>
    <n v="3"/>
    <n v="842.66"/>
  </r>
  <r>
    <d v="2018-01-09T00:00:00"/>
    <x v="4"/>
    <x v="0"/>
    <x v="5"/>
    <x v="9"/>
    <x v="0"/>
    <x v="4"/>
    <s v="Executive Chair"/>
    <n v="4400.88"/>
    <n v="7"/>
    <n v="226.42"/>
  </r>
  <r>
    <d v="2018-01-09T00:00:00"/>
    <x v="4"/>
    <x v="0"/>
    <x v="6"/>
    <x v="6"/>
    <x v="2"/>
    <x v="5"/>
    <s v="Keyboard"/>
    <n v="3032.85"/>
    <n v="4"/>
    <n v="308.35000000000002"/>
  </r>
  <r>
    <d v="2018-01-10T00:00:00"/>
    <x v="4"/>
    <x v="0"/>
    <x v="2"/>
    <x v="7"/>
    <x v="1"/>
    <x v="7"/>
    <s v="Color Set"/>
    <n v="3411.12"/>
    <n v="7"/>
    <n v="789.82"/>
  </r>
  <r>
    <d v="2018-01-10T00:00:00"/>
    <x v="4"/>
    <x v="0"/>
    <x v="4"/>
    <x v="1"/>
    <x v="1"/>
    <x v="8"/>
    <s v="A4 Paper Pack"/>
    <n v="1166.75"/>
    <n v="2"/>
    <n v="339.99"/>
  </r>
  <r>
    <d v="2018-01-11T00:00:00"/>
    <x v="4"/>
    <x v="0"/>
    <x v="5"/>
    <x v="3"/>
    <x v="2"/>
    <x v="3"/>
    <s v="IP Phone"/>
    <n v="3252.97"/>
    <n v="7"/>
    <n v="803.74"/>
  </r>
  <r>
    <d v="2018-01-11T00:00:00"/>
    <x v="4"/>
    <x v="0"/>
    <x v="2"/>
    <x v="9"/>
    <x v="0"/>
    <x v="0"/>
    <s v="Wall Decor"/>
    <n v="4489.7"/>
    <n v="6"/>
    <n v="822.89"/>
  </r>
  <r>
    <d v="2018-01-12T00:00:00"/>
    <x v="4"/>
    <x v="0"/>
    <x v="1"/>
    <x v="5"/>
    <x v="1"/>
    <x v="1"/>
    <s v="Air Cleaner"/>
    <n v="2552.7199999999998"/>
    <n v="6"/>
    <n v="162.18"/>
  </r>
  <r>
    <d v="2018-01-13T00:00:00"/>
    <x v="4"/>
    <x v="0"/>
    <x v="10"/>
    <x v="1"/>
    <x v="0"/>
    <x v="2"/>
    <s v="Study Table"/>
    <n v="1491.71"/>
    <n v="6"/>
    <n v="43.53"/>
  </r>
  <r>
    <d v="2018-01-13T00:00:00"/>
    <x v="4"/>
    <x v="0"/>
    <x v="6"/>
    <x v="5"/>
    <x v="1"/>
    <x v="1"/>
    <s v="Heater"/>
    <n v="1288.8900000000001"/>
    <n v="6"/>
    <n v="65.680000000000007"/>
  </r>
  <r>
    <d v="2018-01-14T00:00:00"/>
    <x v="4"/>
    <x v="0"/>
    <x v="5"/>
    <x v="4"/>
    <x v="2"/>
    <x v="6"/>
    <s v="Inkjet Copier"/>
    <n v="3761.04"/>
    <n v="8"/>
    <n v="570.45000000000005"/>
  </r>
  <r>
    <d v="2018-01-14T00:00:00"/>
    <x v="4"/>
    <x v="0"/>
    <x v="9"/>
    <x v="3"/>
    <x v="1"/>
    <x v="8"/>
    <s v="Printer Paper"/>
    <n v="188.77"/>
    <n v="10"/>
    <n v="6.75"/>
  </r>
  <r>
    <d v="2018-01-14T00:00:00"/>
    <x v="4"/>
    <x v="0"/>
    <x v="10"/>
    <x v="8"/>
    <x v="0"/>
    <x v="0"/>
    <s v="Desk Lamp"/>
    <n v="4176.82"/>
    <n v="6"/>
    <n v="1109.07"/>
  </r>
  <r>
    <d v="2018-01-15T00:00:00"/>
    <x v="4"/>
    <x v="0"/>
    <x v="7"/>
    <x v="9"/>
    <x v="2"/>
    <x v="6"/>
    <s v="Inkjet Copier"/>
    <n v="1996.24"/>
    <n v="3"/>
    <n v="567.48"/>
  </r>
  <r>
    <d v="2018-01-16T00:00:00"/>
    <x v="4"/>
    <x v="0"/>
    <x v="8"/>
    <x v="4"/>
    <x v="1"/>
    <x v="7"/>
    <s v="Color Set"/>
    <n v="2536.91"/>
    <n v="9"/>
    <n v="156.65"/>
  </r>
  <r>
    <d v="2018-01-16T00:00:00"/>
    <x v="4"/>
    <x v="0"/>
    <x v="4"/>
    <x v="7"/>
    <x v="0"/>
    <x v="2"/>
    <s v="Conference Table"/>
    <n v="4539.4799999999996"/>
    <n v="3"/>
    <n v="320.89"/>
  </r>
  <r>
    <d v="2018-01-19T00:00:00"/>
    <x v="4"/>
    <x v="0"/>
    <x v="3"/>
    <x v="6"/>
    <x v="0"/>
    <x v="0"/>
    <s v="Desk Lamp"/>
    <n v="2529.41"/>
    <n v="9"/>
    <n v="233.16"/>
  </r>
  <r>
    <d v="2018-01-21T00:00:00"/>
    <x v="4"/>
    <x v="0"/>
    <x v="0"/>
    <x v="1"/>
    <x v="1"/>
    <x v="8"/>
    <s v="Printer Paper"/>
    <n v="99.07"/>
    <n v="7"/>
    <n v="11"/>
  </r>
  <r>
    <d v="2018-01-21T00:00:00"/>
    <x v="4"/>
    <x v="0"/>
    <x v="0"/>
    <x v="7"/>
    <x v="0"/>
    <x v="4"/>
    <s v="Ergonomic Chair"/>
    <n v="4415.78"/>
    <n v="3"/>
    <n v="949.93"/>
  </r>
  <r>
    <d v="2018-01-21T00:00:00"/>
    <x v="4"/>
    <x v="0"/>
    <x v="0"/>
    <x v="4"/>
    <x v="0"/>
    <x v="10"/>
    <s v="Wooden Bookcase"/>
    <n v="2802.37"/>
    <n v="2"/>
    <n v="586.66"/>
  </r>
  <r>
    <d v="2018-01-21T00:00:00"/>
    <x v="4"/>
    <x v="0"/>
    <x v="7"/>
    <x v="4"/>
    <x v="1"/>
    <x v="9"/>
    <s v="Ring Binder"/>
    <n v="422.29"/>
    <n v="6"/>
    <n v="54.72"/>
  </r>
  <r>
    <d v="2018-01-22T00:00:00"/>
    <x v="4"/>
    <x v="0"/>
    <x v="8"/>
    <x v="0"/>
    <x v="2"/>
    <x v="6"/>
    <s v="Laser Copier"/>
    <n v="1611.21"/>
    <n v="9"/>
    <n v="115.53"/>
  </r>
  <r>
    <d v="2018-01-23T00:00:00"/>
    <x v="4"/>
    <x v="0"/>
    <x v="10"/>
    <x v="3"/>
    <x v="2"/>
    <x v="3"/>
    <s v="Smartphone"/>
    <n v="4230.32"/>
    <n v="7"/>
    <n v="417.85"/>
  </r>
  <r>
    <d v="2018-01-23T00:00:00"/>
    <x v="4"/>
    <x v="0"/>
    <x v="1"/>
    <x v="1"/>
    <x v="2"/>
    <x v="6"/>
    <s v="Laser Copier"/>
    <n v="3057.55"/>
    <n v="5"/>
    <n v="673.06"/>
  </r>
  <r>
    <d v="2018-01-25T00:00:00"/>
    <x v="4"/>
    <x v="0"/>
    <x v="1"/>
    <x v="3"/>
    <x v="0"/>
    <x v="4"/>
    <s v="Executive Chair"/>
    <n v="1631.28"/>
    <n v="8"/>
    <n v="223.99"/>
  </r>
  <r>
    <d v="2018-01-25T00:00:00"/>
    <x v="4"/>
    <x v="0"/>
    <x v="8"/>
    <x v="0"/>
    <x v="2"/>
    <x v="5"/>
    <s v="USB Drive"/>
    <n v="3400.14"/>
    <n v="1"/>
    <n v="115.9"/>
  </r>
  <r>
    <d v="2018-01-27T00:00:00"/>
    <x v="4"/>
    <x v="0"/>
    <x v="3"/>
    <x v="2"/>
    <x v="2"/>
    <x v="3"/>
    <s v="Smartphone"/>
    <n v="2002.95"/>
    <n v="9"/>
    <n v="298.11"/>
  </r>
  <r>
    <d v="2018-01-27T00:00:00"/>
    <x v="4"/>
    <x v="0"/>
    <x v="9"/>
    <x v="3"/>
    <x v="0"/>
    <x v="10"/>
    <s v="Wooden Bookcase"/>
    <n v="1424.45"/>
    <n v="8"/>
    <n v="236.32"/>
  </r>
  <r>
    <d v="2018-01-28T00:00:00"/>
    <x v="4"/>
    <x v="0"/>
    <x v="4"/>
    <x v="0"/>
    <x v="1"/>
    <x v="11"/>
    <s v="Storage Box"/>
    <n v="1799.75"/>
    <n v="10"/>
    <n v="445.3"/>
  </r>
  <r>
    <d v="2018-01-29T00:00:00"/>
    <x v="4"/>
    <x v="0"/>
    <x v="8"/>
    <x v="8"/>
    <x v="1"/>
    <x v="1"/>
    <s v="Heater"/>
    <n v="3606.51"/>
    <n v="9"/>
    <n v="850.63"/>
  </r>
  <r>
    <d v="2018-01-29T00:00:00"/>
    <x v="4"/>
    <x v="0"/>
    <x v="0"/>
    <x v="9"/>
    <x v="1"/>
    <x v="8"/>
    <s v="Printer Paper"/>
    <n v="465.41"/>
    <n v="4"/>
    <n v="72.260000000000005"/>
  </r>
  <r>
    <d v="2018-01-31T00:00:00"/>
    <x v="4"/>
    <x v="0"/>
    <x v="7"/>
    <x v="4"/>
    <x v="0"/>
    <x v="0"/>
    <s v="Desk Lamp"/>
    <n v="3585.6"/>
    <n v="3"/>
    <n v="49.57"/>
  </r>
  <r>
    <d v="2018-02-01T00:00:00"/>
    <x v="4"/>
    <x v="1"/>
    <x v="9"/>
    <x v="2"/>
    <x v="1"/>
    <x v="1"/>
    <s v="Air Cleaner"/>
    <n v="1775.86"/>
    <n v="4"/>
    <n v="417.22"/>
  </r>
  <r>
    <d v="2018-02-02T00:00:00"/>
    <x v="4"/>
    <x v="1"/>
    <x v="0"/>
    <x v="3"/>
    <x v="2"/>
    <x v="5"/>
    <s v="Keyboard"/>
    <n v="2993.82"/>
    <n v="6"/>
    <n v="485.91"/>
  </r>
  <r>
    <d v="2018-02-02T00:00:00"/>
    <x v="4"/>
    <x v="1"/>
    <x v="8"/>
    <x v="6"/>
    <x v="1"/>
    <x v="11"/>
    <s v="Drawer Unit"/>
    <n v="3134.81"/>
    <n v="4"/>
    <n v="232.83"/>
  </r>
  <r>
    <d v="2018-02-02T00:00:00"/>
    <x v="4"/>
    <x v="1"/>
    <x v="5"/>
    <x v="6"/>
    <x v="2"/>
    <x v="3"/>
    <s v="IP Phone"/>
    <n v="3599.82"/>
    <n v="8"/>
    <n v="1074.8800000000001"/>
  </r>
  <r>
    <d v="2018-02-02T00:00:00"/>
    <x v="4"/>
    <x v="1"/>
    <x v="10"/>
    <x v="0"/>
    <x v="1"/>
    <x v="9"/>
    <s v="Binder Pack"/>
    <n v="862.95"/>
    <n v="8"/>
    <n v="184.15"/>
  </r>
  <r>
    <d v="2018-02-02T00:00:00"/>
    <x v="4"/>
    <x v="1"/>
    <x v="2"/>
    <x v="5"/>
    <x v="0"/>
    <x v="0"/>
    <s v="Desk Lamp"/>
    <n v="2759.49"/>
    <n v="5"/>
    <n v="692.61"/>
  </r>
  <r>
    <d v="2018-02-05T00:00:00"/>
    <x v="4"/>
    <x v="1"/>
    <x v="0"/>
    <x v="9"/>
    <x v="1"/>
    <x v="1"/>
    <s v="Heater"/>
    <n v="1928.6"/>
    <n v="1"/>
    <n v="157.13999999999999"/>
  </r>
  <r>
    <d v="2018-02-05T00:00:00"/>
    <x v="4"/>
    <x v="1"/>
    <x v="0"/>
    <x v="7"/>
    <x v="0"/>
    <x v="0"/>
    <s v="Wall Decor"/>
    <n v="3495.48"/>
    <n v="10"/>
    <n v="861.94"/>
  </r>
  <r>
    <d v="2018-02-06T00:00:00"/>
    <x v="4"/>
    <x v="1"/>
    <x v="8"/>
    <x v="0"/>
    <x v="0"/>
    <x v="2"/>
    <s v="Study Table"/>
    <n v="1494.65"/>
    <n v="5"/>
    <n v="398.06"/>
  </r>
  <r>
    <d v="2018-02-07T00:00:00"/>
    <x v="4"/>
    <x v="1"/>
    <x v="0"/>
    <x v="0"/>
    <x v="1"/>
    <x v="1"/>
    <s v="Heater"/>
    <n v="3465.37"/>
    <n v="6"/>
    <n v="445.24"/>
  </r>
  <r>
    <d v="2018-02-07T00:00:00"/>
    <x v="4"/>
    <x v="1"/>
    <x v="1"/>
    <x v="1"/>
    <x v="1"/>
    <x v="7"/>
    <s v="Color Set"/>
    <n v="4809.38"/>
    <n v="8"/>
    <n v="447.46"/>
  </r>
  <r>
    <d v="2018-02-08T00:00:00"/>
    <x v="4"/>
    <x v="1"/>
    <x v="0"/>
    <x v="1"/>
    <x v="0"/>
    <x v="10"/>
    <s v="Wooden Bookcase"/>
    <n v="1681.58"/>
    <n v="4"/>
    <n v="396.14"/>
  </r>
  <r>
    <d v="2018-02-08T00:00:00"/>
    <x v="4"/>
    <x v="1"/>
    <x v="1"/>
    <x v="5"/>
    <x v="0"/>
    <x v="4"/>
    <s v="Executive Chair"/>
    <n v="388.56"/>
    <n v="10"/>
    <n v="18.3"/>
  </r>
  <r>
    <d v="2018-02-08T00:00:00"/>
    <x v="4"/>
    <x v="1"/>
    <x v="3"/>
    <x v="0"/>
    <x v="0"/>
    <x v="10"/>
    <s v="Metal Bookcase"/>
    <n v="2419.5300000000002"/>
    <n v="2"/>
    <n v="652.05999999999995"/>
  </r>
  <r>
    <d v="2018-02-08T00:00:00"/>
    <x v="4"/>
    <x v="1"/>
    <x v="3"/>
    <x v="3"/>
    <x v="2"/>
    <x v="5"/>
    <s v="USB Drive"/>
    <n v="1999.88"/>
    <n v="4"/>
    <n v="245.79"/>
  </r>
  <r>
    <d v="2018-02-09T00:00:00"/>
    <x v="4"/>
    <x v="1"/>
    <x v="7"/>
    <x v="4"/>
    <x v="2"/>
    <x v="5"/>
    <s v="USB Drive"/>
    <n v="3147.12"/>
    <n v="3"/>
    <n v="586.54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4001E8-289F-4DCC-9B77-A2700F1DF797}" name="PivotTable5"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11">
    <pivotField numFmtId="14" showAll="0"/>
    <pivotField numFmtId="1" showAll="0">
      <items count="6">
        <item x="0"/>
        <item x="1"/>
        <item x="2"/>
        <item x="3"/>
        <item x="4"/>
        <item t="default"/>
      </items>
    </pivotField>
    <pivotField numFmtId="1" showAll="0"/>
    <pivotField showAll="0"/>
    <pivotField showAll="0"/>
    <pivotField showAll="0">
      <items count="4">
        <item x="0"/>
        <item x="1"/>
        <item x="2"/>
        <item t="default"/>
      </items>
    </pivotField>
    <pivotField axis="axisRow" showAll="0" sortType="descending">
      <items count="13">
        <item x="5"/>
        <item x="1"/>
        <item x="7"/>
        <item x="9"/>
        <item x="10"/>
        <item x="4"/>
        <item x="6"/>
        <item x="0"/>
        <item x="8"/>
        <item x="3"/>
        <item x="11"/>
        <item x="2"/>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 showAll="0"/>
    <pivotField numFmtId="164" showAll="0"/>
  </pivotFields>
  <rowFields count="1">
    <field x="6"/>
  </rowFields>
  <rowItems count="12">
    <i>
      <x v="9"/>
    </i>
    <i>
      <x/>
    </i>
    <i>
      <x v="6"/>
    </i>
    <i>
      <x v="4"/>
    </i>
    <i>
      <x v="7"/>
    </i>
    <i>
      <x v="8"/>
    </i>
    <i>
      <x v="5"/>
    </i>
    <i>
      <x v="3"/>
    </i>
    <i>
      <x v="1"/>
    </i>
    <i>
      <x v="11"/>
    </i>
    <i>
      <x v="10"/>
    </i>
    <i>
      <x v="2"/>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406A10-EE7F-4D50-A713-DFBC1139D80E}" name="PivotTable6"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9" firstHeaderRow="1" firstDataRow="2" firstDataCol="1"/>
  <pivotFields count="11">
    <pivotField numFmtId="14" showAll="0"/>
    <pivotField axis="axisRow" numFmtId="1" showAll="0">
      <items count="6">
        <item x="0"/>
        <item x="1"/>
        <item x="2"/>
        <item x="3"/>
        <item x="4"/>
        <item t="default"/>
      </items>
    </pivotField>
    <pivotField numFmtId="1" showAll="0"/>
    <pivotField showAll="0"/>
    <pivotField showAll="0"/>
    <pivotField axis="axisCol" showAll="0">
      <items count="4">
        <item x="0"/>
        <item x="1"/>
        <item x="2"/>
        <item t="default"/>
      </items>
    </pivotField>
    <pivotField showAll="0"/>
    <pivotField showAll="0"/>
    <pivotField numFmtId="164" showAll="0"/>
    <pivotField numFmtId="1" showAll="0"/>
    <pivotField dataField="1" numFmtId="164" showAll="0"/>
  </pivotFields>
  <rowFields count="1">
    <field x="1"/>
  </rowFields>
  <rowItems count="5">
    <i>
      <x/>
    </i>
    <i>
      <x v="1"/>
    </i>
    <i>
      <x v="2"/>
    </i>
    <i>
      <x v="3"/>
    </i>
    <i>
      <x v="4"/>
    </i>
  </rowItems>
  <colFields count="1">
    <field x="5"/>
  </colFields>
  <colItems count="3">
    <i>
      <x/>
    </i>
    <i>
      <x v="1"/>
    </i>
    <i>
      <x v="2"/>
    </i>
  </colItems>
  <dataFields count="1">
    <dataField name="Sum of Profit" fld="10" baseField="0" baseItem="0" numFmtId="164"/>
  </dataFields>
  <chartFormats count="4">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C3AEDA-2DBC-4109-AF9A-FB93E4CF9B17}" name="PivotTable7"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5" firstHeaderRow="1" firstDataRow="1" firstDataCol="1"/>
  <pivotFields count="11">
    <pivotField numFmtId="14" showAll="0"/>
    <pivotField numFmtId="1" multipleItemSelectionAllowed="1" showAll="0">
      <items count="6">
        <item x="0"/>
        <item x="1"/>
        <item x="2"/>
        <item x="3"/>
        <item x="4"/>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0"/>
        <item x="1"/>
        <item x="2"/>
        <item t="default"/>
      </items>
    </pivotField>
    <pivotField showAll="0"/>
    <pivotField showAll="0"/>
    <pivotField dataField="1" numFmtId="164" showAll="0"/>
    <pivotField numFmtId="1" showAll="0"/>
    <pivotField numFmtId="164"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3F4E31-2F4F-4E64-A71E-9D03346BDE7E}" name="PivotTable8"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11">
    <pivotField numFmtId="14" showAll="0"/>
    <pivotField numFmtId="1" showAll="0">
      <items count="6">
        <item x="0"/>
        <item x="1"/>
        <item x="2"/>
        <item x="3"/>
        <item x="4"/>
        <item t="default"/>
      </items>
    </pivotField>
    <pivotField numFmtId="1" showAll="0"/>
    <pivotField axis="axisRow" showAll="0" sortType="descending">
      <items count="13">
        <item x="1"/>
        <item x="7"/>
        <item x="10"/>
        <item x="0"/>
        <item x="5"/>
        <item x="2"/>
        <item x="6"/>
        <item x="4"/>
        <item x="8"/>
        <item x="11"/>
        <item x="9"/>
        <item x="3"/>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numFmtId="164" showAll="0"/>
    <pivotField numFmtId="1" showAll="0"/>
    <pivotField dataField="1" numFmtId="164" showAll="0"/>
  </pivotFields>
  <rowFields count="1">
    <field x="3"/>
  </rowFields>
  <rowItems count="12">
    <i>
      <x v="2"/>
    </i>
    <i>
      <x v="1"/>
    </i>
    <i>
      <x v="6"/>
    </i>
    <i>
      <x v="8"/>
    </i>
    <i>
      <x v="9"/>
    </i>
    <i>
      <x v="4"/>
    </i>
    <i>
      <x v="7"/>
    </i>
    <i>
      <x v="11"/>
    </i>
    <i>
      <x v="3"/>
    </i>
    <i>
      <x v="5"/>
    </i>
    <i>
      <x v="10"/>
    </i>
    <i>
      <x/>
    </i>
  </rowItems>
  <colItems count="1">
    <i/>
  </colItems>
  <dataFields count="1">
    <dataField name="Sum of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AC9E25-CE0F-45E5-B885-A439A93592E4}" name="PivotTable9"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3" firstHeaderRow="1" firstDataRow="1" firstDataCol="1"/>
  <pivotFields count="11">
    <pivotField numFmtId="14" showAll="0"/>
    <pivotField numFmtId="1" showAll="0">
      <items count="6">
        <item x="0"/>
        <item x="1"/>
        <item x="2"/>
        <item x="3"/>
        <item x="4"/>
        <item t="default"/>
      </items>
    </pivotField>
    <pivotField numFmtId="1" showAll="0"/>
    <pivotField showAll="0"/>
    <pivotField axis="axisRow" showAll="0" sortType="ascending">
      <items count="11">
        <item x="3"/>
        <item x="9"/>
        <item x="2"/>
        <item x="7"/>
        <item x="6"/>
        <item x="8"/>
        <item x="1"/>
        <item x="0"/>
        <item x="5"/>
        <item x="4"/>
        <item t="default"/>
      </items>
    </pivotField>
    <pivotField showAll="0">
      <items count="4">
        <item x="0"/>
        <item x="1"/>
        <item x="2"/>
        <item t="default"/>
      </items>
    </pivotField>
    <pivotField showAll="0"/>
    <pivotField showAll="0"/>
    <pivotField dataField="1" numFmtId="164" showAll="0"/>
    <pivotField numFmtId="1" showAll="0"/>
    <pivotField numFmtId="164" showAll="0"/>
  </pivotFields>
  <rowFields count="1">
    <field x="4"/>
  </rowFields>
  <rowItems count="10">
    <i>
      <x/>
    </i>
    <i>
      <x v="1"/>
    </i>
    <i>
      <x v="2"/>
    </i>
    <i>
      <x v="3"/>
    </i>
    <i>
      <x v="4"/>
    </i>
    <i>
      <x v="5"/>
    </i>
    <i>
      <x v="6"/>
    </i>
    <i>
      <x v="7"/>
    </i>
    <i>
      <x v="8"/>
    </i>
    <i>
      <x v="9"/>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67213C-5038-448E-B37C-C91E9474F80C}" sourceName="Year">
  <pivotTables>
    <pivotTable tabId="8" name="PivotTable7"/>
    <pivotTable tabId="6" name="PivotTable5"/>
    <pivotTable tabId="10" name="PivotTable9"/>
    <pivotTable tabId="9" name="PivotTable8"/>
    <pivotTable tabId="7" name="PivotTable6"/>
  </pivotTables>
  <data>
    <tabular pivotCacheId="155034673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1F90AB-C58C-47A7-AA52-1A4DB93FA182}" sourceName="Category">
  <pivotTables>
    <pivotTable tabId="10" name="PivotTable9"/>
    <pivotTable tabId="6" name="PivotTable5"/>
    <pivotTable tabId="8" name="PivotTable7"/>
    <pivotTable tabId="9" name="PivotTable8"/>
    <pivotTable tabId="7" name="PivotTable6"/>
  </pivotTables>
  <data>
    <tabular pivotCacheId="15503467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CCE71B8-79F3-4AD7-8B46-A31A14D858AF}" cache="Slicer_Year" caption="Year" columnCount="5" style="SlicerStyleLight3" rowHeight="241300"/>
  <slicer name="Category" xr10:uid="{24676AF5-2CE2-40A8-AE6B-80C3AD0D8143}" cache="Slicer_Category" caption="Category" columnCount="3"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BE0226-89B3-48C9-9C22-35FCDEB46785}" name="SalesData" displayName="SalesData" ref="A1:K2501" totalsRowShown="0">
  <autoFilter ref="A1:K2501" xr:uid="{4FBE0226-89B3-48C9-9C22-35FCDEB46785}"/>
  <sortState xmlns:xlrd2="http://schemas.microsoft.com/office/spreadsheetml/2017/richdata2" ref="A2:K2501">
    <sortCondition ref="A1:A2501"/>
  </sortState>
  <tableColumns count="11">
    <tableColumn id="1" xr3:uid="{353D71C0-5F62-4872-95CA-D6F30100F6BC}" name="Order Date" dataDxfId="2"/>
    <tableColumn id="11" xr3:uid="{26D910BD-B749-4C3C-8D2D-7FAE59345442}" name="Year" dataDxfId="1">
      <calculatedColumnFormula>YEAR(SalesData[[#This Row],[Order Date]])</calculatedColumnFormula>
    </tableColumn>
    <tableColumn id="10" xr3:uid="{68A8AC2C-B2E2-4E74-B7BF-210E2F6484C4}" name="Month" dataDxfId="0">
      <calculatedColumnFormula>MONTH(SalesData[[#This Row],[Order Date]])</calculatedColumnFormula>
    </tableColumn>
    <tableColumn id="2" xr3:uid="{7240A47D-B9E3-4BDD-B53F-9BAE5EF8F3C6}" name="Customer Name"/>
    <tableColumn id="3" xr3:uid="{3B9E07AC-4481-411D-B424-DBE50A255A7B}" name="State"/>
    <tableColumn id="4" xr3:uid="{9A7AD91C-0D4A-4D29-975D-EC635EA98E4C}" name="Category"/>
    <tableColumn id="5" xr3:uid="{FA16CA74-9021-4112-B53A-85061FECA503}" name="Sub-Category"/>
    <tableColumn id="6" xr3:uid="{8AB71527-2DA0-446B-AE24-24043F5529C0}" name="Product Name"/>
    <tableColumn id="7" xr3:uid="{DBAF9DD6-C39C-43F7-A509-72F864539669}" name="Sales" dataDxfId="5"/>
    <tableColumn id="8" xr3:uid="{2CB62736-9CD9-4F66-9E73-87C9339A2729}" name="Quantity" dataDxfId="4"/>
    <tableColumn id="9" xr3:uid="{5AAA9E3C-553D-4F3C-B39D-599BF4C0EC8F}" name="Profit"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1785-401C-47F6-A089-F98D5981413A}">
  <dimension ref="A3:F15"/>
  <sheetViews>
    <sheetView workbookViewId="0">
      <selection activeCell="A16" sqref="A16"/>
    </sheetView>
  </sheetViews>
  <sheetFormatPr defaultRowHeight="15" x14ac:dyDescent="0.25"/>
  <cols>
    <col min="1" max="1" width="13.140625" bestFit="1" customWidth="1"/>
    <col min="2" max="2" width="12.28515625" bestFit="1" customWidth="1"/>
    <col min="5" max="5" width="11.28515625" bestFit="1" customWidth="1"/>
    <col min="6" max="6" width="12.28515625" bestFit="1" customWidth="1"/>
  </cols>
  <sheetData>
    <row r="3" spans="1:6" x14ac:dyDescent="0.25">
      <c r="A3" s="5" t="s">
        <v>72</v>
      </c>
      <c r="B3" t="s">
        <v>73</v>
      </c>
    </row>
    <row r="4" spans="1:6" x14ac:dyDescent="0.25">
      <c r="A4" s="6" t="s">
        <v>32</v>
      </c>
      <c r="B4" s="2">
        <v>754095.53999999969</v>
      </c>
      <c r="E4" t="str">
        <f>A4</f>
        <v>Phones</v>
      </c>
      <c r="F4" s="2">
        <f>B4</f>
        <v>754095.53999999969</v>
      </c>
    </row>
    <row r="5" spans="1:6" x14ac:dyDescent="0.25">
      <c r="A5" s="6" t="s">
        <v>28</v>
      </c>
      <c r="B5" s="2">
        <v>718637.5</v>
      </c>
      <c r="E5" t="str">
        <f t="shared" ref="E5:E15" si="0">A5</f>
        <v>Accessories</v>
      </c>
      <c r="F5" s="2">
        <f t="shared" ref="F5:F15" si="1">B5</f>
        <v>718637.5</v>
      </c>
    </row>
    <row r="6" spans="1:6" x14ac:dyDescent="0.25">
      <c r="A6" s="6" t="s">
        <v>48</v>
      </c>
      <c r="B6" s="2">
        <v>678337.95000000007</v>
      </c>
      <c r="E6" t="str">
        <f t="shared" si="0"/>
        <v>Copiers</v>
      </c>
      <c r="F6" s="2">
        <f t="shared" si="1"/>
        <v>678337.95000000007</v>
      </c>
    </row>
    <row r="7" spans="1:6" x14ac:dyDescent="0.25">
      <c r="A7" s="6" t="s">
        <v>24</v>
      </c>
      <c r="B7" s="2">
        <v>561257.74</v>
      </c>
      <c r="E7" t="str">
        <f t="shared" si="0"/>
        <v>Bookcases</v>
      </c>
      <c r="F7" s="2">
        <f t="shared" si="1"/>
        <v>561257.74</v>
      </c>
    </row>
    <row r="8" spans="1:6" x14ac:dyDescent="0.25">
      <c r="A8" s="6" t="s">
        <v>12</v>
      </c>
      <c r="B8" s="2">
        <v>503284.27999999991</v>
      </c>
      <c r="E8" t="str">
        <f t="shared" si="0"/>
        <v>Furnishings</v>
      </c>
      <c r="F8" s="2">
        <f t="shared" si="1"/>
        <v>503284.27999999991</v>
      </c>
    </row>
    <row r="9" spans="1:6" x14ac:dyDescent="0.25">
      <c r="A9" s="6" t="s">
        <v>41</v>
      </c>
      <c r="B9" s="2">
        <v>482746.62999999995</v>
      </c>
      <c r="E9" t="str">
        <f t="shared" si="0"/>
        <v>Paper</v>
      </c>
      <c r="F9" s="2">
        <f t="shared" si="1"/>
        <v>482746.62999999995</v>
      </c>
    </row>
    <row r="10" spans="1:6" x14ac:dyDescent="0.25">
      <c r="A10" s="6" t="s">
        <v>35</v>
      </c>
      <c r="B10" s="2">
        <v>462900.21000000008</v>
      </c>
      <c r="E10" t="str">
        <f t="shared" si="0"/>
        <v>Chairs</v>
      </c>
      <c r="F10" s="2">
        <f t="shared" si="1"/>
        <v>462900.21000000008</v>
      </c>
    </row>
    <row r="11" spans="1:6" x14ac:dyDescent="0.25">
      <c r="A11" s="6" t="s">
        <v>16</v>
      </c>
      <c r="B11" s="2">
        <v>457034.29999999993</v>
      </c>
      <c r="E11" t="str">
        <f t="shared" si="0"/>
        <v>Binders</v>
      </c>
      <c r="F11" s="2">
        <f t="shared" si="1"/>
        <v>457034.29999999993</v>
      </c>
    </row>
    <row r="12" spans="1:6" x14ac:dyDescent="0.25">
      <c r="A12" s="6" t="s">
        <v>38</v>
      </c>
      <c r="B12" s="2">
        <v>444283.77999999985</v>
      </c>
      <c r="E12" t="str">
        <f t="shared" si="0"/>
        <v>Appliances</v>
      </c>
      <c r="F12" s="2">
        <f t="shared" si="1"/>
        <v>444283.77999999985</v>
      </c>
    </row>
    <row r="13" spans="1:6" x14ac:dyDescent="0.25">
      <c r="A13" s="6" t="s">
        <v>21</v>
      </c>
      <c r="B13" s="2">
        <v>405879.08000000019</v>
      </c>
      <c r="E13" t="str">
        <f t="shared" si="0"/>
        <v>Tables</v>
      </c>
      <c r="F13" s="2">
        <f t="shared" si="1"/>
        <v>405879.08000000019</v>
      </c>
    </row>
    <row r="14" spans="1:6" x14ac:dyDescent="0.25">
      <c r="A14" s="6" t="s">
        <v>45</v>
      </c>
      <c r="B14" s="2">
        <v>403369.33</v>
      </c>
      <c r="E14" t="str">
        <f t="shared" si="0"/>
        <v>Storage</v>
      </c>
      <c r="F14" s="2">
        <f t="shared" si="1"/>
        <v>403369.33</v>
      </c>
    </row>
    <row r="15" spans="1:6" x14ac:dyDescent="0.25">
      <c r="A15" s="6" t="s">
        <v>63</v>
      </c>
      <c r="B15" s="2">
        <v>393021.58</v>
      </c>
      <c r="E15" t="str">
        <f t="shared" si="0"/>
        <v>Art</v>
      </c>
      <c r="F15" s="2">
        <f t="shared" si="1"/>
        <v>393021.58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3D13-84A2-4452-BE40-57968B23EF59}">
  <dimension ref="A3:D9"/>
  <sheetViews>
    <sheetView workbookViewId="0">
      <selection activeCell="Q19" sqref="Q19"/>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13.42578125" bestFit="1" customWidth="1"/>
  </cols>
  <sheetData>
    <row r="3" spans="1:4" x14ac:dyDescent="0.25">
      <c r="A3" s="5" t="s">
        <v>77</v>
      </c>
      <c r="B3" s="5" t="s">
        <v>76</v>
      </c>
    </row>
    <row r="4" spans="1:4" x14ac:dyDescent="0.25">
      <c r="A4" s="5" t="s">
        <v>72</v>
      </c>
      <c r="B4" t="s">
        <v>11</v>
      </c>
      <c r="C4" t="s">
        <v>15</v>
      </c>
      <c r="D4" t="s">
        <v>27</v>
      </c>
    </row>
    <row r="5" spans="1:4" x14ac:dyDescent="0.25">
      <c r="A5" s="7">
        <v>2014</v>
      </c>
      <c r="B5" s="2">
        <v>72189.549999999945</v>
      </c>
      <c r="C5" s="2">
        <v>82916.539999999979</v>
      </c>
      <c r="D5" s="2">
        <v>76501.089999999967</v>
      </c>
    </row>
    <row r="6" spans="1:4" x14ac:dyDescent="0.25">
      <c r="A6" s="7">
        <v>2015</v>
      </c>
      <c r="B6" s="2">
        <v>63758.919999999991</v>
      </c>
      <c r="C6" s="2">
        <v>77569.659999999989</v>
      </c>
      <c r="D6" s="2">
        <v>74125.23</v>
      </c>
    </row>
    <row r="7" spans="1:4" x14ac:dyDescent="0.25">
      <c r="A7" s="7">
        <v>2016</v>
      </c>
      <c r="B7" s="2">
        <v>63895.189999999973</v>
      </c>
      <c r="C7" s="2">
        <v>74010.309999999925</v>
      </c>
      <c r="D7" s="2">
        <v>89157.419999999984</v>
      </c>
    </row>
    <row r="8" spans="1:4" x14ac:dyDescent="0.25">
      <c r="A8" s="7">
        <v>2017</v>
      </c>
      <c r="B8" s="2">
        <v>80112.679999999964</v>
      </c>
      <c r="C8" s="2">
        <v>76587.830000000016</v>
      </c>
      <c r="D8" s="2">
        <v>76959.429999999935</v>
      </c>
    </row>
    <row r="9" spans="1:4" x14ac:dyDescent="0.25">
      <c r="A9" s="7">
        <v>2018</v>
      </c>
      <c r="B9" s="2">
        <v>10766.149999999998</v>
      </c>
      <c r="C9" s="2">
        <v>7266.06</v>
      </c>
      <c r="D9" s="2">
        <v>6469.1500000000005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53A7C-1EB1-4B1F-B9DF-0A4EAC3E6275}">
  <dimension ref="A3:B15"/>
  <sheetViews>
    <sheetView workbookViewId="0">
      <selection activeCell="N27" sqref="N27"/>
    </sheetView>
  </sheetViews>
  <sheetFormatPr defaultRowHeight="15" x14ac:dyDescent="0.25"/>
  <cols>
    <col min="1" max="1" width="13.140625" bestFit="1" customWidth="1"/>
    <col min="2" max="2" width="12.28515625" bestFit="1" customWidth="1"/>
  </cols>
  <sheetData>
    <row r="3" spans="1:2" x14ac:dyDescent="0.25">
      <c r="A3" s="5" t="s">
        <v>72</v>
      </c>
      <c r="B3" t="s">
        <v>73</v>
      </c>
    </row>
    <row r="4" spans="1:2" x14ac:dyDescent="0.25">
      <c r="A4" s="7">
        <v>1</v>
      </c>
      <c r="B4" s="2">
        <v>639913.96999999974</v>
      </c>
    </row>
    <row r="5" spans="1:2" x14ac:dyDescent="0.25">
      <c r="A5" s="7">
        <v>2</v>
      </c>
      <c r="B5" s="2">
        <v>489602.69000000012</v>
      </c>
    </row>
    <row r="6" spans="1:2" x14ac:dyDescent="0.25">
      <c r="A6" s="7">
        <v>3</v>
      </c>
      <c r="B6" s="2">
        <v>476389.67999999976</v>
      </c>
    </row>
    <row r="7" spans="1:2" x14ac:dyDescent="0.25">
      <c r="A7" s="7">
        <v>4</v>
      </c>
      <c r="B7" s="2">
        <v>507677.4700000002</v>
      </c>
    </row>
    <row r="8" spans="1:2" x14ac:dyDescent="0.25">
      <c r="A8" s="7">
        <v>5</v>
      </c>
      <c r="B8" s="2">
        <v>491768.2900000001</v>
      </c>
    </row>
    <row r="9" spans="1:2" x14ac:dyDescent="0.25">
      <c r="A9" s="7">
        <v>6</v>
      </c>
      <c r="B9" s="2">
        <v>513781.43</v>
      </c>
    </row>
    <row r="10" spans="1:2" x14ac:dyDescent="0.25">
      <c r="A10" s="7">
        <v>7</v>
      </c>
      <c r="B10" s="2">
        <v>501602.2899999998</v>
      </c>
    </row>
    <row r="11" spans="1:2" x14ac:dyDescent="0.25">
      <c r="A11" s="7">
        <v>8</v>
      </c>
      <c r="B11" s="2">
        <v>561127.41999999993</v>
      </c>
    </row>
    <row r="12" spans="1:2" x14ac:dyDescent="0.25">
      <c r="A12" s="7">
        <v>9</v>
      </c>
      <c r="B12" s="2">
        <v>475032.49999999977</v>
      </c>
    </row>
    <row r="13" spans="1:2" x14ac:dyDescent="0.25">
      <c r="A13" s="7">
        <v>10</v>
      </c>
      <c r="B13" s="2">
        <v>549374.56000000017</v>
      </c>
    </row>
    <row r="14" spans="1:2" x14ac:dyDescent="0.25">
      <c r="A14" s="7">
        <v>11</v>
      </c>
      <c r="B14" s="2">
        <v>527182.33999999985</v>
      </c>
    </row>
    <row r="15" spans="1:2" x14ac:dyDescent="0.25">
      <c r="A15" s="7">
        <v>12</v>
      </c>
      <c r="B15" s="2">
        <v>531395.2799999998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A15E0-51FB-4273-8AFD-21E166621726}">
  <dimension ref="A3:E15"/>
  <sheetViews>
    <sheetView workbookViewId="0">
      <selection activeCell="D4" sqref="D4:E8"/>
    </sheetView>
  </sheetViews>
  <sheetFormatPr defaultRowHeight="15" x14ac:dyDescent="0.25"/>
  <cols>
    <col min="1" max="1" width="13.7109375" bestFit="1" customWidth="1"/>
    <col min="2" max="2" width="12.5703125" bestFit="1" customWidth="1"/>
    <col min="4" max="4" width="10.85546875" bestFit="1" customWidth="1"/>
    <col min="5" max="5" width="10.7109375" bestFit="1" customWidth="1"/>
  </cols>
  <sheetData>
    <row r="3" spans="1:5" x14ac:dyDescent="0.25">
      <c r="A3" s="5" t="s">
        <v>72</v>
      </c>
      <c r="B3" t="s">
        <v>77</v>
      </c>
    </row>
    <row r="4" spans="1:5" x14ac:dyDescent="0.25">
      <c r="A4" s="6" t="s">
        <v>43</v>
      </c>
      <c r="B4" s="2">
        <v>94239.670000000086</v>
      </c>
      <c r="D4" t="str">
        <f>A4</f>
        <v>Arjun Patel</v>
      </c>
      <c r="E4" s="2">
        <f>B4</f>
        <v>94239.670000000086</v>
      </c>
    </row>
    <row r="5" spans="1:5" x14ac:dyDescent="0.25">
      <c r="A5" s="6" t="s">
        <v>9</v>
      </c>
      <c r="B5" s="2">
        <v>93186.949999999983</v>
      </c>
      <c r="D5" t="str">
        <f t="shared" ref="D5:D8" si="0">A5</f>
        <v>Anjali Das</v>
      </c>
      <c r="E5" s="2">
        <f t="shared" ref="E5:E8" si="1">B5</f>
        <v>93186.949999999983</v>
      </c>
    </row>
    <row r="6" spans="1:5" x14ac:dyDescent="0.25">
      <c r="A6" s="6" t="s">
        <v>20</v>
      </c>
      <c r="B6" s="2">
        <v>86143.790000000023</v>
      </c>
      <c r="D6" t="str">
        <f t="shared" si="0"/>
        <v>Priya Nair</v>
      </c>
      <c r="E6" s="2">
        <f t="shared" si="1"/>
        <v>86143.790000000023</v>
      </c>
    </row>
    <row r="7" spans="1:5" x14ac:dyDescent="0.25">
      <c r="A7" s="6" t="s">
        <v>23</v>
      </c>
      <c r="B7" s="2">
        <v>85361.199999999983</v>
      </c>
      <c r="D7" t="str">
        <f t="shared" si="0"/>
        <v>Riya Gupta</v>
      </c>
      <c r="E7" s="2">
        <f t="shared" si="1"/>
        <v>85361.199999999983</v>
      </c>
    </row>
    <row r="8" spans="1:5" x14ac:dyDescent="0.25">
      <c r="A8" s="6" t="s">
        <v>68</v>
      </c>
      <c r="B8" s="2">
        <v>76285.11</v>
      </c>
      <c r="D8" t="str">
        <f t="shared" si="0"/>
        <v>Rohit Yadav</v>
      </c>
      <c r="E8" s="2">
        <f t="shared" si="1"/>
        <v>76285.11</v>
      </c>
    </row>
    <row r="9" spans="1:5" x14ac:dyDescent="0.25">
      <c r="A9" s="6" t="s">
        <v>50</v>
      </c>
      <c r="B9" s="2">
        <v>74827.660000000033</v>
      </c>
    </row>
    <row r="10" spans="1:5" x14ac:dyDescent="0.25">
      <c r="A10" s="6" t="s">
        <v>55</v>
      </c>
      <c r="B10" s="2">
        <v>73186.599999999991</v>
      </c>
    </row>
    <row r="11" spans="1:5" x14ac:dyDescent="0.25">
      <c r="A11" s="6" t="s">
        <v>18</v>
      </c>
      <c r="B11" s="2">
        <v>72179.69</v>
      </c>
    </row>
    <row r="12" spans="1:5" x14ac:dyDescent="0.25">
      <c r="A12" s="6" t="s">
        <v>62</v>
      </c>
      <c r="B12" s="2">
        <v>71136.470000000016</v>
      </c>
    </row>
    <row r="13" spans="1:5" x14ac:dyDescent="0.25">
      <c r="A13" s="6" t="s">
        <v>47</v>
      </c>
      <c r="B13" s="2">
        <v>69961.120000000039</v>
      </c>
    </row>
    <row r="14" spans="1:5" x14ac:dyDescent="0.25">
      <c r="A14" s="6" t="s">
        <v>30</v>
      </c>
      <c r="B14" s="2">
        <v>68254.039999999994</v>
      </c>
    </row>
    <row r="15" spans="1:5" x14ac:dyDescent="0.25">
      <c r="A15" s="6" t="s">
        <v>14</v>
      </c>
      <c r="B15" s="2">
        <v>67522.909999999974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6979-2F2B-4492-B6F7-C799605DF63E}">
  <dimension ref="A3:F13"/>
  <sheetViews>
    <sheetView workbookViewId="0">
      <selection activeCell="A6" sqref="A6"/>
    </sheetView>
  </sheetViews>
  <sheetFormatPr defaultRowHeight="15" x14ac:dyDescent="0.25"/>
  <cols>
    <col min="1" max="1" width="13.140625" bestFit="1" customWidth="1"/>
    <col min="2" max="2" width="12.28515625" bestFit="1" customWidth="1"/>
    <col min="6" max="6" width="12.28515625" bestFit="1" customWidth="1"/>
  </cols>
  <sheetData>
    <row r="3" spans="1:6" x14ac:dyDescent="0.25">
      <c r="A3" s="5" t="s">
        <v>72</v>
      </c>
      <c r="B3" t="s">
        <v>73</v>
      </c>
    </row>
    <row r="4" spans="1:6" x14ac:dyDescent="0.25">
      <c r="A4" s="6" t="s">
        <v>31</v>
      </c>
      <c r="B4" s="2">
        <v>653224.74</v>
      </c>
      <c r="E4" t="str">
        <f>A4</f>
        <v>Arizona</v>
      </c>
      <c r="F4" s="2">
        <f>B4</f>
        <v>653224.74</v>
      </c>
    </row>
    <row r="5" spans="1:6" x14ac:dyDescent="0.25">
      <c r="A5" s="6" t="s">
        <v>60</v>
      </c>
      <c r="B5" s="2">
        <v>582361.13</v>
      </c>
      <c r="E5" t="str">
        <f t="shared" ref="E5:E13" si="0">A5</f>
        <v>California</v>
      </c>
      <c r="F5" s="2">
        <f t="shared" ref="F5:F13" si="1">B5</f>
        <v>582361.13</v>
      </c>
    </row>
    <row r="6" spans="1:6" x14ac:dyDescent="0.25">
      <c r="A6" s="6" t="s">
        <v>26</v>
      </c>
      <c r="B6" s="2">
        <v>628172.32999999973</v>
      </c>
      <c r="E6" t="str">
        <f t="shared" si="0"/>
        <v>Colorado</v>
      </c>
      <c r="F6" s="2">
        <f t="shared" si="1"/>
        <v>628172.32999999973</v>
      </c>
    </row>
    <row r="7" spans="1:6" x14ac:dyDescent="0.25">
      <c r="A7" s="6" t="s">
        <v>52</v>
      </c>
      <c r="B7" s="2">
        <v>629212.46999999962</v>
      </c>
      <c r="E7" t="str">
        <f t="shared" si="0"/>
        <v>Florida</v>
      </c>
      <c r="F7" s="2">
        <f t="shared" si="1"/>
        <v>629212.46999999962</v>
      </c>
    </row>
    <row r="8" spans="1:6" x14ac:dyDescent="0.25">
      <c r="A8" s="6" t="s">
        <v>19</v>
      </c>
      <c r="B8" s="2">
        <v>672948.78000000038</v>
      </c>
      <c r="E8" t="str">
        <f t="shared" si="0"/>
        <v>Georgia</v>
      </c>
      <c r="F8" s="2">
        <f t="shared" si="1"/>
        <v>672948.78000000038</v>
      </c>
    </row>
    <row r="9" spans="1:6" x14ac:dyDescent="0.25">
      <c r="A9" s="6" t="s">
        <v>10</v>
      </c>
      <c r="B9" s="2">
        <v>646192.89999999979</v>
      </c>
      <c r="E9" t="str">
        <f t="shared" si="0"/>
        <v>Nevada</v>
      </c>
      <c r="F9" s="2">
        <f t="shared" si="1"/>
        <v>646192.89999999979</v>
      </c>
    </row>
    <row r="10" spans="1:6" x14ac:dyDescent="0.25">
      <c r="A10" s="6" t="s">
        <v>40</v>
      </c>
      <c r="B10" s="2">
        <v>587860.54999999993</v>
      </c>
      <c r="E10" t="str">
        <f t="shared" si="0"/>
        <v>New York</v>
      </c>
      <c r="F10" s="2">
        <f t="shared" si="1"/>
        <v>587860.54999999993</v>
      </c>
    </row>
    <row r="11" spans="1:6" x14ac:dyDescent="0.25">
      <c r="A11" s="6" t="s">
        <v>37</v>
      </c>
      <c r="B11" s="2">
        <v>632442.24000000011</v>
      </c>
      <c r="E11" t="str">
        <f t="shared" si="0"/>
        <v>Ohio</v>
      </c>
      <c r="F11" s="2">
        <f t="shared" si="1"/>
        <v>632442.24000000011</v>
      </c>
    </row>
    <row r="12" spans="1:6" x14ac:dyDescent="0.25">
      <c r="A12" s="6" t="s">
        <v>44</v>
      </c>
      <c r="B12" s="2">
        <v>629025.77</v>
      </c>
      <c r="E12" t="str">
        <f t="shared" si="0"/>
        <v>Texas</v>
      </c>
      <c r="F12" s="2">
        <f t="shared" si="1"/>
        <v>629025.77</v>
      </c>
    </row>
    <row r="13" spans="1:6" x14ac:dyDescent="0.25">
      <c r="A13" s="6" t="s">
        <v>34</v>
      </c>
      <c r="B13" s="2">
        <v>603407.00999999989</v>
      </c>
      <c r="E13" t="str">
        <f t="shared" si="0"/>
        <v>Washington</v>
      </c>
      <c r="F13" s="2">
        <f t="shared" si="1"/>
        <v>603407.00999999989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01"/>
  <sheetViews>
    <sheetView topLeftCell="A2" workbookViewId="0">
      <selection activeCell="D1" sqref="D1:D2501"/>
    </sheetView>
  </sheetViews>
  <sheetFormatPr defaultRowHeight="15" x14ac:dyDescent="0.25"/>
  <cols>
    <col min="1" max="1" width="12.85546875" style="4" customWidth="1"/>
    <col min="2" max="2" width="17.42578125" style="3" customWidth="1"/>
    <col min="3" max="3" width="11.5703125" style="3" bestFit="1" customWidth="1"/>
    <col min="4" max="4" width="14.5703125" bestFit="1" customWidth="1"/>
    <col min="5" max="5" width="15" customWidth="1"/>
    <col min="6" max="6" width="17.5703125" bestFit="1" customWidth="1"/>
    <col min="7" max="7" width="15.140625" style="2" bestFit="1" customWidth="1"/>
    <col min="8" max="8" width="17.5703125" style="3" bestFit="1" customWidth="1"/>
    <col min="9" max="9" width="9.7109375" style="2" bestFit="1" customWidth="1"/>
    <col min="10" max="10" width="11" bestFit="1" customWidth="1"/>
    <col min="11" max="11" width="9.7109375" bestFit="1" customWidth="1"/>
  </cols>
  <sheetData>
    <row r="1" spans="1:11" x14ac:dyDescent="0.25">
      <c r="A1" s="4" t="s">
        <v>0</v>
      </c>
      <c r="B1" s="3" t="s">
        <v>74</v>
      </c>
      <c r="C1" s="3" t="s">
        <v>75</v>
      </c>
      <c r="D1" s="1" t="s">
        <v>1</v>
      </c>
      <c r="E1" s="1" t="s">
        <v>2</v>
      </c>
      <c r="F1" s="1" t="s">
        <v>3</v>
      </c>
      <c r="G1" s="1" t="s">
        <v>4</v>
      </c>
      <c r="H1" s="1" t="s">
        <v>5</v>
      </c>
      <c r="I1" s="2" t="s">
        <v>6</v>
      </c>
      <c r="J1" s="3" t="s">
        <v>7</v>
      </c>
      <c r="K1" s="2" t="s">
        <v>8</v>
      </c>
    </row>
    <row r="2" spans="1:11" x14ac:dyDescent="0.25">
      <c r="A2" s="4">
        <v>41640</v>
      </c>
      <c r="B2" s="3">
        <f>YEAR(SalesData[[#This Row],[Order Date]])</f>
        <v>2014</v>
      </c>
      <c r="C2" s="3">
        <f>MONTH(SalesData[[#This Row],[Order Date]])</f>
        <v>1</v>
      </c>
      <c r="D2" t="s">
        <v>62</v>
      </c>
      <c r="E2" t="s">
        <v>37</v>
      </c>
      <c r="F2" t="s">
        <v>11</v>
      </c>
      <c r="G2" t="s">
        <v>12</v>
      </c>
      <c r="H2" t="s">
        <v>65</v>
      </c>
      <c r="I2" s="2">
        <v>2007.93</v>
      </c>
      <c r="J2" s="3">
        <v>4</v>
      </c>
      <c r="K2" s="2">
        <v>598.84</v>
      </c>
    </row>
    <row r="3" spans="1:11" x14ac:dyDescent="0.25">
      <c r="A3" s="4">
        <v>41640</v>
      </c>
      <c r="B3" s="3">
        <f>YEAR(SalesData[[#This Row],[Order Date]])</f>
        <v>2014</v>
      </c>
      <c r="C3" s="3">
        <f>MONTH(SalesData[[#This Row],[Order Date]])</f>
        <v>1</v>
      </c>
      <c r="D3" t="s">
        <v>62</v>
      </c>
      <c r="E3" t="s">
        <v>37</v>
      </c>
      <c r="F3" t="s">
        <v>15</v>
      </c>
      <c r="G3" t="s">
        <v>38</v>
      </c>
      <c r="H3" t="s">
        <v>56</v>
      </c>
      <c r="I3" s="2">
        <v>631.44000000000005</v>
      </c>
      <c r="J3" s="3">
        <v>7</v>
      </c>
      <c r="K3" s="2">
        <v>30.07</v>
      </c>
    </row>
    <row r="4" spans="1:11" x14ac:dyDescent="0.25">
      <c r="A4" s="4">
        <v>41640</v>
      </c>
      <c r="B4" s="3">
        <f>YEAR(SalesData[[#This Row],[Order Date]])</f>
        <v>2014</v>
      </c>
      <c r="C4" s="3">
        <f>MONTH(SalesData[[#This Row],[Order Date]])</f>
        <v>1</v>
      </c>
      <c r="D4" t="s">
        <v>14</v>
      </c>
      <c r="E4" t="s">
        <v>40</v>
      </c>
      <c r="F4" t="s">
        <v>11</v>
      </c>
      <c r="G4" t="s">
        <v>21</v>
      </c>
      <c r="H4" t="s">
        <v>67</v>
      </c>
      <c r="I4" s="2">
        <v>1845.47</v>
      </c>
      <c r="J4" s="3">
        <v>5</v>
      </c>
      <c r="K4" s="2">
        <v>361.19</v>
      </c>
    </row>
    <row r="5" spans="1:11" x14ac:dyDescent="0.25">
      <c r="A5" s="4">
        <v>41640</v>
      </c>
      <c r="B5" s="3">
        <f>YEAR(SalesData[[#This Row],[Order Date]])</f>
        <v>2014</v>
      </c>
      <c r="C5" s="3">
        <f>MONTH(SalesData[[#This Row],[Order Date]])</f>
        <v>1</v>
      </c>
      <c r="D5" t="s">
        <v>47</v>
      </c>
      <c r="E5" t="s">
        <v>26</v>
      </c>
      <c r="F5" t="s">
        <v>27</v>
      </c>
      <c r="G5" t="s">
        <v>32</v>
      </c>
      <c r="H5" t="s">
        <v>33</v>
      </c>
      <c r="I5" s="2">
        <v>2903.47</v>
      </c>
      <c r="J5" s="3">
        <v>10</v>
      </c>
      <c r="K5" s="2">
        <v>42.28</v>
      </c>
    </row>
    <row r="6" spans="1:11" x14ac:dyDescent="0.25">
      <c r="A6" s="4">
        <v>41640</v>
      </c>
      <c r="B6" s="3">
        <f>YEAR(SalesData[[#This Row],[Order Date]])</f>
        <v>2014</v>
      </c>
      <c r="C6" s="3">
        <f>MONTH(SalesData[[#This Row],[Order Date]])</f>
        <v>1</v>
      </c>
      <c r="D6" t="s">
        <v>18</v>
      </c>
      <c r="E6" t="s">
        <v>37</v>
      </c>
      <c r="F6" t="s">
        <v>11</v>
      </c>
      <c r="G6" t="s">
        <v>21</v>
      </c>
      <c r="H6" t="s">
        <v>22</v>
      </c>
      <c r="I6" s="2">
        <v>735.61</v>
      </c>
      <c r="J6" s="3">
        <v>5</v>
      </c>
      <c r="K6" s="2">
        <v>5.14</v>
      </c>
    </row>
    <row r="7" spans="1:11" x14ac:dyDescent="0.25">
      <c r="A7" s="4">
        <v>41640</v>
      </c>
      <c r="B7" s="3">
        <f>YEAR(SalesData[[#This Row],[Order Date]])</f>
        <v>2014</v>
      </c>
      <c r="C7" s="3">
        <f>MONTH(SalesData[[#This Row],[Order Date]])</f>
        <v>1</v>
      </c>
      <c r="D7" t="s">
        <v>55</v>
      </c>
      <c r="E7" t="s">
        <v>31</v>
      </c>
      <c r="F7" t="s">
        <v>11</v>
      </c>
      <c r="G7" t="s">
        <v>35</v>
      </c>
      <c r="H7" t="s">
        <v>36</v>
      </c>
      <c r="I7" s="2">
        <v>2347.1799999999998</v>
      </c>
      <c r="J7" s="3">
        <v>7</v>
      </c>
      <c r="K7" s="2">
        <v>100.62</v>
      </c>
    </row>
    <row r="8" spans="1:11" x14ac:dyDescent="0.25">
      <c r="A8" s="4">
        <v>41641</v>
      </c>
      <c r="B8" s="3">
        <f>YEAR(SalesData[[#This Row],[Order Date]])</f>
        <v>2014</v>
      </c>
      <c r="C8" s="3">
        <f>MONTH(SalesData[[#This Row],[Order Date]])</f>
        <v>1</v>
      </c>
      <c r="D8" t="s">
        <v>55</v>
      </c>
      <c r="E8" t="s">
        <v>37</v>
      </c>
      <c r="F8" t="s">
        <v>27</v>
      </c>
      <c r="G8" t="s">
        <v>28</v>
      </c>
      <c r="H8" t="s">
        <v>29</v>
      </c>
      <c r="I8" s="2">
        <v>2601.85</v>
      </c>
      <c r="J8" s="3">
        <v>4</v>
      </c>
      <c r="K8" s="2">
        <v>106.7</v>
      </c>
    </row>
    <row r="9" spans="1:11" x14ac:dyDescent="0.25">
      <c r="A9" s="4">
        <v>41641</v>
      </c>
      <c r="B9" s="3">
        <f>YEAR(SalesData[[#This Row],[Order Date]])</f>
        <v>2014</v>
      </c>
      <c r="C9" s="3">
        <f>MONTH(SalesData[[#This Row],[Order Date]])</f>
        <v>1</v>
      </c>
      <c r="D9" t="s">
        <v>55</v>
      </c>
      <c r="E9" t="s">
        <v>26</v>
      </c>
      <c r="F9" t="s">
        <v>27</v>
      </c>
      <c r="G9" t="s">
        <v>48</v>
      </c>
      <c r="H9" t="s">
        <v>57</v>
      </c>
      <c r="I9" s="2">
        <v>2927.3</v>
      </c>
      <c r="J9" s="3">
        <v>6</v>
      </c>
      <c r="K9" s="2">
        <v>503.13</v>
      </c>
    </row>
    <row r="10" spans="1:11" x14ac:dyDescent="0.25">
      <c r="A10" s="4">
        <v>41641</v>
      </c>
      <c r="B10" s="3">
        <f>YEAR(SalesData[[#This Row],[Order Date]])</f>
        <v>2014</v>
      </c>
      <c r="C10" s="3">
        <f>MONTH(SalesData[[#This Row],[Order Date]])</f>
        <v>1</v>
      </c>
      <c r="D10" t="s">
        <v>18</v>
      </c>
      <c r="E10" t="s">
        <v>34</v>
      </c>
      <c r="F10" t="s">
        <v>15</v>
      </c>
      <c r="G10" t="s">
        <v>63</v>
      </c>
      <c r="H10" t="s">
        <v>64</v>
      </c>
      <c r="I10" s="2">
        <v>4924.3500000000004</v>
      </c>
      <c r="J10" s="3">
        <v>8</v>
      </c>
      <c r="K10" s="2">
        <v>923.12</v>
      </c>
    </row>
    <row r="11" spans="1:11" x14ac:dyDescent="0.25">
      <c r="A11" s="4">
        <v>41642</v>
      </c>
      <c r="B11" s="3">
        <f>YEAR(SalesData[[#This Row],[Order Date]])</f>
        <v>2014</v>
      </c>
      <c r="C11" s="3">
        <f>MONTH(SalesData[[#This Row],[Order Date]])</f>
        <v>1</v>
      </c>
      <c r="D11" t="s">
        <v>18</v>
      </c>
      <c r="E11" t="s">
        <v>37</v>
      </c>
      <c r="F11" t="s">
        <v>27</v>
      </c>
      <c r="G11" t="s">
        <v>32</v>
      </c>
      <c r="H11" t="s">
        <v>53</v>
      </c>
      <c r="I11" s="2">
        <v>4579.05</v>
      </c>
      <c r="J11" s="3">
        <v>10</v>
      </c>
      <c r="K11" s="2">
        <v>660.96</v>
      </c>
    </row>
    <row r="12" spans="1:11" x14ac:dyDescent="0.25">
      <c r="A12" s="4">
        <v>41644</v>
      </c>
      <c r="B12" s="3">
        <f>YEAR(SalesData[[#This Row],[Order Date]])</f>
        <v>2014</v>
      </c>
      <c r="C12" s="3">
        <f>MONTH(SalesData[[#This Row],[Order Date]])</f>
        <v>1</v>
      </c>
      <c r="D12" t="s">
        <v>50</v>
      </c>
      <c r="E12" t="s">
        <v>44</v>
      </c>
      <c r="F12" t="s">
        <v>27</v>
      </c>
      <c r="G12" t="s">
        <v>28</v>
      </c>
      <c r="H12" t="s">
        <v>58</v>
      </c>
      <c r="I12" s="2">
        <v>1461.21</v>
      </c>
      <c r="J12" s="3">
        <v>4</v>
      </c>
      <c r="K12" s="2">
        <v>224.23</v>
      </c>
    </row>
    <row r="13" spans="1:11" x14ac:dyDescent="0.25">
      <c r="A13" s="4">
        <v>41645</v>
      </c>
      <c r="B13" s="3">
        <f>YEAR(SalesData[[#This Row],[Order Date]])</f>
        <v>2014</v>
      </c>
      <c r="C13" s="3">
        <f>MONTH(SalesData[[#This Row],[Order Date]])</f>
        <v>1</v>
      </c>
      <c r="D13" t="s">
        <v>20</v>
      </c>
      <c r="E13" t="s">
        <v>19</v>
      </c>
      <c r="F13" t="s">
        <v>11</v>
      </c>
      <c r="G13" t="s">
        <v>21</v>
      </c>
      <c r="H13" t="s">
        <v>22</v>
      </c>
      <c r="I13" s="2">
        <v>3104.79</v>
      </c>
      <c r="J13" s="3">
        <v>3</v>
      </c>
      <c r="K13" s="2">
        <v>322.42</v>
      </c>
    </row>
    <row r="14" spans="1:11" x14ac:dyDescent="0.25">
      <c r="A14" s="4">
        <v>41645</v>
      </c>
      <c r="B14" s="3">
        <f>YEAR(SalesData[[#This Row],[Order Date]])</f>
        <v>2014</v>
      </c>
      <c r="C14" s="3">
        <f>MONTH(SalesData[[#This Row],[Order Date]])</f>
        <v>1</v>
      </c>
      <c r="D14" t="s">
        <v>47</v>
      </c>
      <c r="E14" t="s">
        <v>34</v>
      </c>
      <c r="F14" t="s">
        <v>27</v>
      </c>
      <c r="G14" t="s">
        <v>32</v>
      </c>
      <c r="H14" t="s">
        <v>33</v>
      </c>
      <c r="I14" s="2">
        <v>2195.39</v>
      </c>
      <c r="J14" s="3">
        <v>8</v>
      </c>
      <c r="K14" s="2">
        <v>106.34</v>
      </c>
    </row>
    <row r="15" spans="1:11" x14ac:dyDescent="0.25">
      <c r="A15" s="4">
        <v>41645</v>
      </c>
      <c r="B15" s="3">
        <f>YEAR(SalesData[[#This Row],[Order Date]])</f>
        <v>2014</v>
      </c>
      <c r="C15" s="3">
        <f>MONTH(SalesData[[#This Row],[Order Date]])</f>
        <v>1</v>
      </c>
      <c r="D15" t="s">
        <v>18</v>
      </c>
      <c r="E15" t="s">
        <v>40</v>
      </c>
      <c r="F15" t="s">
        <v>15</v>
      </c>
      <c r="G15" t="s">
        <v>41</v>
      </c>
      <c r="H15" t="s">
        <v>61</v>
      </c>
      <c r="I15" s="2">
        <v>2281.9499999999998</v>
      </c>
      <c r="J15" s="3">
        <v>10</v>
      </c>
      <c r="K15" s="2">
        <v>463.63</v>
      </c>
    </row>
    <row r="16" spans="1:11" x14ac:dyDescent="0.25">
      <c r="A16" s="4">
        <v>41646</v>
      </c>
      <c r="B16" s="3">
        <f>YEAR(SalesData[[#This Row],[Order Date]])</f>
        <v>2014</v>
      </c>
      <c r="C16" s="3">
        <f>MONTH(SalesData[[#This Row],[Order Date]])</f>
        <v>1</v>
      </c>
      <c r="D16" t="s">
        <v>9</v>
      </c>
      <c r="E16" t="s">
        <v>19</v>
      </c>
      <c r="F16" t="s">
        <v>15</v>
      </c>
      <c r="G16" t="s">
        <v>63</v>
      </c>
      <c r="H16" t="s">
        <v>64</v>
      </c>
      <c r="I16" s="2">
        <v>4066.38</v>
      </c>
      <c r="J16" s="3">
        <v>4</v>
      </c>
      <c r="K16" s="2">
        <v>752.35</v>
      </c>
    </row>
    <row r="17" spans="1:11" x14ac:dyDescent="0.25">
      <c r="A17" s="4">
        <v>41646</v>
      </c>
      <c r="B17" s="3">
        <f>YEAR(SalesData[[#This Row],[Order Date]])</f>
        <v>2014</v>
      </c>
      <c r="C17" s="3">
        <f>MONTH(SalesData[[#This Row],[Order Date]])</f>
        <v>1</v>
      </c>
      <c r="D17" t="s">
        <v>50</v>
      </c>
      <c r="E17" t="s">
        <v>52</v>
      </c>
      <c r="F17" t="s">
        <v>27</v>
      </c>
      <c r="G17" t="s">
        <v>32</v>
      </c>
      <c r="H17" t="s">
        <v>33</v>
      </c>
      <c r="I17" s="2">
        <v>4688.1400000000003</v>
      </c>
      <c r="J17" s="3">
        <v>2</v>
      </c>
      <c r="K17" s="2">
        <v>764.55</v>
      </c>
    </row>
    <row r="18" spans="1:11" x14ac:dyDescent="0.25">
      <c r="A18" s="4">
        <v>41647</v>
      </c>
      <c r="B18" s="3">
        <f>YEAR(SalesData[[#This Row],[Order Date]])</f>
        <v>2014</v>
      </c>
      <c r="C18" s="3">
        <f>MONTH(SalesData[[#This Row],[Order Date]])</f>
        <v>1</v>
      </c>
      <c r="D18" t="s">
        <v>23</v>
      </c>
      <c r="E18" t="s">
        <v>40</v>
      </c>
      <c r="F18" t="s">
        <v>27</v>
      </c>
      <c r="G18" t="s">
        <v>28</v>
      </c>
      <c r="H18" t="s">
        <v>29</v>
      </c>
      <c r="I18" s="2">
        <v>3785.21</v>
      </c>
      <c r="J18" s="3">
        <v>4</v>
      </c>
      <c r="K18" s="2">
        <v>91.65</v>
      </c>
    </row>
    <row r="19" spans="1:11" x14ac:dyDescent="0.25">
      <c r="A19" s="4">
        <v>41647</v>
      </c>
      <c r="B19" s="3">
        <f>YEAR(SalesData[[#This Row],[Order Date]])</f>
        <v>2014</v>
      </c>
      <c r="C19" s="3">
        <f>MONTH(SalesData[[#This Row],[Order Date]])</f>
        <v>1</v>
      </c>
      <c r="D19" t="s">
        <v>50</v>
      </c>
      <c r="E19" t="s">
        <v>40</v>
      </c>
      <c r="F19" t="s">
        <v>15</v>
      </c>
      <c r="G19" t="s">
        <v>38</v>
      </c>
      <c r="H19" t="s">
        <v>39</v>
      </c>
      <c r="I19" s="2">
        <v>29.84</v>
      </c>
      <c r="J19" s="3">
        <v>1</v>
      </c>
      <c r="K19" s="2">
        <v>0.3</v>
      </c>
    </row>
    <row r="20" spans="1:11" x14ac:dyDescent="0.25">
      <c r="A20" s="4">
        <v>41648</v>
      </c>
      <c r="B20" s="3">
        <f>YEAR(SalesData[[#This Row],[Order Date]])</f>
        <v>2014</v>
      </c>
      <c r="C20" s="3">
        <f>MONTH(SalesData[[#This Row],[Order Date]])</f>
        <v>1</v>
      </c>
      <c r="D20" t="s">
        <v>30</v>
      </c>
      <c r="E20" t="s">
        <v>37</v>
      </c>
      <c r="F20" t="s">
        <v>11</v>
      </c>
      <c r="G20" t="s">
        <v>21</v>
      </c>
      <c r="H20" t="s">
        <v>67</v>
      </c>
      <c r="I20" s="2">
        <v>3390.66</v>
      </c>
      <c r="J20" s="3">
        <v>8</v>
      </c>
      <c r="K20" s="2">
        <v>91.24</v>
      </c>
    </row>
    <row r="21" spans="1:11" x14ac:dyDescent="0.25">
      <c r="A21" s="4">
        <v>41648</v>
      </c>
      <c r="B21" s="3">
        <f>YEAR(SalesData[[#This Row],[Order Date]])</f>
        <v>2014</v>
      </c>
      <c r="C21" s="3">
        <f>MONTH(SalesData[[#This Row],[Order Date]])</f>
        <v>1</v>
      </c>
      <c r="D21" t="s">
        <v>14</v>
      </c>
      <c r="E21" t="s">
        <v>10</v>
      </c>
      <c r="F21" t="s">
        <v>27</v>
      </c>
      <c r="G21" t="s">
        <v>28</v>
      </c>
      <c r="H21" t="s">
        <v>58</v>
      </c>
      <c r="I21" s="2">
        <v>225.26</v>
      </c>
      <c r="J21" s="3">
        <v>5</v>
      </c>
      <c r="K21" s="2">
        <v>7.84</v>
      </c>
    </row>
    <row r="22" spans="1:11" x14ac:dyDescent="0.25">
      <c r="A22" s="4">
        <v>41649</v>
      </c>
      <c r="B22" s="3">
        <f>YEAR(SalesData[[#This Row],[Order Date]])</f>
        <v>2014</v>
      </c>
      <c r="C22" s="3">
        <f>MONTH(SalesData[[#This Row],[Order Date]])</f>
        <v>1</v>
      </c>
      <c r="D22" t="s">
        <v>62</v>
      </c>
      <c r="E22" t="s">
        <v>19</v>
      </c>
      <c r="F22" t="s">
        <v>11</v>
      </c>
      <c r="G22" t="s">
        <v>35</v>
      </c>
      <c r="H22" t="s">
        <v>36</v>
      </c>
      <c r="I22" s="2">
        <v>2954.5</v>
      </c>
      <c r="J22" s="3">
        <v>10</v>
      </c>
      <c r="K22" s="2">
        <v>194.45</v>
      </c>
    </row>
    <row r="23" spans="1:11" x14ac:dyDescent="0.25">
      <c r="A23" s="4">
        <v>41649</v>
      </c>
      <c r="B23" s="3">
        <f>YEAR(SalesData[[#This Row],[Order Date]])</f>
        <v>2014</v>
      </c>
      <c r="C23" s="3">
        <f>MONTH(SalesData[[#This Row],[Order Date]])</f>
        <v>1</v>
      </c>
      <c r="D23" t="s">
        <v>9</v>
      </c>
      <c r="E23" t="s">
        <v>60</v>
      </c>
      <c r="F23" t="s">
        <v>15</v>
      </c>
      <c r="G23" t="s">
        <v>16</v>
      </c>
      <c r="H23" t="s">
        <v>17</v>
      </c>
      <c r="I23" s="2">
        <v>2766.3</v>
      </c>
      <c r="J23" s="3">
        <v>9</v>
      </c>
      <c r="K23" s="2">
        <v>556.22</v>
      </c>
    </row>
    <row r="24" spans="1:11" x14ac:dyDescent="0.25">
      <c r="A24" s="4">
        <v>41650</v>
      </c>
      <c r="B24" s="3">
        <f>YEAR(SalesData[[#This Row],[Order Date]])</f>
        <v>2014</v>
      </c>
      <c r="C24" s="3">
        <f>MONTH(SalesData[[#This Row],[Order Date]])</f>
        <v>1</v>
      </c>
      <c r="D24" t="s">
        <v>50</v>
      </c>
      <c r="E24" t="s">
        <v>31</v>
      </c>
      <c r="F24" t="s">
        <v>11</v>
      </c>
      <c r="G24" t="s">
        <v>12</v>
      </c>
      <c r="H24" t="s">
        <v>13</v>
      </c>
      <c r="I24" s="2">
        <v>4870.92</v>
      </c>
      <c r="J24" s="3">
        <v>8</v>
      </c>
      <c r="K24" s="2">
        <v>459.84</v>
      </c>
    </row>
    <row r="25" spans="1:11" x14ac:dyDescent="0.25">
      <c r="A25" s="4">
        <v>41654</v>
      </c>
      <c r="B25" s="3">
        <f>YEAR(SalesData[[#This Row],[Order Date]])</f>
        <v>2014</v>
      </c>
      <c r="C25" s="3">
        <f>MONTH(SalesData[[#This Row],[Order Date]])</f>
        <v>1</v>
      </c>
      <c r="D25" t="s">
        <v>14</v>
      </c>
      <c r="E25" t="s">
        <v>60</v>
      </c>
      <c r="F25" t="s">
        <v>11</v>
      </c>
      <c r="G25" t="s">
        <v>24</v>
      </c>
      <c r="H25" t="s">
        <v>54</v>
      </c>
      <c r="I25" s="2">
        <v>99.83</v>
      </c>
      <c r="J25" s="3">
        <v>6</v>
      </c>
      <c r="K25" s="2">
        <v>6.47</v>
      </c>
    </row>
    <row r="26" spans="1:11" x14ac:dyDescent="0.25">
      <c r="A26" s="4">
        <v>41655</v>
      </c>
      <c r="B26" s="3">
        <f>YEAR(SalesData[[#This Row],[Order Date]])</f>
        <v>2014</v>
      </c>
      <c r="C26" s="3">
        <f>MONTH(SalesData[[#This Row],[Order Date]])</f>
        <v>1</v>
      </c>
      <c r="D26" t="s">
        <v>20</v>
      </c>
      <c r="E26" t="s">
        <v>31</v>
      </c>
      <c r="F26" t="s">
        <v>27</v>
      </c>
      <c r="G26" t="s">
        <v>32</v>
      </c>
      <c r="H26" t="s">
        <v>53</v>
      </c>
      <c r="I26" s="2">
        <v>4578.97</v>
      </c>
      <c r="J26" s="3">
        <v>9</v>
      </c>
      <c r="K26" s="2">
        <v>692.9</v>
      </c>
    </row>
    <row r="27" spans="1:11" x14ac:dyDescent="0.25">
      <c r="A27" s="4">
        <v>41656</v>
      </c>
      <c r="B27" s="3">
        <f>YEAR(SalesData[[#This Row],[Order Date]])</f>
        <v>2014</v>
      </c>
      <c r="C27" s="3">
        <f>MONTH(SalesData[[#This Row],[Order Date]])</f>
        <v>1</v>
      </c>
      <c r="D27" t="s">
        <v>18</v>
      </c>
      <c r="E27" t="s">
        <v>19</v>
      </c>
      <c r="F27" t="s">
        <v>15</v>
      </c>
      <c r="G27" t="s">
        <v>63</v>
      </c>
      <c r="H27" t="s">
        <v>66</v>
      </c>
      <c r="I27" s="2">
        <v>924.83</v>
      </c>
      <c r="J27" s="3">
        <v>4</v>
      </c>
      <c r="K27" s="2">
        <v>17.73</v>
      </c>
    </row>
    <row r="28" spans="1:11" x14ac:dyDescent="0.25">
      <c r="A28" s="4">
        <v>41656</v>
      </c>
      <c r="B28" s="3">
        <f>YEAR(SalesData[[#This Row],[Order Date]])</f>
        <v>2014</v>
      </c>
      <c r="C28" s="3">
        <f>MONTH(SalesData[[#This Row],[Order Date]])</f>
        <v>1</v>
      </c>
      <c r="D28" t="s">
        <v>23</v>
      </c>
      <c r="E28" t="s">
        <v>31</v>
      </c>
      <c r="F28" t="s">
        <v>11</v>
      </c>
      <c r="G28" t="s">
        <v>35</v>
      </c>
      <c r="H28" t="s">
        <v>70</v>
      </c>
      <c r="I28" s="2">
        <v>2877.78</v>
      </c>
      <c r="J28" s="3">
        <v>6</v>
      </c>
      <c r="K28" s="2">
        <v>481.85</v>
      </c>
    </row>
    <row r="29" spans="1:11" x14ac:dyDescent="0.25">
      <c r="A29" s="4">
        <v>41657</v>
      </c>
      <c r="B29" s="3">
        <f>YEAR(SalesData[[#This Row],[Order Date]])</f>
        <v>2014</v>
      </c>
      <c r="C29" s="3">
        <f>MONTH(SalesData[[#This Row],[Order Date]])</f>
        <v>1</v>
      </c>
      <c r="D29" t="s">
        <v>14</v>
      </c>
      <c r="E29" t="s">
        <v>60</v>
      </c>
      <c r="F29" t="s">
        <v>15</v>
      </c>
      <c r="G29" t="s">
        <v>38</v>
      </c>
      <c r="H29" t="s">
        <v>56</v>
      </c>
      <c r="I29" s="2">
        <v>1253.26</v>
      </c>
      <c r="J29" s="3">
        <v>10</v>
      </c>
      <c r="K29" s="2">
        <v>10.51</v>
      </c>
    </row>
    <row r="30" spans="1:11" x14ac:dyDescent="0.25">
      <c r="A30" s="4">
        <v>41658</v>
      </c>
      <c r="B30" s="3">
        <f>YEAR(SalesData[[#This Row],[Order Date]])</f>
        <v>2014</v>
      </c>
      <c r="C30" s="3">
        <f>MONTH(SalesData[[#This Row],[Order Date]])</f>
        <v>1</v>
      </c>
      <c r="D30" t="s">
        <v>14</v>
      </c>
      <c r="E30" t="s">
        <v>52</v>
      </c>
      <c r="F30" t="s">
        <v>27</v>
      </c>
      <c r="G30" t="s">
        <v>28</v>
      </c>
      <c r="H30" t="s">
        <v>69</v>
      </c>
      <c r="I30" s="2">
        <v>2746.02</v>
      </c>
      <c r="J30" s="3">
        <v>10</v>
      </c>
      <c r="K30" s="2">
        <v>558.28</v>
      </c>
    </row>
    <row r="31" spans="1:11" x14ac:dyDescent="0.25">
      <c r="A31" s="4">
        <v>41658</v>
      </c>
      <c r="B31" s="3">
        <f>YEAR(SalesData[[#This Row],[Order Date]])</f>
        <v>2014</v>
      </c>
      <c r="C31" s="3">
        <f>MONTH(SalesData[[#This Row],[Order Date]])</f>
        <v>1</v>
      </c>
      <c r="D31" t="s">
        <v>43</v>
      </c>
      <c r="E31" t="s">
        <v>31</v>
      </c>
      <c r="F31" t="s">
        <v>11</v>
      </c>
      <c r="G31" t="s">
        <v>12</v>
      </c>
      <c r="H31" t="s">
        <v>65</v>
      </c>
      <c r="I31" s="2">
        <v>4143.8100000000004</v>
      </c>
      <c r="J31" s="3">
        <v>5</v>
      </c>
      <c r="K31" s="2">
        <v>85.58</v>
      </c>
    </row>
    <row r="32" spans="1:11" x14ac:dyDescent="0.25">
      <c r="A32" s="4">
        <v>41658</v>
      </c>
      <c r="B32" s="3">
        <f>YEAR(SalesData[[#This Row],[Order Date]])</f>
        <v>2014</v>
      </c>
      <c r="C32" s="3">
        <f>MONTH(SalesData[[#This Row],[Order Date]])</f>
        <v>1</v>
      </c>
      <c r="D32" t="s">
        <v>20</v>
      </c>
      <c r="E32" t="s">
        <v>40</v>
      </c>
      <c r="F32" t="s">
        <v>27</v>
      </c>
      <c r="G32" t="s">
        <v>48</v>
      </c>
      <c r="H32" t="s">
        <v>49</v>
      </c>
      <c r="I32" s="2">
        <v>753.09</v>
      </c>
      <c r="J32" s="3">
        <v>5</v>
      </c>
      <c r="K32" s="2">
        <v>1.17</v>
      </c>
    </row>
    <row r="33" spans="1:11" x14ac:dyDescent="0.25">
      <c r="A33" s="4">
        <v>41658</v>
      </c>
      <c r="B33" s="3">
        <f>YEAR(SalesData[[#This Row],[Order Date]])</f>
        <v>2014</v>
      </c>
      <c r="C33" s="3">
        <f>MONTH(SalesData[[#This Row],[Order Date]])</f>
        <v>1</v>
      </c>
      <c r="D33" t="s">
        <v>43</v>
      </c>
      <c r="E33" t="s">
        <v>37</v>
      </c>
      <c r="F33" t="s">
        <v>15</v>
      </c>
      <c r="G33" t="s">
        <v>45</v>
      </c>
      <c r="H33" t="s">
        <v>46</v>
      </c>
      <c r="I33" s="2">
        <v>269.83999999999997</v>
      </c>
      <c r="J33" s="3">
        <v>6</v>
      </c>
      <c r="K33" s="2">
        <v>25.58</v>
      </c>
    </row>
    <row r="34" spans="1:11" x14ac:dyDescent="0.25">
      <c r="A34" s="4">
        <v>41658</v>
      </c>
      <c r="B34" s="3">
        <f>YEAR(SalesData[[#This Row],[Order Date]])</f>
        <v>2014</v>
      </c>
      <c r="C34" s="3">
        <f>MONTH(SalesData[[#This Row],[Order Date]])</f>
        <v>1</v>
      </c>
      <c r="D34" t="s">
        <v>20</v>
      </c>
      <c r="E34" t="s">
        <v>31</v>
      </c>
      <c r="F34" t="s">
        <v>27</v>
      </c>
      <c r="G34" t="s">
        <v>28</v>
      </c>
      <c r="H34" t="s">
        <v>58</v>
      </c>
      <c r="I34" s="2">
        <v>3361.5</v>
      </c>
      <c r="J34" s="3">
        <v>4</v>
      </c>
      <c r="K34" s="2">
        <v>59.94</v>
      </c>
    </row>
    <row r="35" spans="1:11" x14ac:dyDescent="0.25">
      <c r="A35" s="4">
        <v>41659</v>
      </c>
      <c r="B35" s="3">
        <f>YEAR(SalesData[[#This Row],[Order Date]])</f>
        <v>2014</v>
      </c>
      <c r="C35" s="3">
        <f>MONTH(SalesData[[#This Row],[Order Date]])</f>
        <v>1</v>
      </c>
      <c r="D35" t="s">
        <v>68</v>
      </c>
      <c r="E35" t="s">
        <v>60</v>
      </c>
      <c r="F35" t="s">
        <v>15</v>
      </c>
      <c r="G35" t="s">
        <v>41</v>
      </c>
      <c r="H35" t="s">
        <v>61</v>
      </c>
      <c r="I35" s="2">
        <v>3434.74</v>
      </c>
      <c r="J35" s="3">
        <v>9</v>
      </c>
      <c r="K35" s="2">
        <v>150.47</v>
      </c>
    </row>
    <row r="36" spans="1:11" x14ac:dyDescent="0.25">
      <c r="A36" s="4">
        <v>41659</v>
      </c>
      <c r="B36" s="3">
        <f>YEAR(SalesData[[#This Row],[Order Date]])</f>
        <v>2014</v>
      </c>
      <c r="C36" s="3">
        <f>MONTH(SalesData[[#This Row],[Order Date]])</f>
        <v>1</v>
      </c>
      <c r="D36" t="s">
        <v>43</v>
      </c>
      <c r="E36" t="s">
        <v>34</v>
      </c>
      <c r="F36" t="s">
        <v>11</v>
      </c>
      <c r="G36" t="s">
        <v>24</v>
      </c>
      <c r="H36" t="s">
        <v>54</v>
      </c>
      <c r="I36" s="2">
        <v>564.42999999999995</v>
      </c>
      <c r="J36" s="3">
        <v>5</v>
      </c>
      <c r="K36" s="2">
        <v>106.5</v>
      </c>
    </row>
    <row r="37" spans="1:11" x14ac:dyDescent="0.25">
      <c r="A37" s="4">
        <v>41659</v>
      </c>
      <c r="B37" s="3">
        <f>YEAR(SalesData[[#This Row],[Order Date]])</f>
        <v>2014</v>
      </c>
      <c r="C37" s="3">
        <f>MONTH(SalesData[[#This Row],[Order Date]])</f>
        <v>1</v>
      </c>
      <c r="D37" t="s">
        <v>18</v>
      </c>
      <c r="E37" t="s">
        <v>44</v>
      </c>
      <c r="F37" t="s">
        <v>15</v>
      </c>
      <c r="G37" t="s">
        <v>38</v>
      </c>
      <c r="H37" t="s">
        <v>39</v>
      </c>
      <c r="I37" s="2">
        <v>2974.35</v>
      </c>
      <c r="J37" s="3">
        <v>3</v>
      </c>
      <c r="K37" s="2">
        <v>250.38</v>
      </c>
    </row>
    <row r="38" spans="1:11" x14ac:dyDescent="0.25">
      <c r="A38" s="4">
        <v>41660</v>
      </c>
      <c r="B38" s="3">
        <f>YEAR(SalesData[[#This Row],[Order Date]])</f>
        <v>2014</v>
      </c>
      <c r="C38" s="3">
        <f>MONTH(SalesData[[#This Row],[Order Date]])</f>
        <v>1</v>
      </c>
      <c r="D38" t="s">
        <v>50</v>
      </c>
      <c r="E38" t="s">
        <v>37</v>
      </c>
      <c r="F38" t="s">
        <v>15</v>
      </c>
      <c r="G38" t="s">
        <v>63</v>
      </c>
      <c r="H38" t="s">
        <v>64</v>
      </c>
      <c r="I38" s="2">
        <v>1600.37</v>
      </c>
      <c r="J38" s="3">
        <v>7</v>
      </c>
      <c r="K38" s="2">
        <v>196.84</v>
      </c>
    </row>
    <row r="39" spans="1:11" x14ac:dyDescent="0.25">
      <c r="A39" s="4">
        <v>41660</v>
      </c>
      <c r="B39" s="3">
        <f>YEAR(SalesData[[#This Row],[Order Date]])</f>
        <v>2014</v>
      </c>
      <c r="C39" s="3">
        <f>MONTH(SalesData[[#This Row],[Order Date]])</f>
        <v>1</v>
      </c>
      <c r="D39" t="s">
        <v>62</v>
      </c>
      <c r="E39" t="s">
        <v>52</v>
      </c>
      <c r="F39" t="s">
        <v>15</v>
      </c>
      <c r="G39" t="s">
        <v>41</v>
      </c>
      <c r="H39" t="s">
        <v>42</v>
      </c>
      <c r="I39" s="2">
        <v>801.69</v>
      </c>
      <c r="J39" s="3">
        <v>6</v>
      </c>
      <c r="K39" s="2">
        <v>191.83</v>
      </c>
    </row>
    <row r="40" spans="1:11" x14ac:dyDescent="0.25">
      <c r="A40" s="4">
        <v>41660</v>
      </c>
      <c r="B40" s="3">
        <f>YEAR(SalesData[[#This Row],[Order Date]])</f>
        <v>2014</v>
      </c>
      <c r="C40" s="3">
        <f>MONTH(SalesData[[#This Row],[Order Date]])</f>
        <v>1</v>
      </c>
      <c r="D40" t="s">
        <v>68</v>
      </c>
      <c r="E40" t="s">
        <v>19</v>
      </c>
      <c r="F40" t="s">
        <v>27</v>
      </c>
      <c r="G40" t="s">
        <v>32</v>
      </c>
      <c r="H40" t="s">
        <v>33</v>
      </c>
      <c r="I40" s="2">
        <v>123.13</v>
      </c>
      <c r="J40" s="3">
        <v>9</v>
      </c>
      <c r="K40" s="2">
        <v>6.09</v>
      </c>
    </row>
    <row r="41" spans="1:11" x14ac:dyDescent="0.25">
      <c r="A41" s="4">
        <v>41660</v>
      </c>
      <c r="B41" s="3">
        <f>YEAR(SalesData[[#This Row],[Order Date]])</f>
        <v>2014</v>
      </c>
      <c r="C41" s="3">
        <f>MONTH(SalesData[[#This Row],[Order Date]])</f>
        <v>1</v>
      </c>
      <c r="D41" t="s">
        <v>20</v>
      </c>
      <c r="E41" t="s">
        <v>52</v>
      </c>
      <c r="F41" t="s">
        <v>15</v>
      </c>
      <c r="G41" t="s">
        <v>16</v>
      </c>
      <c r="H41" t="s">
        <v>51</v>
      </c>
      <c r="I41" s="2">
        <v>4422.43</v>
      </c>
      <c r="J41" s="3">
        <v>6</v>
      </c>
      <c r="K41" s="2">
        <v>286.63</v>
      </c>
    </row>
    <row r="42" spans="1:11" x14ac:dyDescent="0.25">
      <c r="A42" s="4">
        <v>41660</v>
      </c>
      <c r="B42" s="3">
        <f>YEAR(SalesData[[#This Row],[Order Date]])</f>
        <v>2014</v>
      </c>
      <c r="C42" s="3">
        <f>MONTH(SalesData[[#This Row],[Order Date]])</f>
        <v>1</v>
      </c>
      <c r="D42" t="s">
        <v>9</v>
      </c>
      <c r="E42" t="s">
        <v>44</v>
      </c>
      <c r="F42" t="s">
        <v>11</v>
      </c>
      <c r="G42" t="s">
        <v>12</v>
      </c>
      <c r="H42" t="s">
        <v>13</v>
      </c>
      <c r="I42" s="2">
        <v>2027.76</v>
      </c>
      <c r="J42" s="3">
        <v>7</v>
      </c>
      <c r="K42" s="2">
        <v>391.43</v>
      </c>
    </row>
    <row r="43" spans="1:11" x14ac:dyDescent="0.25">
      <c r="A43" s="4">
        <v>41660</v>
      </c>
      <c r="B43" s="3">
        <f>YEAR(SalesData[[#This Row],[Order Date]])</f>
        <v>2014</v>
      </c>
      <c r="C43" s="3">
        <f>MONTH(SalesData[[#This Row],[Order Date]])</f>
        <v>1</v>
      </c>
      <c r="D43" t="s">
        <v>43</v>
      </c>
      <c r="E43" t="s">
        <v>37</v>
      </c>
      <c r="F43" t="s">
        <v>15</v>
      </c>
      <c r="G43" t="s">
        <v>16</v>
      </c>
      <c r="H43" t="s">
        <v>17</v>
      </c>
      <c r="I43" s="2">
        <v>4317.46</v>
      </c>
      <c r="J43" s="3">
        <v>7</v>
      </c>
      <c r="K43" s="2">
        <v>158.63</v>
      </c>
    </row>
    <row r="44" spans="1:11" x14ac:dyDescent="0.25">
      <c r="A44" s="4">
        <v>41660</v>
      </c>
      <c r="B44" s="3">
        <f>YEAR(SalesData[[#This Row],[Order Date]])</f>
        <v>2014</v>
      </c>
      <c r="C44" s="3">
        <f>MONTH(SalesData[[#This Row],[Order Date]])</f>
        <v>1</v>
      </c>
      <c r="D44" t="s">
        <v>20</v>
      </c>
      <c r="E44" t="s">
        <v>44</v>
      </c>
      <c r="F44" t="s">
        <v>27</v>
      </c>
      <c r="G44" t="s">
        <v>32</v>
      </c>
      <c r="H44" t="s">
        <v>53</v>
      </c>
      <c r="I44" s="2">
        <v>4872.28</v>
      </c>
      <c r="J44" s="3">
        <v>2</v>
      </c>
      <c r="K44" s="2">
        <v>984.49</v>
      </c>
    </row>
    <row r="45" spans="1:11" x14ac:dyDescent="0.25">
      <c r="A45" s="4">
        <v>41660</v>
      </c>
      <c r="B45" s="3">
        <f>YEAR(SalesData[[#This Row],[Order Date]])</f>
        <v>2014</v>
      </c>
      <c r="C45" s="3">
        <f>MONTH(SalesData[[#This Row],[Order Date]])</f>
        <v>1</v>
      </c>
      <c r="D45" t="s">
        <v>62</v>
      </c>
      <c r="E45" t="s">
        <v>52</v>
      </c>
      <c r="F45" t="s">
        <v>15</v>
      </c>
      <c r="G45" t="s">
        <v>41</v>
      </c>
      <c r="H45" t="s">
        <v>61</v>
      </c>
      <c r="I45" s="2">
        <v>3817.4</v>
      </c>
      <c r="J45" s="3">
        <v>1</v>
      </c>
      <c r="K45" s="2">
        <v>549.73</v>
      </c>
    </row>
    <row r="46" spans="1:11" x14ac:dyDescent="0.25">
      <c r="A46" s="4">
        <v>41661</v>
      </c>
      <c r="B46" s="3">
        <f>YEAR(SalesData[[#This Row],[Order Date]])</f>
        <v>2014</v>
      </c>
      <c r="C46" s="3">
        <f>MONTH(SalesData[[#This Row],[Order Date]])</f>
        <v>1</v>
      </c>
      <c r="D46" t="s">
        <v>47</v>
      </c>
      <c r="E46" t="s">
        <v>31</v>
      </c>
      <c r="F46" t="s">
        <v>15</v>
      </c>
      <c r="G46" t="s">
        <v>63</v>
      </c>
      <c r="H46" t="s">
        <v>64</v>
      </c>
      <c r="I46" s="2">
        <v>1564.88</v>
      </c>
      <c r="J46" s="3">
        <v>4</v>
      </c>
      <c r="K46" s="2">
        <v>58.73</v>
      </c>
    </row>
    <row r="47" spans="1:11" x14ac:dyDescent="0.25">
      <c r="A47" s="4">
        <v>41661</v>
      </c>
      <c r="B47" s="3">
        <f>YEAR(SalesData[[#This Row],[Order Date]])</f>
        <v>2014</v>
      </c>
      <c r="C47" s="3">
        <f>MONTH(SalesData[[#This Row],[Order Date]])</f>
        <v>1</v>
      </c>
      <c r="D47" t="s">
        <v>50</v>
      </c>
      <c r="E47" t="s">
        <v>44</v>
      </c>
      <c r="F47" t="s">
        <v>15</v>
      </c>
      <c r="G47" t="s">
        <v>45</v>
      </c>
      <c r="H47" t="s">
        <v>46</v>
      </c>
      <c r="I47" s="2">
        <v>1806.9</v>
      </c>
      <c r="J47" s="3">
        <v>6</v>
      </c>
      <c r="K47" s="2">
        <v>504.6</v>
      </c>
    </row>
    <row r="48" spans="1:11" x14ac:dyDescent="0.25">
      <c r="A48" s="4">
        <v>41661</v>
      </c>
      <c r="B48" s="3">
        <f>YEAR(SalesData[[#This Row],[Order Date]])</f>
        <v>2014</v>
      </c>
      <c r="C48" s="3">
        <f>MONTH(SalesData[[#This Row],[Order Date]])</f>
        <v>1</v>
      </c>
      <c r="D48" t="s">
        <v>30</v>
      </c>
      <c r="E48" t="s">
        <v>19</v>
      </c>
      <c r="F48" t="s">
        <v>15</v>
      </c>
      <c r="G48" t="s">
        <v>16</v>
      </c>
      <c r="H48" t="s">
        <v>51</v>
      </c>
      <c r="I48" s="2">
        <v>547.9</v>
      </c>
      <c r="J48" s="3">
        <v>4</v>
      </c>
      <c r="K48" s="2">
        <v>74.97</v>
      </c>
    </row>
    <row r="49" spans="1:11" x14ac:dyDescent="0.25">
      <c r="A49" s="4">
        <v>41661</v>
      </c>
      <c r="B49" s="3">
        <f>YEAR(SalesData[[#This Row],[Order Date]])</f>
        <v>2014</v>
      </c>
      <c r="C49" s="3">
        <f>MONTH(SalesData[[#This Row],[Order Date]])</f>
        <v>1</v>
      </c>
      <c r="D49" t="s">
        <v>18</v>
      </c>
      <c r="E49" t="s">
        <v>44</v>
      </c>
      <c r="F49" t="s">
        <v>11</v>
      </c>
      <c r="G49" t="s">
        <v>12</v>
      </c>
      <c r="H49" t="s">
        <v>65</v>
      </c>
      <c r="I49" s="2">
        <v>1168.56</v>
      </c>
      <c r="J49" s="3">
        <v>3</v>
      </c>
      <c r="K49" s="2">
        <v>119.71</v>
      </c>
    </row>
    <row r="50" spans="1:11" x14ac:dyDescent="0.25">
      <c r="A50" s="4">
        <v>41662</v>
      </c>
      <c r="B50" s="3">
        <f>YEAR(SalesData[[#This Row],[Order Date]])</f>
        <v>2014</v>
      </c>
      <c r="C50" s="3">
        <f>MONTH(SalesData[[#This Row],[Order Date]])</f>
        <v>1</v>
      </c>
      <c r="D50" t="s">
        <v>30</v>
      </c>
      <c r="E50" t="s">
        <v>44</v>
      </c>
      <c r="F50" t="s">
        <v>27</v>
      </c>
      <c r="G50" t="s">
        <v>48</v>
      </c>
      <c r="H50" t="s">
        <v>49</v>
      </c>
      <c r="I50" s="2">
        <v>4525</v>
      </c>
      <c r="J50" s="3">
        <v>7</v>
      </c>
      <c r="K50" s="2">
        <v>58.17</v>
      </c>
    </row>
    <row r="51" spans="1:11" x14ac:dyDescent="0.25">
      <c r="A51" s="4">
        <v>41662</v>
      </c>
      <c r="B51" s="3">
        <f>YEAR(SalesData[[#This Row],[Order Date]])</f>
        <v>2014</v>
      </c>
      <c r="C51" s="3">
        <f>MONTH(SalesData[[#This Row],[Order Date]])</f>
        <v>1</v>
      </c>
      <c r="D51" t="s">
        <v>23</v>
      </c>
      <c r="E51" t="s">
        <v>10</v>
      </c>
      <c r="F51" t="s">
        <v>11</v>
      </c>
      <c r="G51" t="s">
        <v>35</v>
      </c>
      <c r="H51" t="s">
        <v>71</v>
      </c>
      <c r="I51" s="2">
        <v>951.75</v>
      </c>
      <c r="J51" s="3">
        <v>7</v>
      </c>
      <c r="K51" s="2">
        <v>21.73</v>
      </c>
    </row>
    <row r="52" spans="1:11" x14ac:dyDescent="0.25">
      <c r="A52" s="4">
        <v>41663</v>
      </c>
      <c r="B52" s="3">
        <f>YEAR(SalesData[[#This Row],[Order Date]])</f>
        <v>2014</v>
      </c>
      <c r="C52" s="3">
        <f>MONTH(SalesData[[#This Row],[Order Date]])</f>
        <v>1</v>
      </c>
      <c r="D52" t="s">
        <v>62</v>
      </c>
      <c r="E52" t="s">
        <v>31</v>
      </c>
      <c r="F52" t="s">
        <v>15</v>
      </c>
      <c r="G52" t="s">
        <v>38</v>
      </c>
      <c r="H52" t="s">
        <v>39</v>
      </c>
      <c r="I52" s="2">
        <v>3070.09</v>
      </c>
      <c r="J52" s="3">
        <v>9</v>
      </c>
      <c r="K52" s="2">
        <v>251.54</v>
      </c>
    </row>
    <row r="53" spans="1:11" x14ac:dyDescent="0.25">
      <c r="A53" s="4">
        <v>41664</v>
      </c>
      <c r="B53" s="3">
        <f>YEAR(SalesData[[#This Row],[Order Date]])</f>
        <v>2014</v>
      </c>
      <c r="C53" s="3">
        <f>MONTH(SalesData[[#This Row],[Order Date]])</f>
        <v>1</v>
      </c>
      <c r="D53" t="s">
        <v>55</v>
      </c>
      <c r="E53" t="s">
        <v>52</v>
      </c>
      <c r="F53" t="s">
        <v>27</v>
      </c>
      <c r="G53" t="s">
        <v>48</v>
      </c>
      <c r="H53" t="s">
        <v>49</v>
      </c>
      <c r="I53" s="2">
        <v>4359.72</v>
      </c>
      <c r="J53" s="3">
        <v>5</v>
      </c>
      <c r="K53" s="2">
        <v>289.91000000000003</v>
      </c>
    </row>
    <row r="54" spans="1:11" x14ac:dyDescent="0.25">
      <c r="A54" s="4">
        <v>41664</v>
      </c>
      <c r="B54" s="3">
        <f>YEAR(SalesData[[#This Row],[Order Date]])</f>
        <v>2014</v>
      </c>
      <c r="C54" s="3">
        <f>MONTH(SalesData[[#This Row],[Order Date]])</f>
        <v>1</v>
      </c>
      <c r="D54" t="s">
        <v>30</v>
      </c>
      <c r="E54" t="s">
        <v>10</v>
      </c>
      <c r="F54" t="s">
        <v>27</v>
      </c>
      <c r="G54" t="s">
        <v>28</v>
      </c>
      <c r="H54" t="s">
        <v>29</v>
      </c>
      <c r="I54" s="2">
        <v>4300.07</v>
      </c>
      <c r="J54" s="3">
        <v>2</v>
      </c>
      <c r="K54" s="2">
        <v>975.09</v>
      </c>
    </row>
    <row r="55" spans="1:11" x14ac:dyDescent="0.25">
      <c r="A55" s="4">
        <v>41664</v>
      </c>
      <c r="B55" s="3">
        <f>YEAR(SalesData[[#This Row],[Order Date]])</f>
        <v>2014</v>
      </c>
      <c r="C55" s="3">
        <f>MONTH(SalesData[[#This Row],[Order Date]])</f>
        <v>1</v>
      </c>
      <c r="D55" t="s">
        <v>62</v>
      </c>
      <c r="E55" t="s">
        <v>44</v>
      </c>
      <c r="F55" t="s">
        <v>11</v>
      </c>
      <c r="G55" t="s">
        <v>35</v>
      </c>
      <c r="H55" t="s">
        <v>36</v>
      </c>
      <c r="I55" s="2">
        <v>4290.17</v>
      </c>
      <c r="J55" s="3">
        <v>8</v>
      </c>
      <c r="K55" s="2">
        <v>356.01</v>
      </c>
    </row>
    <row r="56" spans="1:11" x14ac:dyDescent="0.25">
      <c r="A56" s="4">
        <v>41665</v>
      </c>
      <c r="B56" s="3">
        <f>YEAR(SalesData[[#This Row],[Order Date]])</f>
        <v>2014</v>
      </c>
      <c r="C56" s="3">
        <f>MONTH(SalesData[[#This Row],[Order Date]])</f>
        <v>1</v>
      </c>
      <c r="D56" t="s">
        <v>23</v>
      </c>
      <c r="E56" t="s">
        <v>37</v>
      </c>
      <c r="F56" t="s">
        <v>15</v>
      </c>
      <c r="G56" t="s">
        <v>41</v>
      </c>
      <c r="H56" t="s">
        <v>61</v>
      </c>
      <c r="I56" s="2">
        <v>3524.29</v>
      </c>
      <c r="J56" s="3">
        <v>2</v>
      </c>
      <c r="K56" s="2">
        <v>323.72000000000003</v>
      </c>
    </row>
    <row r="57" spans="1:11" x14ac:dyDescent="0.25">
      <c r="A57" s="4">
        <v>41666</v>
      </c>
      <c r="B57" s="3">
        <f>YEAR(SalesData[[#This Row],[Order Date]])</f>
        <v>2014</v>
      </c>
      <c r="C57" s="3">
        <f>MONTH(SalesData[[#This Row],[Order Date]])</f>
        <v>1</v>
      </c>
      <c r="D57" t="s">
        <v>9</v>
      </c>
      <c r="E57" t="s">
        <v>37</v>
      </c>
      <c r="F57" t="s">
        <v>15</v>
      </c>
      <c r="G57" t="s">
        <v>45</v>
      </c>
      <c r="H57" t="s">
        <v>46</v>
      </c>
      <c r="I57" s="2">
        <v>1064.5899999999999</v>
      </c>
      <c r="J57" s="3">
        <v>3</v>
      </c>
      <c r="K57" s="2">
        <v>94.14</v>
      </c>
    </row>
    <row r="58" spans="1:11" x14ac:dyDescent="0.25">
      <c r="A58" s="4">
        <v>41666</v>
      </c>
      <c r="B58" s="3">
        <f>YEAR(SalesData[[#This Row],[Order Date]])</f>
        <v>2014</v>
      </c>
      <c r="C58" s="3">
        <f>MONTH(SalesData[[#This Row],[Order Date]])</f>
        <v>1</v>
      </c>
      <c r="D58" t="s">
        <v>43</v>
      </c>
      <c r="E58" t="s">
        <v>19</v>
      </c>
      <c r="F58" t="s">
        <v>11</v>
      </c>
      <c r="G58" t="s">
        <v>21</v>
      </c>
      <c r="H58" t="s">
        <v>67</v>
      </c>
      <c r="I58" s="2">
        <v>67.92</v>
      </c>
      <c r="J58" s="3">
        <v>3</v>
      </c>
      <c r="K58" s="2">
        <v>16.07</v>
      </c>
    </row>
    <row r="59" spans="1:11" x14ac:dyDescent="0.25">
      <c r="A59" s="4">
        <v>41667</v>
      </c>
      <c r="B59" s="3">
        <f>YEAR(SalesData[[#This Row],[Order Date]])</f>
        <v>2014</v>
      </c>
      <c r="C59" s="3">
        <f>MONTH(SalesData[[#This Row],[Order Date]])</f>
        <v>1</v>
      </c>
      <c r="D59" t="s">
        <v>14</v>
      </c>
      <c r="E59" t="s">
        <v>19</v>
      </c>
      <c r="F59" t="s">
        <v>15</v>
      </c>
      <c r="G59" t="s">
        <v>41</v>
      </c>
      <c r="H59" t="s">
        <v>61</v>
      </c>
      <c r="I59" s="2">
        <v>4648.7700000000004</v>
      </c>
      <c r="J59" s="3">
        <v>9</v>
      </c>
      <c r="K59" s="2">
        <v>566.13</v>
      </c>
    </row>
    <row r="60" spans="1:11" x14ac:dyDescent="0.25">
      <c r="A60" s="4">
        <v>41668</v>
      </c>
      <c r="B60" s="3">
        <f>YEAR(SalesData[[#This Row],[Order Date]])</f>
        <v>2014</v>
      </c>
      <c r="C60" s="3">
        <f>MONTH(SalesData[[#This Row],[Order Date]])</f>
        <v>1</v>
      </c>
      <c r="D60" t="s">
        <v>30</v>
      </c>
      <c r="E60" t="s">
        <v>52</v>
      </c>
      <c r="F60" t="s">
        <v>15</v>
      </c>
      <c r="G60" t="s">
        <v>63</v>
      </c>
      <c r="H60" t="s">
        <v>64</v>
      </c>
      <c r="I60" s="2">
        <v>1849.62</v>
      </c>
      <c r="J60" s="3">
        <v>2</v>
      </c>
      <c r="K60" s="2">
        <v>359.4</v>
      </c>
    </row>
    <row r="61" spans="1:11" x14ac:dyDescent="0.25">
      <c r="A61" s="4">
        <v>41670</v>
      </c>
      <c r="B61" s="3">
        <f>YEAR(SalesData[[#This Row],[Order Date]])</f>
        <v>2014</v>
      </c>
      <c r="C61" s="3">
        <f>MONTH(SalesData[[#This Row],[Order Date]])</f>
        <v>1</v>
      </c>
      <c r="D61" t="s">
        <v>23</v>
      </c>
      <c r="E61" t="s">
        <v>40</v>
      </c>
      <c r="F61" t="s">
        <v>27</v>
      </c>
      <c r="G61" t="s">
        <v>48</v>
      </c>
      <c r="H61" t="s">
        <v>57</v>
      </c>
      <c r="I61" s="2">
        <v>4527.12</v>
      </c>
      <c r="J61" s="3">
        <v>4</v>
      </c>
      <c r="K61" s="2">
        <v>901.08</v>
      </c>
    </row>
    <row r="62" spans="1:11" x14ac:dyDescent="0.25">
      <c r="A62" s="4">
        <v>41670</v>
      </c>
      <c r="B62" s="3">
        <f>YEAR(SalesData[[#This Row],[Order Date]])</f>
        <v>2014</v>
      </c>
      <c r="C62" s="3">
        <f>MONTH(SalesData[[#This Row],[Order Date]])</f>
        <v>1</v>
      </c>
      <c r="D62" t="s">
        <v>55</v>
      </c>
      <c r="E62" t="s">
        <v>60</v>
      </c>
      <c r="F62" t="s">
        <v>15</v>
      </c>
      <c r="G62" t="s">
        <v>63</v>
      </c>
      <c r="H62" t="s">
        <v>66</v>
      </c>
      <c r="I62" s="2">
        <v>1920.68</v>
      </c>
      <c r="J62" s="3">
        <v>4</v>
      </c>
      <c r="K62" s="2">
        <v>167.28</v>
      </c>
    </row>
    <row r="63" spans="1:11" x14ac:dyDescent="0.25">
      <c r="A63" s="4">
        <v>41670</v>
      </c>
      <c r="B63" s="3">
        <f>YEAR(SalesData[[#This Row],[Order Date]])</f>
        <v>2014</v>
      </c>
      <c r="C63" s="3">
        <f>MONTH(SalesData[[#This Row],[Order Date]])</f>
        <v>1</v>
      </c>
      <c r="D63" t="s">
        <v>47</v>
      </c>
      <c r="E63" t="s">
        <v>60</v>
      </c>
      <c r="F63" t="s">
        <v>11</v>
      </c>
      <c r="G63" t="s">
        <v>24</v>
      </c>
      <c r="H63" t="s">
        <v>54</v>
      </c>
      <c r="I63" s="2">
        <v>3209.05</v>
      </c>
      <c r="J63" s="3">
        <v>2</v>
      </c>
      <c r="K63" s="2">
        <v>832.31</v>
      </c>
    </row>
    <row r="64" spans="1:11" x14ac:dyDescent="0.25">
      <c r="A64" s="4">
        <v>41671</v>
      </c>
      <c r="B64" s="3">
        <f>YEAR(SalesData[[#This Row],[Order Date]])</f>
        <v>2014</v>
      </c>
      <c r="C64" s="3">
        <f>MONTH(SalesData[[#This Row],[Order Date]])</f>
        <v>2</v>
      </c>
      <c r="D64" t="s">
        <v>9</v>
      </c>
      <c r="E64" t="s">
        <v>10</v>
      </c>
      <c r="F64" t="s">
        <v>15</v>
      </c>
      <c r="G64" t="s">
        <v>45</v>
      </c>
      <c r="H64" t="s">
        <v>59</v>
      </c>
      <c r="I64" s="2">
        <v>1152.8800000000001</v>
      </c>
      <c r="J64" s="3">
        <v>3</v>
      </c>
      <c r="K64" s="2">
        <v>64.5</v>
      </c>
    </row>
    <row r="65" spans="1:11" x14ac:dyDescent="0.25">
      <c r="A65" s="4">
        <v>41671</v>
      </c>
      <c r="B65" s="3">
        <f>YEAR(SalesData[[#This Row],[Order Date]])</f>
        <v>2014</v>
      </c>
      <c r="C65" s="3">
        <f>MONTH(SalesData[[#This Row],[Order Date]])</f>
        <v>2</v>
      </c>
      <c r="D65" t="s">
        <v>20</v>
      </c>
      <c r="E65" t="s">
        <v>40</v>
      </c>
      <c r="F65" t="s">
        <v>27</v>
      </c>
      <c r="G65" t="s">
        <v>32</v>
      </c>
      <c r="H65" t="s">
        <v>33</v>
      </c>
      <c r="I65" s="2">
        <v>3774.1</v>
      </c>
      <c r="J65" s="3">
        <v>5</v>
      </c>
      <c r="K65" s="2">
        <v>992.43</v>
      </c>
    </row>
    <row r="66" spans="1:11" x14ac:dyDescent="0.25">
      <c r="A66" s="4">
        <v>41671</v>
      </c>
      <c r="B66" s="3">
        <f>YEAR(SalesData[[#This Row],[Order Date]])</f>
        <v>2014</v>
      </c>
      <c r="C66" s="3">
        <f>MONTH(SalesData[[#This Row],[Order Date]])</f>
        <v>2</v>
      </c>
      <c r="D66" t="s">
        <v>9</v>
      </c>
      <c r="E66" t="s">
        <v>37</v>
      </c>
      <c r="F66" t="s">
        <v>11</v>
      </c>
      <c r="G66" t="s">
        <v>12</v>
      </c>
      <c r="H66" t="s">
        <v>65</v>
      </c>
      <c r="I66" s="2">
        <v>4333.05</v>
      </c>
      <c r="J66" s="3">
        <v>10</v>
      </c>
      <c r="K66" s="2">
        <v>1222.8399999999999</v>
      </c>
    </row>
    <row r="67" spans="1:11" x14ac:dyDescent="0.25">
      <c r="A67" s="4">
        <v>41673</v>
      </c>
      <c r="B67" s="3">
        <f>YEAR(SalesData[[#This Row],[Order Date]])</f>
        <v>2014</v>
      </c>
      <c r="C67" s="3">
        <f>MONTH(SalesData[[#This Row],[Order Date]])</f>
        <v>2</v>
      </c>
      <c r="D67" t="s">
        <v>62</v>
      </c>
      <c r="E67" t="s">
        <v>34</v>
      </c>
      <c r="F67" t="s">
        <v>11</v>
      </c>
      <c r="G67" t="s">
        <v>12</v>
      </c>
      <c r="H67" t="s">
        <v>13</v>
      </c>
      <c r="I67" s="2">
        <v>3781.24</v>
      </c>
      <c r="J67" s="3">
        <v>8</v>
      </c>
      <c r="K67" s="2">
        <v>1027.44</v>
      </c>
    </row>
    <row r="68" spans="1:11" x14ac:dyDescent="0.25">
      <c r="A68" s="4">
        <v>41673</v>
      </c>
      <c r="B68" s="3">
        <f>YEAR(SalesData[[#This Row],[Order Date]])</f>
        <v>2014</v>
      </c>
      <c r="C68" s="3">
        <f>MONTH(SalesData[[#This Row],[Order Date]])</f>
        <v>2</v>
      </c>
      <c r="D68" t="s">
        <v>55</v>
      </c>
      <c r="E68" t="s">
        <v>31</v>
      </c>
      <c r="F68" t="s">
        <v>11</v>
      </c>
      <c r="G68" t="s">
        <v>12</v>
      </c>
      <c r="H68" t="s">
        <v>13</v>
      </c>
      <c r="I68" s="2">
        <v>2113.52</v>
      </c>
      <c r="J68" s="3">
        <v>3</v>
      </c>
      <c r="K68" s="2">
        <v>265.86</v>
      </c>
    </row>
    <row r="69" spans="1:11" x14ac:dyDescent="0.25">
      <c r="A69" s="4">
        <v>41676</v>
      </c>
      <c r="B69" s="3">
        <f>YEAR(SalesData[[#This Row],[Order Date]])</f>
        <v>2014</v>
      </c>
      <c r="C69" s="3">
        <f>MONTH(SalesData[[#This Row],[Order Date]])</f>
        <v>2</v>
      </c>
      <c r="D69" t="s">
        <v>68</v>
      </c>
      <c r="E69" t="s">
        <v>60</v>
      </c>
      <c r="F69" t="s">
        <v>15</v>
      </c>
      <c r="G69" t="s">
        <v>16</v>
      </c>
      <c r="H69" t="s">
        <v>17</v>
      </c>
      <c r="I69" s="2">
        <v>1216.6300000000001</v>
      </c>
      <c r="J69" s="3">
        <v>2</v>
      </c>
      <c r="K69" s="2">
        <v>358.9</v>
      </c>
    </row>
    <row r="70" spans="1:11" x14ac:dyDescent="0.25">
      <c r="A70" s="4">
        <v>41676</v>
      </c>
      <c r="B70" s="3">
        <f>YEAR(SalesData[[#This Row],[Order Date]])</f>
        <v>2014</v>
      </c>
      <c r="C70" s="3">
        <f>MONTH(SalesData[[#This Row],[Order Date]])</f>
        <v>2</v>
      </c>
      <c r="D70" t="s">
        <v>50</v>
      </c>
      <c r="E70" t="s">
        <v>31</v>
      </c>
      <c r="F70" t="s">
        <v>11</v>
      </c>
      <c r="G70" t="s">
        <v>12</v>
      </c>
      <c r="H70" t="s">
        <v>13</v>
      </c>
      <c r="I70" s="2">
        <v>2046.9</v>
      </c>
      <c r="J70" s="3">
        <v>5</v>
      </c>
      <c r="K70" s="2">
        <v>3.25</v>
      </c>
    </row>
    <row r="71" spans="1:11" x14ac:dyDescent="0.25">
      <c r="A71" s="4">
        <v>41677</v>
      </c>
      <c r="B71" s="3">
        <f>YEAR(SalesData[[#This Row],[Order Date]])</f>
        <v>2014</v>
      </c>
      <c r="C71" s="3">
        <f>MONTH(SalesData[[#This Row],[Order Date]])</f>
        <v>2</v>
      </c>
      <c r="D71" t="s">
        <v>18</v>
      </c>
      <c r="E71" t="s">
        <v>10</v>
      </c>
      <c r="F71" t="s">
        <v>15</v>
      </c>
      <c r="G71" t="s">
        <v>16</v>
      </c>
      <c r="H71" t="s">
        <v>17</v>
      </c>
      <c r="I71" s="2">
        <v>4551.04</v>
      </c>
      <c r="J71" s="3">
        <v>1</v>
      </c>
      <c r="K71" s="2">
        <v>514.96</v>
      </c>
    </row>
    <row r="72" spans="1:11" x14ac:dyDescent="0.25">
      <c r="A72" s="4">
        <v>41677</v>
      </c>
      <c r="B72" s="3">
        <f>YEAR(SalesData[[#This Row],[Order Date]])</f>
        <v>2014</v>
      </c>
      <c r="C72" s="3">
        <f>MONTH(SalesData[[#This Row],[Order Date]])</f>
        <v>2</v>
      </c>
      <c r="D72" t="s">
        <v>43</v>
      </c>
      <c r="E72" t="s">
        <v>40</v>
      </c>
      <c r="F72" t="s">
        <v>27</v>
      </c>
      <c r="G72" t="s">
        <v>32</v>
      </c>
      <c r="H72" t="s">
        <v>33</v>
      </c>
      <c r="I72" s="2">
        <v>2847.93</v>
      </c>
      <c r="J72" s="3">
        <v>5</v>
      </c>
      <c r="K72" s="2">
        <v>119.96</v>
      </c>
    </row>
    <row r="73" spans="1:11" x14ac:dyDescent="0.25">
      <c r="A73" s="4">
        <v>41677</v>
      </c>
      <c r="B73" s="3">
        <f>YEAR(SalesData[[#This Row],[Order Date]])</f>
        <v>2014</v>
      </c>
      <c r="C73" s="3">
        <f>MONTH(SalesData[[#This Row],[Order Date]])</f>
        <v>2</v>
      </c>
      <c r="D73" t="s">
        <v>18</v>
      </c>
      <c r="E73" t="s">
        <v>34</v>
      </c>
      <c r="F73" t="s">
        <v>27</v>
      </c>
      <c r="G73" t="s">
        <v>48</v>
      </c>
      <c r="H73" t="s">
        <v>49</v>
      </c>
      <c r="I73" s="2">
        <v>3056.16</v>
      </c>
      <c r="J73" s="3">
        <v>6</v>
      </c>
      <c r="K73" s="2">
        <v>447.02</v>
      </c>
    </row>
    <row r="74" spans="1:11" x14ac:dyDescent="0.25">
      <c r="A74" s="4">
        <v>41678</v>
      </c>
      <c r="B74" s="3">
        <f>YEAR(SalesData[[#This Row],[Order Date]])</f>
        <v>2014</v>
      </c>
      <c r="C74" s="3">
        <f>MONTH(SalesData[[#This Row],[Order Date]])</f>
        <v>2</v>
      </c>
      <c r="D74" t="s">
        <v>47</v>
      </c>
      <c r="E74" t="s">
        <v>26</v>
      </c>
      <c r="F74" t="s">
        <v>11</v>
      </c>
      <c r="G74" t="s">
        <v>24</v>
      </c>
      <c r="H74" t="s">
        <v>54</v>
      </c>
      <c r="I74" s="2">
        <v>4923.18</v>
      </c>
      <c r="J74" s="3">
        <v>8</v>
      </c>
      <c r="K74" s="2">
        <v>557.16999999999996</v>
      </c>
    </row>
    <row r="75" spans="1:11" x14ac:dyDescent="0.25">
      <c r="A75" s="4">
        <v>41678</v>
      </c>
      <c r="B75" s="3">
        <f>YEAR(SalesData[[#This Row],[Order Date]])</f>
        <v>2014</v>
      </c>
      <c r="C75" s="3">
        <f>MONTH(SalesData[[#This Row],[Order Date]])</f>
        <v>2</v>
      </c>
      <c r="D75" t="s">
        <v>9</v>
      </c>
      <c r="E75" t="s">
        <v>40</v>
      </c>
      <c r="F75" t="s">
        <v>11</v>
      </c>
      <c r="G75" t="s">
        <v>24</v>
      </c>
      <c r="H75" t="s">
        <v>25</v>
      </c>
      <c r="I75" s="2">
        <v>2938.84</v>
      </c>
      <c r="J75" s="3">
        <v>5</v>
      </c>
      <c r="K75" s="2">
        <v>43.86</v>
      </c>
    </row>
    <row r="76" spans="1:11" x14ac:dyDescent="0.25">
      <c r="A76" s="4">
        <v>41678</v>
      </c>
      <c r="B76" s="3">
        <f>YEAR(SalesData[[#This Row],[Order Date]])</f>
        <v>2014</v>
      </c>
      <c r="C76" s="3">
        <f>MONTH(SalesData[[#This Row],[Order Date]])</f>
        <v>2</v>
      </c>
      <c r="D76" t="s">
        <v>47</v>
      </c>
      <c r="E76" t="s">
        <v>44</v>
      </c>
      <c r="F76" t="s">
        <v>11</v>
      </c>
      <c r="G76" t="s">
        <v>21</v>
      </c>
      <c r="H76" t="s">
        <v>67</v>
      </c>
      <c r="I76" s="2">
        <v>731.57</v>
      </c>
      <c r="J76" s="3">
        <v>7</v>
      </c>
      <c r="K76" s="2">
        <v>173.29</v>
      </c>
    </row>
    <row r="77" spans="1:11" x14ac:dyDescent="0.25">
      <c r="A77" s="4">
        <v>41678</v>
      </c>
      <c r="B77" s="3">
        <f>YEAR(SalesData[[#This Row],[Order Date]])</f>
        <v>2014</v>
      </c>
      <c r="C77" s="3">
        <f>MONTH(SalesData[[#This Row],[Order Date]])</f>
        <v>2</v>
      </c>
      <c r="D77" t="s">
        <v>55</v>
      </c>
      <c r="E77" t="s">
        <v>40</v>
      </c>
      <c r="F77" t="s">
        <v>11</v>
      </c>
      <c r="G77" t="s">
        <v>35</v>
      </c>
      <c r="H77" t="s">
        <v>70</v>
      </c>
      <c r="I77" s="2">
        <v>1536.63</v>
      </c>
      <c r="J77" s="3">
        <v>6</v>
      </c>
      <c r="K77" s="2">
        <v>331.33</v>
      </c>
    </row>
    <row r="78" spans="1:11" x14ac:dyDescent="0.25">
      <c r="A78" s="4">
        <v>41680</v>
      </c>
      <c r="B78" s="3">
        <f>YEAR(SalesData[[#This Row],[Order Date]])</f>
        <v>2014</v>
      </c>
      <c r="C78" s="3">
        <f>MONTH(SalesData[[#This Row],[Order Date]])</f>
        <v>2</v>
      </c>
      <c r="D78" t="s">
        <v>47</v>
      </c>
      <c r="E78" t="s">
        <v>52</v>
      </c>
      <c r="F78" t="s">
        <v>27</v>
      </c>
      <c r="G78" t="s">
        <v>32</v>
      </c>
      <c r="H78" t="s">
        <v>33</v>
      </c>
      <c r="I78" s="2">
        <v>4269.83</v>
      </c>
      <c r="J78" s="3">
        <v>1</v>
      </c>
      <c r="K78" s="2">
        <v>237.3</v>
      </c>
    </row>
    <row r="79" spans="1:11" x14ac:dyDescent="0.25">
      <c r="A79" s="4">
        <v>41680</v>
      </c>
      <c r="B79" s="3">
        <f>YEAR(SalesData[[#This Row],[Order Date]])</f>
        <v>2014</v>
      </c>
      <c r="C79" s="3">
        <f>MONTH(SalesData[[#This Row],[Order Date]])</f>
        <v>2</v>
      </c>
      <c r="D79" t="s">
        <v>14</v>
      </c>
      <c r="E79" t="s">
        <v>10</v>
      </c>
      <c r="F79" t="s">
        <v>15</v>
      </c>
      <c r="G79" t="s">
        <v>63</v>
      </c>
      <c r="H79" t="s">
        <v>66</v>
      </c>
      <c r="I79" s="2">
        <v>1412.61</v>
      </c>
      <c r="J79" s="3">
        <v>10</v>
      </c>
      <c r="K79" s="2">
        <v>365.26</v>
      </c>
    </row>
    <row r="80" spans="1:11" x14ac:dyDescent="0.25">
      <c r="A80" s="4">
        <v>41681</v>
      </c>
      <c r="B80" s="3">
        <f>YEAR(SalesData[[#This Row],[Order Date]])</f>
        <v>2014</v>
      </c>
      <c r="C80" s="3">
        <f>MONTH(SalesData[[#This Row],[Order Date]])</f>
        <v>2</v>
      </c>
      <c r="D80" t="s">
        <v>47</v>
      </c>
      <c r="E80" t="s">
        <v>19</v>
      </c>
      <c r="F80" t="s">
        <v>27</v>
      </c>
      <c r="G80" t="s">
        <v>28</v>
      </c>
      <c r="H80" t="s">
        <v>58</v>
      </c>
      <c r="I80" s="2">
        <v>3518.72</v>
      </c>
      <c r="J80" s="3">
        <v>6</v>
      </c>
      <c r="K80" s="2">
        <v>580.53</v>
      </c>
    </row>
    <row r="81" spans="1:11" x14ac:dyDescent="0.25">
      <c r="A81" s="4">
        <v>41681</v>
      </c>
      <c r="B81" s="3">
        <f>YEAR(SalesData[[#This Row],[Order Date]])</f>
        <v>2014</v>
      </c>
      <c r="C81" s="3">
        <f>MONTH(SalesData[[#This Row],[Order Date]])</f>
        <v>2</v>
      </c>
      <c r="D81" t="s">
        <v>9</v>
      </c>
      <c r="E81" t="s">
        <v>10</v>
      </c>
      <c r="F81" t="s">
        <v>27</v>
      </c>
      <c r="G81" t="s">
        <v>32</v>
      </c>
      <c r="H81" t="s">
        <v>33</v>
      </c>
      <c r="I81" s="2">
        <v>3532.8</v>
      </c>
      <c r="J81" s="3">
        <v>5</v>
      </c>
      <c r="K81" s="2">
        <v>31.13</v>
      </c>
    </row>
    <row r="82" spans="1:11" x14ac:dyDescent="0.25">
      <c r="A82" s="4">
        <v>41681</v>
      </c>
      <c r="B82" s="3">
        <f>YEAR(SalesData[[#This Row],[Order Date]])</f>
        <v>2014</v>
      </c>
      <c r="C82" s="3">
        <f>MONTH(SalesData[[#This Row],[Order Date]])</f>
        <v>2</v>
      </c>
      <c r="D82" t="s">
        <v>62</v>
      </c>
      <c r="E82" t="s">
        <v>44</v>
      </c>
      <c r="F82" t="s">
        <v>11</v>
      </c>
      <c r="G82" t="s">
        <v>12</v>
      </c>
      <c r="H82" t="s">
        <v>65</v>
      </c>
      <c r="I82" s="2">
        <v>2676.8</v>
      </c>
      <c r="J82" s="3">
        <v>6</v>
      </c>
      <c r="K82" s="2">
        <v>667.16</v>
      </c>
    </row>
    <row r="83" spans="1:11" x14ac:dyDescent="0.25">
      <c r="A83" s="4">
        <v>41681</v>
      </c>
      <c r="B83" s="3">
        <f>YEAR(SalesData[[#This Row],[Order Date]])</f>
        <v>2014</v>
      </c>
      <c r="C83" s="3">
        <f>MONTH(SalesData[[#This Row],[Order Date]])</f>
        <v>2</v>
      </c>
      <c r="D83" t="s">
        <v>30</v>
      </c>
      <c r="E83" t="s">
        <v>34</v>
      </c>
      <c r="F83" t="s">
        <v>27</v>
      </c>
      <c r="G83" t="s">
        <v>48</v>
      </c>
      <c r="H83" t="s">
        <v>49</v>
      </c>
      <c r="I83" s="2">
        <v>4878.8</v>
      </c>
      <c r="J83" s="3">
        <v>2</v>
      </c>
      <c r="K83" s="2">
        <v>175.41</v>
      </c>
    </row>
    <row r="84" spans="1:11" x14ac:dyDescent="0.25">
      <c r="A84" s="4">
        <v>41681</v>
      </c>
      <c r="B84" s="3">
        <f>YEAR(SalesData[[#This Row],[Order Date]])</f>
        <v>2014</v>
      </c>
      <c r="C84" s="3">
        <f>MONTH(SalesData[[#This Row],[Order Date]])</f>
        <v>2</v>
      </c>
      <c r="D84" t="s">
        <v>9</v>
      </c>
      <c r="E84" t="s">
        <v>40</v>
      </c>
      <c r="F84" t="s">
        <v>11</v>
      </c>
      <c r="G84" t="s">
        <v>24</v>
      </c>
      <c r="H84" t="s">
        <v>25</v>
      </c>
      <c r="I84" s="2">
        <v>4953.01</v>
      </c>
      <c r="J84" s="3">
        <v>3</v>
      </c>
      <c r="K84" s="2">
        <v>46.51</v>
      </c>
    </row>
    <row r="85" spans="1:11" x14ac:dyDescent="0.25">
      <c r="A85" s="4">
        <v>41682</v>
      </c>
      <c r="B85" s="3">
        <f>YEAR(SalesData[[#This Row],[Order Date]])</f>
        <v>2014</v>
      </c>
      <c r="C85" s="3">
        <f>MONTH(SalesData[[#This Row],[Order Date]])</f>
        <v>2</v>
      </c>
      <c r="D85" t="s">
        <v>23</v>
      </c>
      <c r="E85" t="s">
        <v>60</v>
      </c>
      <c r="F85" t="s">
        <v>27</v>
      </c>
      <c r="G85" t="s">
        <v>32</v>
      </c>
      <c r="H85" t="s">
        <v>33</v>
      </c>
      <c r="I85" s="2">
        <v>750.03</v>
      </c>
      <c r="J85" s="3">
        <v>5</v>
      </c>
      <c r="K85" s="2">
        <v>133.18</v>
      </c>
    </row>
    <row r="86" spans="1:11" x14ac:dyDescent="0.25">
      <c r="A86" s="4">
        <v>41683</v>
      </c>
      <c r="B86" s="3">
        <f>YEAR(SalesData[[#This Row],[Order Date]])</f>
        <v>2014</v>
      </c>
      <c r="C86" s="3">
        <f>MONTH(SalesData[[#This Row],[Order Date]])</f>
        <v>2</v>
      </c>
      <c r="D86" t="s">
        <v>20</v>
      </c>
      <c r="E86" t="s">
        <v>10</v>
      </c>
      <c r="F86" t="s">
        <v>27</v>
      </c>
      <c r="G86" t="s">
        <v>48</v>
      </c>
      <c r="H86" t="s">
        <v>49</v>
      </c>
      <c r="I86" s="2">
        <v>4644.17</v>
      </c>
      <c r="J86" s="3">
        <v>9</v>
      </c>
      <c r="K86" s="2">
        <v>1164.68</v>
      </c>
    </row>
    <row r="87" spans="1:11" x14ac:dyDescent="0.25">
      <c r="A87" s="4">
        <v>41683</v>
      </c>
      <c r="B87" s="3">
        <f>YEAR(SalesData[[#This Row],[Order Date]])</f>
        <v>2014</v>
      </c>
      <c r="C87" s="3">
        <f>MONTH(SalesData[[#This Row],[Order Date]])</f>
        <v>2</v>
      </c>
      <c r="D87" t="s">
        <v>14</v>
      </c>
      <c r="E87" t="s">
        <v>60</v>
      </c>
      <c r="F87" t="s">
        <v>15</v>
      </c>
      <c r="G87" t="s">
        <v>38</v>
      </c>
      <c r="H87" t="s">
        <v>56</v>
      </c>
      <c r="I87" s="2">
        <v>1530.47</v>
      </c>
      <c r="J87" s="3">
        <v>3</v>
      </c>
      <c r="K87" s="2">
        <v>441.94</v>
      </c>
    </row>
    <row r="88" spans="1:11" x14ac:dyDescent="0.25">
      <c r="A88" s="4">
        <v>41683</v>
      </c>
      <c r="B88" s="3">
        <f>YEAR(SalesData[[#This Row],[Order Date]])</f>
        <v>2014</v>
      </c>
      <c r="C88" s="3">
        <f>MONTH(SalesData[[#This Row],[Order Date]])</f>
        <v>2</v>
      </c>
      <c r="D88" t="s">
        <v>30</v>
      </c>
      <c r="E88" t="s">
        <v>31</v>
      </c>
      <c r="F88" t="s">
        <v>11</v>
      </c>
      <c r="G88" t="s">
        <v>35</v>
      </c>
      <c r="H88" t="s">
        <v>70</v>
      </c>
      <c r="I88" s="2">
        <v>581.97</v>
      </c>
      <c r="J88" s="3">
        <v>8</v>
      </c>
      <c r="K88" s="2">
        <v>150.47</v>
      </c>
    </row>
    <row r="89" spans="1:11" x14ac:dyDescent="0.25">
      <c r="A89" s="4">
        <v>41684</v>
      </c>
      <c r="B89" s="3">
        <f>YEAR(SalesData[[#This Row],[Order Date]])</f>
        <v>2014</v>
      </c>
      <c r="C89" s="3">
        <f>MONTH(SalesData[[#This Row],[Order Date]])</f>
        <v>2</v>
      </c>
      <c r="D89" t="s">
        <v>50</v>
      </c>
      <c r="E89" t="s">
        <v>40</v>
      </c>
      <c r="F89" t="s">
        <v>15</v>
      </c>
      <c r="G89" t="s">
        <v>16</v>
      </c>
      <c r="H89" t="s">
        <v>17</v>
      </c>
      <c r="I89" s="2">
        <v>321.43</v>
      </c>
      <c r="J89" s="3">
        <v>3</v>
      </c>
      <c r="K89" s="2">
        <v>11.97</v>
      </c>
    </row>
    <row r="90" spans="1:11" x14ac:dyDescent="0.25">
      <c r="A90" s="4">
        <v>41685</v>
      </c>
      <c r="B90" s="3">
        <f>YEAR(SalesData[[#This Row],[Order Date]])</f>
        <v>2014</v>
      </c>
      <c r="C90" s="3">
        <f>MONTH(SalesData[[#This Row],[Order Date]])</f>
        <v>2</v>
      </c>
      <c r="D90" t="s">
        <v>50</v>
      </c>
      <c r="E90" t="s">
        <v>34</v>
      </c>
      <c r="F90" t="s">
        <v>15</v>
      </c>
      <c r="G90" t="s">
        <v>41</v>
      </c>
      <c r="H90" t="s">
        <v>42</v>
      </c>
      <c r="I90" s="2">
        <v>3177.87</v>
      </c>
      <c r="J90" s="3">
        <v>7</v>
      </c>
      <c r="K90" s="2">
        <v>547.36</v>
      </c>
    </row>
    <row r="91" spans="1:11" x14ac:dyDescent="0.25">
      <c r="A91" s="4">
        <v>41685</v>
      </c>
      <c r="B91" s="3">
        <f>YEAR(SalesData[[#This Row],[Order Date]])</f>
        <v>2014</v>
      </c>
      <c r="C91" s="3">
        <f>MONTH(SalesData[[#This Row],[Order Date]])</f>
        <v>2</v>
      </c>
      <c r="D91" t="s">
        <v>20</v>
      </c>
      <c r="E91" t="s">
        <v>37</v>
      </c>
      <c r="F91" t="s">
        <v>15</v>
      </c>
      <c r="G91" t="s">
        <v>45</v>
      </c>
      <c r="H91" t="s">
        <v>59</v>
      </c>
      <c r="I91" s="2">
        <v>1218.24</v>
      </c>
      <c r="J91" s="3">
        <v>3</v>
      </c>
      <c r="K91" s="2">
        <v>181.39</v>
      </c>
    </row>
    <row r="92" spans="1:11" x14ac:dyDescent="0.25">
      <c r="A92" s="4">
        <v>41686</v>
      </c>
      <c r="B92" s="3">
        <f>YEAR(SalesData[[#This Row],[Order Date]])</f>
        <v>2014</v>
      </c>
      <c r="C92" s="3">
        <f>MONTH(SalesData[[#This Row],[Order Date]])</f>
        <v>2</v>
      </c>
      <c r="D92" t="s">
        <v>43</v>
      </c>
      <c r="E92" t="s">
        <v>31</v>
      </c>
      <c r="F92" t="s">
        <v>15</v>
      </c>
      <c r="G92" t="s">
        <v>41</v>
      </c>
      <c r="H92" t="s">
        <v>61</v>
      </c>
      <c r="I92" s="2">
        <v>3777.82</v>
      </c>
      <c r="J92" s="3">
        <v>7</v>
      </c>
      <c r="K92" s="2">
        <v>1011.11</v>
      </c>
    </row>
    <row r="93" spans="1:11" x14ac:dyDescent="0.25">
      <c r="A93" s="4">
        <v>41687</v>
      </c>
      <c r="B93" s="3">
        <f>YEAR(SalesData[[#This Row],[Order Date]])</f>
        <v>2014</v>
      </c>
      <c r="C93" s="3">
        <f>MONTH(SalesData[[#This Row],[Order Date]])</f>
        <v>2</v>
      </c>
      <c r="D93" t="s">
        <v>47</v>
      </c>
      <c r="E93" t="s">
        <v>19</v>
      </c>
      <c r="F93" t="s">
        <v>15</v>
      </c>
      <c r="G93" t="s">
        <v>45</v>
      </c>
      <c r="H93" t="s">
        <v>46</v>
      </c>
      <c r="I93" s="2">
        <v>112.67</v>
      </c>
      <c r="J93" s="3">
        <v>9</v>
      </c>
      <c r="K93" s="2">
        <v>31.37</v>
      </c>
    </row>
    <row r="94" spans="1:11" x14ac:dyDescent="0.25">
      <c r="A94" s="4">
        <v>41687</v>
      </c>
      <c r="B94" s="3">
        <f>YEAR(SalesData[[#This Row],[Order Date]])</f>
        <v>2014</v>
      </c>
      <c r="C94" s="3">
        <f>MONTH(SalesData[[#This Row],[Order Date]])</f>
        <v>2</v>
      </c>
      <c r="D94" t="s">
        <v>30</v>
      </c>
      <c r="E94" t="s">
        <v>19</v>
      </c>
      <c r="F94" t="s">
        <v>15</v>
      </c>
      <c r="G94" t="s">
        <v>38</v>
      </c>
      <c r="H94" t="s">
        <v>56</v>
      </c>
      <c r="I94" s="2">
        <v>4452.3599999999997</v>
      </c>
      <c r="J94" s="3">
        <v>1</v>
      </c>
      <c r="K94" s="2">
        <v>275.02999999999997</v>
      </c>
    </row>
    <row r="95" spans="1:11" x14ac:dyDescent="0.25">
      <c r="A95" s="4">
        <v>41688</v>
      </c>
      <c r="B95" s="3">
        <f>YEAR(SalesData[[#This Row],[Order Date]])</f>
        <v>2014</v>
      </c>
      <c r="C95" s="3">
        <f>MONTH(SalesData[[#This Row],[Order Date]])</f>
        <v>2</v>
      </c>
      <c r="D95" t="s">
        <v>68</v>
      </c>
      <c r="E95" t="s">
        <v>40</v>
      </c>
      <c r="F95" t="s">
        <v>11</v>
      </c>
      <c r="G95" t="s">
        <v>24</v>
      </c>
      <c r="H95" t="s">
        <v>25</v>
      </c>
      <c r="I95" s="2">
        <v>2050.64</v>
      </c>
      <c r="J95" s="3">
        <v>4</v>
      </c>
      <c r="K95" s="2">
        <v>101.47</v>
      </c>
    </row>
    <row r="96" spans="1:11" x14ac:dyDescent="0.25">
      <c r="A96" s="4">
        <v>41688</v>
      </c>
      <c r="B96" s="3">
        <f>YEAR(SalesData[[#This Row],[Order Date]])</f>
        <v>2014</v>
      </c>
      <c r="C96" s="3">
        <f>MONTH(SalesData[[#This Row],[Order Date]])</f>
        <v>2</v>
      </c>
      <c r="D96" t="s">
        <v>68</v>
      </c>
      <c r="E96" t="s">
        <v>31</v>
      </c>
      <c r="F96" t="s">
        <v>27</v>
      </c>
      <c r="G96" t="s">
        <v>32</v>
      </c>
      <c r="H96" t="s">
        <v>53</v>
      </c>
      <c r="I96" s="2">
        <v>4980.4799999999996</v>
      </c>
      <c r="J96" s="3">
        <v>10</v>
      </c>
      <c r="K96" s="2">
        <v>1417.21</v>
      </c>
    </row>
    <row r="97" spans="1:11" x14ac:dyDescent="0.25">
      <c r="A97" s="4">
        <v>41689</v>
      </c>
      <c r="B97" s="3">
        <f>YEAR(SalesData[[#This Row],[Order Date]])</f>
        <v>2014</v>
      </c>
      <c r="C97" s="3">
        <f>MONTH(SalesData[[#This Row],[Order Date]])</f>
        <v>2</v>
      </c>
      <c r="D97" t="s">
        <v>30</v>
      </c>
      <c r="E97" t="s">
        <v>60</v>
      </c>
      <c r="F97" t="s">
        <v>15</v>
      </c>
      <c r="G97" t="s">
        <v>41</v>
      </c>
      <c r="H97" t="s">
        <v>42</v>
      </c>
      <c r="I97" s="2">
        <v>3890.78</v>
      </c>
      <c r="J97" s="3">
        <v>2</v>
      </c>
      <c r="K97" s="2">
        <v>1073.49</v>
      </c>
    </row>
    <row r="98" spans="1:11" x14ac:dyDescent="0.25">
      <c r="A98" s="4">
        <v>41692</v>
      </c>
      <c r="B98" s="3">
        <f>YEAR(SalesData[[#This Row],[Order Date]])</f>
        <v>2014</v>
      </c>
      <c r="C98" s="3">
        <f>MONTH(SalesData[[#This Row],[Order Date]])</f>
        <v>2</v>
      </c>
      <c r="D98" t="s">
        <v>23</v>
      </c>
      <c r="E98" t="s">
        <v>44</v>
      </c>
      <c r="F98" t="s">
        <v>27</v>
      </c>
      <c r="G98" t="s">
        <v>28</v>
      </c>
      <c r="H98" t="s">
        <v>29</v>
      </c>
      <c r="I98" s="2">
        <v>2924.05</v>
      </c>
      <c r="J98" s="3">
        <v>2</v>
      </c>
      <c r="K98" s="2">
        <v>77.5</v>
      </c>
    </row>
    <row r="99" spans="1:11" x14ac:dyDescent="0.25">
      <c r="A99" s="4">
        <v>41692</v>
      </c>
      <c r="B99" s="3">
        <f>YEAR(SalesData[[#This Row],[Order Date]])</f>
        <v>2014</v>
      </c>
      <c r="C99" s="3">
        <f>MONTH(SalesData[[#This Row],[Order Date]])</f>
        <v>2</v>
      </c>
      <c r="D99" t="s">
        <v>18</v>
      </c>
      <c r="E99" t="s">
        <v>44</v>
      </c>
      <c r="F99" t="s">
        <v>11</v>
      </c>
      <c r="G99" t="s">
        <v>24</v>
      </c>
      <c r="H99" t="s">
        <v>25</v>
      </c>
      <c r="I99" s="2">
        <v>268.27</v>
      </c>
      <c r="J99" s="3">
        <v>6</v>
      </c>
      <c r="K99" s="2">
        <v>59.66</v>
      </c>
    </row>
    <row r="100" spans="1:11" x14ac:dyDescent="0.25">
      <c r="A100" s="4">
        <v>41692</v>
      </c>
      <c r="B100" s="3">
        <f>YEAR(SalesData[[#This Row],[Order Date]])</f>
        <v>2014</v>
      </c>
      <c r="C100" s="3">
        <f>MONTH(SalesData[[#This Row],[Order Date]])</f>
        <v>2</v>
      </c>
      <c r="D100" t="s">
        <v>30</v>
      </c>
      <c r="E100" t="s">
        <v>37</v>
      </c>
      <c r="F100" t="s">
        <v>11</v>
      </c>
      <c r="G100" t="s">
        <v>21</v>
      </c>
      <c r="H100" t="s">
        <v>67</v>
      </c>
      <c r="I100" s="2">
        <v>4608.79</v>
      </c>
      <c r="J100" s="3">
        <v>8</v>
      </c>
      <c r="K100" s="2">
        <v>225.98</v>
      </c>
    </row>
    <row r="101" spans="1:11" x14ac:dyDescent="0.25">
      <c r="A101" s="4">
        <v>41693</v>
      </c>
      <c r="B101" s="3">
        <f>YEAR(SalesData[[#This Row],[Order Date]])</f>
        <v>2014</v>
      </c>
      <c r="C101" s="3">
        <f>MONTH(SalesData[[#This Row],[Order Date]])</f>
        <v>2</v>
      </c>
      <c r="D101" t="s">
        <v>62</v>
      </c>
      <c r="E101" t="s">
        <v>44</v>
      </c>
      <c r="F101" t="s">
        <v>15</v>
      </c>
      <c r="G101" t="s">
        <v>63</v>
      </c>
      <c r="H101" t="s">
        <v>64</v>
      </c>
      <c r="I101" s="2">
        <v>3979.9</v>
      </c>
      <c r="J101" s="3">
        <v>9</v>
      </c>
      <c r="K101" s="2">
        <v>1123.28</v>
      </c>
    </row>
    <row r="102" spans="1:11" x14ac:dyDescent="0.25">
      <c r="A102" s="4">
        <v>41694</v>
      </c>
      <c r="B102" s="3">
        <f>YEAR(SalesData[[#This Row],[Order Date]])</f>
        <v>2014</v>
      </c>
      <c r="C102" s="3">
        <f>MONTH(SalesData[[#This Row],[Order Date]])</f>
        <v>2</v>
      </c>
      <c r="D102" t="s">
        <v>20</v>
      </c>
      <c r="E102" t="s">
        <v>10</v>
      </c>
      <c r="F102" t="s">
        <v>15</v>
      </c>
      <c r="G102" t="s">
        <v>38</v>
      </c>
      <c r="H102" t="s">
        <v>56</v>
      </c>
      <c r="I102" s="2">
        <v>1214.1300000000001</v>
      </c>
      <c r="J102" s="3">
        <v>2</v>
      </c>
      <c r="K102" s="2">
        <v>51.08</v>
      </c>
    </row>
    <row r="103" spans="1:11" x14ac:dyDescent="0.25">
      <c r="A103" s="4">
        <v>41694</v>
      </c>
      <c r="B103" s="3">
        <f>YEAR(SalesData[[#This Row],[Order Date]])</f>
        <v>2014</v>
      </c>
      <c r="C103" s="3">
        <f>MONTH(SalesData[[#This Row],[Order Date]])</f>
        <v>2</v>
      </c>
      <c r="D103" t="s">
        <v>30</v>
      </c>
      <c r="E103" t="s">
        <v>40</v>
      </c>
      <c r="F103" t="s">
        <v>15</v>
      </c>
      <c r="G103" t="s">
        <v>63</v>
      </c>
      <c r="H103" t="s">
        <v>66</v>
      </c>
      <c r="I103" s="2">
        <v>464.3</v>
      </c>
      <c r="J103" s="3">
        <v>4</v>
      </c>
      <c r="K103" s="2">
        <v>98.08</v>
      </c>
    </row>
    <row r="104" spans="1:11" x14ac:dyDescent="0.25">
      <c r="A104" s="4">
        <v>41695</v>
      </c>
      <c r="B104" s="3">
        <f>YEAR(SalesData[[#This Row],[Order Date]])</f>
        <v>2014</v>
      </c>
      <c r="C104" s="3">
        <f>MONTH(SalesData[[#This Row],[Order Date]])</f>
        <v>2</v>
      </c>
      <c r="D104" t="s">
        <v>14</v>
      </c>
      <c r="E104" t="s">
        <v>34</v>
      </c>
      <c r="F104" t="s">
        <v>11</v>
      </c>
      <c r="G104" t="s">
        <v>12</v>
      </c>
      <c r="H104" t="s">
        <v>13</v>
      </c>
      <c r="I104" s="2">
        <v>1941.78</v>
      </c>
      <c r="J104" s="3">
        <v>8</v>
      </c>
      <c r="K104" s="2">
        <v>572.66999999999996</v>
      </c>
    </row>
    <row r="105" spans="1:11" x14ac:dyDescent="0.25">
      <c r="A105" s="4">
        <v>41696</v>
      </c>
      <c r="B105" s="3">
        <f>YEAR(SalesData[[#This Row],[Order Date]])</f>
        <v>2014</v>
      </c>
      <c r="C105" s="3">
        <f>MONTH(SalesData[[#This Row],[Order Date]])</f>
        <v>2</v>
      </c>
      <c r="D105" t="s">
        <v>47</v>
      </c>
      <c r="E105" t="s">
        <v>60</v>
      </c>
      <c r="F105" t="s">
        <v>27</v>
      </c>
      <c r="G105" t="s">
        <v>48</v>
      </c>
      <c r="H105" t="s">
        <v>57</v>
      </c>
      <c r="I105" s="2">
        <v>4731.5200000000004</v>
      </c>
      <c r="J105" s="3">
        <v>3</v>
      </c>
      <c r="K105" s="2">
        <v>1340.17</v>
      </c>
    </row>
    <row r="106" spans="1:11" x14ac:dyDescent="0.25">
      <c r="A106" s="4">
        <v>41696</v>
      </c>
      <c r="B106" s="3">
        <f>YEAR(SalesData[[#This Row],[Order Date]])</f>
        <v>2014</v>
      </c>
      <c r="C106" s="3">
        <f>MONTH(SalesData[[#This Row],[Order Date]])</f>
        <v>2</v>
      </c>
      <c r="D106" t="s">
        <v>62</v>
      </c>
      <c r="E106" t="s">
        <v>10</v>
      </c>
      <c r="F106" t="s">
        <v>27</v>
      </c>
      <c r="G106" t="s">
        <v>32</v>
      </c>
      <c r="H106" t="s">
        <v>33</v>
      </c>
      <c r="I106" s="2">
        <v>3366.22</v>
      </c>
      <c r="J106" s="3">
        <v>9</v>
      </c>
      <c r="K106" s="2">
        <v>673.27</v>
      </c>
    </row>
    <row r="107" spans="1:11" x14ac:dyDescent="0.25">
      <c r="A107" s="4">
        <v>41697</v>
      </c>
      <c r="B107" s="3">
        <f>YEAR(SalesData[[#This Row],[Order Date]])</f>
        <v>2014</v>
      </c>
      <c r="C107" s="3">
        <f>MONTH(SalesData[[#This Row],[Order Date]])</f>
        <v>2</v>
      </c>
      <c r="D107" t="s">
        <v>9</v>
      </c>
      <c r="E107" t="s">
        <v>26</v>
      </c>
      <c r="F107" t="s">
        <v>27</v>
      </c>
      <c r="G107" t="s">
        <v>32</v>
      </c>
      <c r="H107" t="s">
        <v>53</v>
      </c>
      <c r="I107" s="2">
        <v>2166.79</v>
      </c>
      <c r="J107" s="3">
        <v>4</v>
      </c>
      <c r="K107" s="2">
        <v>233.84</v>
      </c>
    </row>
    <row r="108" spans="1:11" x14ac:dyDescent="0.25">
      <c r="A108" s="4">
        <v>41697</v>
      </c>
      <c r="B108" s="3">
        <f>YEAR(SalesData[[#This Row],[Order Date]])</f>
        <v>2014</v>
      </c>
      <c r="C108" s="3">
        <f>MONTH(SalesData[[#This Row],[Order Date]])</f>
        <v>2</v>
      </c>
      <c r="D108" t="s">
        <v>20</v>
      </c>
      <c r="E108" t="s">
        <v>52</v>
      </c>
      <c r="F108" t="s">
        <v>11</v>
      </c>
      <c r="G108" t="s">
        <v>21</v>
      </c>
      <c r="H108" t="s">
        <v>22</v>
      </c>
      <c r="I108" s="2">
        <v>1554.98</v>
      </c>
      <c r="J108" s="3">
        <v>9</v>
      </c>
      <c r="K108" s="2">
        <v>313.70999999999998</v>
      </c>
    </row>
    <row r="109" spans="1:11" x14ac:dyDescent="0.25">
      <c r="A109" s="4">
        <v>41697</v>
      </c>
      <c r="B109" s="3">
        <f>YEAR(SalesData[[#This Row],[Order Date]])</f>
        <v>2014</v>
      </c>
      <c r="C109" s="3">
        <f>MONTH(SalesData[[#This Row],[Order Date]])</f>
        <v>2</v>
      </c>
      <c r="D109" t="s">
        <v>23</v>
      </c>
      <c r="E109" t="s">
        <v>60</v>
      </c>
      <c r="F109" t="s">
        <v>27</v>
      </c>
      <c r="G109" t="s">
        <v>48</v>
      </c>
      <c r="H109" t="s">
        <v>49</v>
      </c>
      <c r="I109" s="2">
        <v>4831.71</v>
      </c>
      <c r="J109" s="3">
        <v>7</v>
      </c>
      <c r="K109" s="2">
        <v>178.32</v>
      </c>
    </row>
    <row r="110" spans="1:11" x14ac:dyDescent="0.25">
      <c r="A110" s="4">
        <v>41698</v>
      </c>
      <c r="B110" s="3">
        <f>YEAR(SalesData[[#This Row],[Order Date]])</f>
        <v>2014</v>
      </c>
      <c r="C110" s="3">
        <f>MONTH(SalesData[[#This Row],[Order Date]])</f>
        <v>2</v>
      </c>
      <c r="D110" t="s">
        <v>55</v>
      </c>
      <c r="E110" t="s">
        <v>60</v>
      </c>
      <c r="F110" t="s">
        <v>27</v>
      </c>
      <c r="G110" t="s">
        <v>28</v>
      </c>
      <c r="H110" t="s">
        <v>69</v>
      </c>
      <c r="I110" s="2">
        <v>1934.66</v>
      </c>
      <c r="J110" s="3">
        <v>9</v>
      </c>
      <c r="K110" s="2">
        <v>138.69999999999999</v>
      </c>
    </row>
    <row r="111" spans="1:11" x14ac:dyDescent="0.25">
      <c r="A111" s="4">
        <v>41698</v>
      </c>
      <c r="B111" s="3">
        <f>YEAR(SalesData[[#This Row],[Order Date]])</f>
        <v>2014</v>
      </c>
      <c r="C111" s="3">
        <f>MONTH(SalesData[[#This Row],[Order Date]])</f>
        <v>2</v>
      </c>
      <c r="D111" t="s">
        <v>47</v>
      </c>
      <c r="E111" t="s">
        <v>52</v>
      </c>
      <c r="F111" t="s">
        <v>27</v>
      </c>
      <c r="G111" t="s">
        <v>32</v>
      </c>
      <c r="H111" t="s">
        <v>33</v>
      </c>
      <c r="I111" s="2">
        <v>1189.74</v>
      </c>
      <c r="J111" s="3">
        <v>4</v>
      </c>
      <c r="K111" s="2">
        <v>309.49</v>
      </c>
    </row>
    <row r="112" spans="1:11" x14ac:dyDescent="0.25">
      <c r="A112" s="4">
        <v>41698</v>
      </c>
      <c r="B112" s="3">
        <f>YEAR(SalesData[[#This Row],[Order Date]])</f>
        <v>2014</v>
      </c>
      <c r="C112" s="3">
        <f>MONTH(SalesData[[#This Row],[Order Date]])</f>
        <v>2</v>
      </c>
      <c r="D112" t="s">
        <v>55</v>
      </c>
      <c r="E112" t="s">
        <v>10</v>
      </c>
      <c r="F112" t="s">
        <v>11</v>
      </c>
      <c r="G112" t="s">
        <v>35</v>
      </c>
      <c r="H112" t="s">
        <v>36</v>
      </c>
      <c r="I112" s="2">
        <v>4356.58</v>
      </c>
      <c r="J112" s="3">
        <v>7</v>
      </c>
      <c r="K112" s="2">
        <v>1015.26</v>
      </c>
    </row>
    <row r="113" spans="1:11" x14ac:dyDescent="0.25">
      <c r="A113" s="4">
        <v>41699</v>
      </c>
      <c r="B113" s="3">
        <f>YEAR(SalesData[[#This Row],[Order Date]])</f>
        <v>2014</v>
      </c>
      <c r="C113" s="3">
        <f>MONTH(SalesData[[#This Row],[Order Date]])</f>
        <v>3</v>
      </c>
      <c r="D113" t="s">
        <v>23</v>
      </c>
      <c r="E113" t="s">
        <v>52</v>
      </c>
      <c r="F113" t="s">
        <v>15</v>
      </c>
      <c r="G113" t="s">
        <v>41</v>
      </c>
      <c r="H113" t="s">
        <v>42</v>
      </c>
      <c r="I113" s="2">
        <v>137.66999999999999</v>
      </c>
      <c r="J113" s="3">
        <v>8</v>
      </c>
      <c r="K113" s="2">
        <v>32.65</v>
      </c>
    </row>
    <row r="114" spans="1:11" x14ac:dyDescent="0.25">
      <c r="A114" s="4">
        <v>41701</v>
      </c>
      <c r="B114" s="3">
        <f>YEAR(SalesData[[#This Row],[Order Date]])</f>
        <v>2014</v>
      </c>
      <c r="C114" s="3">
        <f>MONTH(SalesData[[#This Row],[Order Date]])</f>
        <v>3</v>
      </c>
      <c r="D114" t="s">
        <v>47</v>
      </c>
      <c r="E114" t="s">
        <v>19</v>
      </c>
      <c r="F114" t="s">
        <v>15</v>
      </c>
      <c r="G114" t="s">
        <v>38</v>
      </c>
      <c r="H114" t="s">
        <v>39</v>
      </c>
      <c r="I114" s="2">
        <v>2234.0100000000002</v>
      </c>
      <c r="J114" s="3">
        <v>8</v>
      </c>
      <c r="K114" s="2">
        <v>583.41</v>
      </c>
    </row>
    <row r="115" spans="1:11" x14ac:dyDescent="0.25">
      <c r="A115" s="4">
        <v>41702</v>
      </c>
      <c r="B115" s="3">
        <f>YEAR(SalesData[[#This Row],[Order Date]])</f>
        <v>2014</v>
      </c>
      <c r="C115" s="3">
        <f>MONTH(SalesData[[#This Row],[Order Date]])</f>
        <v>3</v>
      </c>
      <c r="D115" t="s">
        <v>18</v>
      </c>
      <c r="E115" t="s">
        <v>52</v>
      </c>
      <c r="F115" t="s">
        <v>15</v>
      </c>
      <c r="G115" t="s">
        <v>45</v>
      </c>
      <c r="H115" t="s">
        <v>59</v>
      </c>
      <c r="I115" s="2">
        <v>3517.26</v>
      </c>
      <c r="J115" s="3">
        <v>9</v>
      </c>
      <c r="K115" s="2">
        <v>297.66000000000003</v>
      </c>
    </row>
    <row r="116" spans="1:11" x14ac:dyDescent="0.25">
      <c r="A116" s="4">
        <v>41702</v>
      </c>
      <c r="B116" s="3">
        <f>YEAR(SalesData[[#This Row],[Order Date]])</f>
        <v>2014</v>
      </c>
      <c r="C116" s="3">
        <f>MONTH(SalesData[[#This Row],[Order Date]])</f>
        <v>3</v>
      </c>
      <c r="D116" t="s">
        <v>47</v>
      </c>
      <c r="E116" t="s">
        <v>19</v>
      </c>
      <c r="F116" t="s">
        <v>15</v>
      </c>
      <c r="G116" t="s">
        <v>38</v>
      </c>
      <c r="H116" t="s">
        <v>56</v>
      </c>
      <c r="I116" s="2">
        <v>398.55</v>
      </c>
      <c r="J116" s="3">
        <v>2</v>
      </c>
      <c r="K116" s="2">
        <v>40.11</v>
      </c>
    </row>
    <row r="117" spans="1:11" x14ac:dyDescent="0.25">
      <c r="A117" s="4">
        <v>41702</v>
      </c>
      <c r="B117" s="3">
        <f>YEAR(SalesData[[#This Row],[Order Date]])</f>
        <v>2014</v>
      </c>
      <c r="C117" s="3">
        <f>MONTH(SalesData[[#This Row],[Order Date]])</f>
        <v>3</v>
      </c>
      <c r="D117" t="s">
        <v>23</v>
      </c>
      <c r="E117" t="s">
        <v>60</v>
      </c>
      <c r="F117" t="s">
        <v>15</v>
      </c>
      <c r="G117" t="s">
        <v>63</v>
      </c>
      <c r="H117" t="s">
        <v>66</v>
      </c>
      <c r="I117" s="2">
        <v>1179.0899999999999</v>
      </c>
      <c r="J117" s="3">
        <v>1</v>
      </c>
      <c r="K117" s="2">
        <v>47.46</v>
      </c>
    </row>
    <row r="118" spans="1:11" x14ac:dyDescent="0.25">
      <c r="A118" s="4">
        <v>41703</v>
      </c>
      <c r="B118" s="3">
        <f>YEAR(SalesData[[#This Row],[Order Date]])</f>
        <v>2014</v>
      </c>
      <c r="C118" s="3">
        <f>MONTH(SalesData[[#This Row],[Order Date]])</f>
        <v>3</v>
      </c>
      <c r="D118" t="s">
        <v>55</v>
      </c>
      <c r="E118" t="s">
        <v>44</v>
      </c>
      <c r="F118" t="s">
        <v>11</v>
      </c>
      <c r="G118" t="s">
        <v>24</v>
      </c>
      <c r="H118" t="s">
        <v>54</v>
      </c>
      <c r="I118" s="2">
        <v>425.12</v>
      </c>
      <c r="J118" s="3">
        <v>3</v>
      </c>
      <c r="K118" s="2">
        <v>8.57</v>
      </c>
    </row>
    <row r="119" spans="1:11" x14ac:dyDescent="0.25">
      <c r="A119" s="4">
        <v>41703</v>
      </c>
      <c r="B119" s="3">
        <f>YEAR(SalesData[[#This Row],[Order Date]])</f>
        <v>2014</v>
      </c>
      <c r="C119" s="3">
        <f>MONTH(SalesData[[#This Row],[Order Date]])</f>
        <v>3</v>
      </c>
      <c r="D119" t="s">
        <v>43</v>
      </c>
      <c r="E119" t="s">
        <v>60</v>
      </c>
      <c r="F119" t="s">
        <v>11</v>
      </c>
      <c r="G119" t="s">
        <v>21</v>
      </c>
      <c r="H119" t="s">
        <v>22</v>
      </c>
      <c r="I119" s="2">
        <v>4805.46</v>
      </c>
      <c r="J119" s="3">
        <v>10</v>
      </c>
      <c r="K119" s="2">
        <v>1294.1600000000001</v>
      </c>
    </row>
    <row r="120" spans="1:11" x14ac:dyDescent="0.25">
      <c r="A120" s="4">
        <v>41704</v>
      </c>
      <c r="B120" s="3">
        <f>YEAR(SalesData[[#This Row],[Order Date]])</f>
        <v>2014</v>
      </c>
      <c r="C120" s="3">
        <f>MONTH(SalesData[[#This Row],[Order Date]])</f>
        <v>3</v>
      </c>
      <c r="D120" t="s">
        <v>14</v>
      </c>
      <c r="E120" t="s">
        <v>19</v>
      </c>
      <c r="F120" t="s">
        <v>11</v>
      </c>
      <c r="G120" t="s">
        <v>12</v>
      </c>
      <c r="H120" t="s">
        <v>65</v>
      </c>
      <c r="I120" s="2">
        <v>3803.67</v>
      </c>
      <c r="J120" s="3">
        <v>10</v>
      </c>
      <c r="K120" s="2">
        <v>255.36</v>
      </c>
    </row>
    <row r="121" spans="1:11" x14ac:dyDescent="0.25">
      <c r="A121" s="4">
        <v>41704</v>
      </c>
      <c r="B121" s="3">
        <f>YEAR(SalesData[[#This Row],[Order Date]])</f>
        <v>2014</v>
      </c>
      <c r="C121" s="3">
        <f>MONTH(SalesData[[#This Row],[Order Date]])</f>
        <v>3</v>
      </c>
      <c r="D121" t="s">
        <v>62</v>
      </c>
      <c r="E121" t="s">
        <v>31</v>
      </c>
      <c r="F121" t="s">
        <v>27</v>
      </c>
      <c r="G121" t="s">
        <v>32</v>
      </c>
      <c r="H121" t="s">
        <v>53</v>
      </c>
      <c r="I121" s="2">
        <v>4853.8599999999997</v>
      </c>
      <c r="J121" s="3">
        <v>5</v>
      </c>
      <c r="K121" s="2">
        <v>1364.74</v>
      </c>
    </row>
    <row r="122" spans="1:11" x14ac:dyDescent="0.25">
      <c r="A122" s="4">
        <v>41705</v>
      </c>
      <c r="B122" s="3">
        <f>YEAR(SalesData[[#This Row],[Order Date]])</f>
        <v>2014</v>
      </c>
      <c r="C122" s="3">
        <f>MONTH(SalesData[[#This Row],[Order Date]])</f>
        <v>3</v>
      </c>
      <c r="D122" t="s">
        <v>68</v>
      </c>
      <c r="E122" t="s">
        <v>37</v>
      </c>
      <c r="F122" t="s">
        <v>27</v>
      </c>
      <c r="G122" t="s">
        <v>48</v>
      </c>
      <c r="H122" t="s">
        <v>49</v>
      </c>
      <c r="I122" s="2">
        <v>2422.1799999999998</v>
      </c>
      <c r="J122" s="3">
        <v>2</v>
      </c>
      <c r="K122" s="2">
        <v>680.87</v>
      </c>
    </row>
    <row r="123" spans="1:11" x14ac:dyDescent="0.25">
      <c r="A123" s="4">
        <v>41705</v>
      </c>
      <c r="B123" s="3">
        <f>YEAR(SalesData[[#This Row],[Order Date]])</f>
        <v>2014</v>
      </c>
      <c r="C123" s="3">
        <f>MONTH(SalesData[[#This Row],[Order Date]])</f>
        <v>3</v>
      </c>
      <c r="D123" t="s">
        <v>62</v>
      </c>
      <c r="E123" t="s">
        <v>40</v>
      </c>
      <c r="F123" t="s">
        <v>15</v>
      </c>
      <c r="G123" t="s">
        <v>45</v>
      </c>
      <c r="H123" t="s">
        <v>59</v>
      </c>
      <c r="I123" s="2">
        <v>3091.42</v>
      </c>
      <c r="J123" s="3">
        <v>7</v>
      </c>
      <c r="K123" s="2">
        <v>660.21</v>
      </c>
    </row>
    <row r="124" spans="1:11" x14ac:dyDescent="0.25">
      <c r="A124" s="4">
        <v>41705</v>
      </c>
      <c r="B124" s="3">
        <f>YEAR(SalesData[[#This Row],[Order Date]])</f>
        <v>2014</v>
      </c>
      <c r="C124" s="3">
        <f>MONTH(SalesData[[#This Row],[Order Date]])</f>
        <v>3</v>
      </c>
      <c r="D124" t="s">
        <v>20</v>
      </c>
      <c r="E124" t="s">
        <v>37</v>
      </c>
      <c r="F124" t="s">
        <v>15</v>
      </c>
      <c r="G124" t="s">
        <v>38</v>
      </c>
      <c r="H124" t="s">
        <v>56</v>
      </c>
      <c r="I124" s="2">
        <v>4829.9399999999996</v>
      </c>
      <c r="J124" s="3">
        <v>7</v>
      </c>
      <c r="K124" s="2">
        <v>169.04</v>
      </c>
    </row>
    <row r="125" spans="1:11" x14ac:dyDescent="0.25">
      <c r="A125" s="4">
        <v>41705</v>
      </c>
      <c r="B125" s="3">
        <f>YEAR(SalesData[[#This Row],[Order Date]])</f>
        <v>2014</v>
      </c>
      <c r="C125" s="3">
        <f>MONTH(SalesData[[#This Row],[Order Date]])</f>
        <v>3</v>
      </c>
      <c r="D125" t="s">
        <v>62</v>
      </c>
      <c r="E125" t="s">
        <v>10</v>
      </c>
      <c r="F125" t="s">
        <v>15</v>
      </c>
      <c r="G125" t="s">
        <v>45</v>
      </c>
      <c r="H125" t="s">
        <v>59</v>
      </c>
      <c r="I125" s="2">
        <v>1411.39</v>
      </c>
      <c r="J125" s="3">
        <v>5</v>
      </c>
      <c r="K125" s="2">
        <v>145.49</v>
      </c>
    </row>
    <row r="126" spans="1:11" x14ac:dyDescent="0.25">
      <c r="A126" s="4">
        <v>41706</v>
      </c>
      <c r="B126" s="3">
        <f>YEAR(SalesData[[#This Row],[Order Date]])</f>
        <v>2014</v>
      </c>
      <c r="C126" s="3">
        <f>MONTH(SalesData[[#This Row],[Order Date]])</f>
        <v>3</v>
      </c>
      <c r="D126" t="s">
        <v>30</v>
      </c>
      <c r="E126" t="s">
        <v>26</v>
      </c>
      <c r="F126" t="s">
        <v>27</v>
      </c>
      <c r="G126" t="s">
        <v>48</v>
      </c>
      <c r="H126" t="s">
        <v>49</v>
      </c>
      <c r="I126" s="2">
        <v>2191.2399999999998</v>
      </c>
      <c r="J126" s="3">
        <v>5</v>
      </c>
      <c r="K126" s="2">
        <v>471.63</v>
      </c>
    </row>
    <row r="127" spans="1:11" x14ac:dyDescent="0.25">
      <c r="A127" s="4">
        <v>41707</v>
      </c>
      <c r="B127" s="3">
        <f>YEAR(SalesData[[#This Row],[Order Date]])</f>
        <v>2014</v>
      </c>
      <c r="C127" s="3">
        <f>MONTH(SalesData[[#This Row],[Order Date]])</f>
        <v>3</v>
      </c>
      <c r="D127" t="s">
        <v>23</v>
      </c>
      <c r="E127" t="s">
        <v>60</v>
      </c>
      <c r="F127" t="s">
        <v>27</v>
      </c>
      <c r="G127" t="s">
        <v>32</v>
      </c>
      <c r="H127" t="s">
        <v>33</v>
      </c>
      <c r="I127" s="2">
        <v>2829.03</v>
      </c>
      <c r="J127" s="3">
        <v>4</v>
      </c>
      <c r="K127" s="2">
        <v>712.85</v>
      </c>
    </row>
    <row r="128" spans="1:11" x14ac:dyDescent="0.25">
      <c r="A128" s="4">
        <v>41708</v>
      </c>
      <c r="B128" s="3">
        <f>YEAR(SalesData[[#This Row],[Order Date]])</f>
        <v>2014</v>
      </c>
      <c r="C128" s="3">
        <f>MONTH(SalesData[[#This Row],[Order Date]])</f>
        <v>3</v>
      </c>
      <c r="D128" t="s">
        <v>62</v>
      </c>
      <c r="E128" t="s">
        <v>19</v>
      </c>
      <c r="F128" t="s">
        <v>11</v>
      </c>
      <c r="G128" t="s">
        <v>24</v>
      </c>
      <c r="H128" t="s">
        <v>54</v>
      </c>
      <c r="I128" s="2">
        <v>2492.11</v>
      </c>
      <c r="J128" s="3">
        <v>5</v>
      </c>
      <c r="K128" s="2">
        <v>255.86</v>
      </c>
    </row>
    <row r="129" spans="1:11" x14ac:dyDescent="0.25">
      <c r="A129" s="4">
        <v>41708</v>
      </c>
      <c r="B129" s="3">
        <f>YEAR(SalesData[[#This Row],[Order Date]])</f>
        <v>2014</v>
      </c>
      <c r="C129" s="3">
        <f>MONTH(SalesData[[#This Row],[Order Date]])</f>
        <v>3</v>
      </c>
      <c r="D129" t="s">
        <v>30</v>
      </c>
      <c r="E129" t="s">
        <v>52</v>
      </c>
      <c r="F129" t="s">
        <v>27</v>
      </c>
      <c r="G129" t="s">
        <v>28</v>
      </c>
      <c r="H129" t="s">
        <v>58</v>
      </c>
      <c r="I129" s="2">
        <v>1121.68</v>
      </c>
      <c r="J129" s="3">
        <v>5</v>
      </c>
      <c r="K129" s="2">
        <v>205.11</v>
      </c>
    </row>
    <row r="130" spans="1:11" x14ac:dyDescent="0.25">
      <c r="A130" s="4">
        <v>41709</v>
      </c>
      <c r="B130" s="3">
        <f>YEAR(SalesData[[#This Row],[Order Date]])</f>
        <v>2014</v>
      </c>
      <c r="C130" s="3">
        <f>MONTH(SalesData[[#This Row],[Order Date]])</f>
        <v>3</v>
      </c>
      <c r="D130" t="s">
        <v>68</v>
      </c>
      <c r="E130" t="s">
        <v>40</v>
      </c>
      <c r="F130" t="s">
        <v>11</v>
      </c>
      <c r="G130" t="s">
        <v>35</v>
      </c>
      <c r="H130" t="s">
        <v>70</v>
      </c>
      <c r="I130" s="2">
        <v>2997.11</v>
      </c>
      <c r="J130" s="3">
        <v>6</v>
      </c>
      <c r="K130" s="2">
        <v>361.22</v>
      </c>
    </row>
    <row r="131" spans="1:11" x14ac:dyDescent="0.25">
      <c r="A131" s="4">
        <v>41709</v>
      </c>
      <c r="B131" s="3">
        <f>YEAR(SalesData[[#This Row],[Order Date]])</f>
        <v>2014</v>
      </c>
      <c r="C131" s="3">
        <f>MONTH(SalesData[[#This Row],[Order Date]])</f>
        <v>3</v>
      </c>
      <c r="D131" t="s">
        <v>23</v>
      </c>
      <c r="E131" t="s">
        <v>19</v>
      </c>
      <c r="F131" t="s">
        <v>15</v>
      </c>
      <c r="G131" t="s">
        <v>45</v>
      </c>
      <c r="H131" t="s">
        <v>46</v>
      </c>
      <c r="I131" s="2">
        <v>1543.34</v>
      </c>
      <c r="J131" s="3">
        <v>3</v>
      </c>
      <c r="K131" s="2">
        <v>184.17</v>
      </c>
    </row>
    <row r="132" spans="1:11" x14ac:dyDescent="0.25">
      <c r="A132" s="4">
        <v>41710</v>
      </c>
      <c r="B132" s="3">
        <f>YEAR(SalesData[[#This Row],[Order Date]])</f>
        <v>2014</v>
      </c>
      <c r="C132" s="3">
        <f>MONTH(SalesData[[#This Row],[Order Date]])</f>
        <v>3</v>
      </c>
      <c r="D132" t="s">
        <v>14</v>
      </c>
      <c r="E132" t="s">
        <v>26</v>
      </c>
      <c r="F132" t="s">
        <v>11</v>
      </c>
      <c r="G132" t="s">
        <v>24</v>
      </c>
      <c r="H132" t="s">
        <v>25</v>
      </c>
      <c r="I132" s="2">
        <v>548</v>
      </c>
      <c r="J132" s="3">
        <v>1</v>
      </c>
      <c r="K132" s="2">
        <v>119.11</v>
      </c>
    </row>
    <row r="133" spans="1:11" x14ac:dyDescent="0.25">
      <c r="A133" s="4">
        <v>41710</v>
      </c>
      <c r="B133" s="3">
        <f>YEAR(SalesData[[#This Row],[Order Date]])</f>
        <v>2014</v>
      </c>
      <c r="C133" s="3">
        <f>MONTH(SalesData[[#This Row],[Order Date]])</f>
        <v>3</v>
      </c>
      <c r="D133" t="s">
        <v>62</v>
      </c>
      <c r="E133" t="s">
        <v>26</v>
      </c>
      <c r="F133" t="s">
        <v>11</v>
      </c>
      <c r="G133" t="s">
        <v>24</v>
      </c>
      <c r="H133" t="s">
        <v>54</v>
      </c>
      <c r="I133" s="2">
        <v>2070.2800000000002</v>
      </c>
      <c r="J133" s="3">
        <v>2</v>
      </c>
      <c r="K133" s="2">
        <v>504.16</v>
      </c>
    </row>
    <row r="134" spans="1:11" x14ac:dyDescent="0.25">
      <c r="A134" s="4">
        <v>41710</v>
      </c>
      <c r="B134" s="3">
        <f>YEAR(SalesData[[#This Row],[Order Date]])</f>
        <v>2014</v>
      </c>
      <c r="C134" s="3">
        <f>MONTH(SalesData[[#This Row],[Order Date]])</f>
        <v>3</v>
      </c>
      <c r="D134" t="s">
        <v>55</v>
      </c>
      <c r="E134" t="s">
        <v>10</v>
      </c>
      <c r="F134" t="s">
        <v>27</v>
      </c>
      <c r="G134" t="s">
        <v>48</v>
      </c>
      <c r="H134" t="s">
        <v>49</v>
      </c>
      <c r="I134" s="2">
        <v>1331.61</v>
      </c>
      <c r="J134" s="3">
        <v>9</v>
      </c>
      <c r="K134" s="2">
        <v>203.23</v>
      </c>
    </row>
    <row r="135" spans="1:11" x14ac:dyDescent="0.25">
      <c r="A135" s="4">
        <v>41711</v>
      </c>
      <c r="B135" s="3">
        <f>YEAR(SalesData[[#This Row],[Order Date]])</f>
        <v>2014</v>
      </c>
      <c r="C135" s="3">
        <f>MONTH(SalesData[[#This Row],[Order Date]])</f>
        <v>3</v>
      </c>
      <c r="D135" t="s">
        <v>68</v>
      </c>
      <c r="E135" t="s">
        <v>10</v>
      </c>
      <c r="F135" t="s">
        <v>27</v>
      </c>
      <c r="G135" t="s">
        <v>48</v>
      </c>
      <c r="H135" t="s">
        <v>49</v>
      </c>
      <c r="I135" s="2">
        <v>4994.7700000000004</v>
      </c>
      <c r="J135" s="3">
        <v>3</v>
      </c>
      <c r="K135" s="2">
        <v>890.99</v>
      </c>
    </row>
    <row r="136" spans="1:11" x14ac:dyDescent="0.25">
      <c r="A136" s="4">
        <v>41711</v>
      </c>
      <c r="B136" s="3">
        <f>YEAR(SalesData[[#This Row],[Order Date]])</f>
        <v>2014</v>
      </c>
      <c r="C136" s="3">
        <f>MONTH(SalesData[[#This Row],[Order Date]])</f>
        <v>3</v>
      </c>
      <c r="D136" t="s">
        <v>47</v>
      </c>
      <c r="E136" t="s">
        <v>31</v>
      </c>
      <c r="F136" t="s">
        <v>15</v>
      </c>
      <c r="G136" t="s">
        <v>41</v>
      </c>
      <c r="H136" t="s">
        <v>42</v>
      </c>
      <c r="I136" s="2">
        <v>3930.03</v>
      </c>
      <c r="J136" s="3">
        <v>6</v>
      </c>
      <c r="K136" s="2">
        <v>244.14</v>
      </c>
    </row>
    <row r="137" spans="1:11" x14ac:dyDescent="0.25">
      <c r="A137" s="4">
        <v>41711</v>
      </c>
      <c r="B137" s="3">
        <f>YEAR(SalesData[[#This Row],[Order Date]])</f>
        <v>2014</v>
      </c>
      <c r="C137" s="3">
        <f>MONTH(SalesData[[#This Row],[Order Date]])</f>
        <v>3</v>
      </c>
      <c r="D137" t="s">
        <v>20</v>
      </c>
      <c r="E137" t="s">
        <v>44</v>
      </c>
      <c r="F137" t="s">
        <v>27</v>
      </c>
      <c r="G137" t="s">
        <v>28</v>
      </c>
      <c r="H137" t="s">
        <v>69</v>
      </c>
      <c r="I137" s="2">
        <v>3391.23</v>
      </c>
      <c r="J137" s="3">
        <v>1</v>
      </c>
      <c r="K137" s="2">
        <v>753.85</v>
      </c>
    </row>
    <row r="138" spans="1:11" x14ac:dyDescent="0.25">
      <c r="A138" s="4">
        <v>41712</v>
      </c>
      <c r="B138" s="3">
        <f>YEAR(SalesData[[#This Row],[Order Date]])</f>
        <v>2014</v>
      </c>
      <c r="C138" s="3">
        <f>MONTH(SalesData[[#This Row],[Order Date]])</f>
        <v>3</v>
      </c>
      <c r="D138" t="s">
        <v>20</v>
      </c>
      <c r="E138" t="s">
        <v>52</v>
      </c>
      <c r="F138" t="s">
        <v>11</v>
      </c>
      <c r="G138" t="s">
        <v>12</v>
      </c>
      <c r="H138" t="s">
        <v>13</v>
      </c>
      <c r="I138" s="2">
        <v>620.08000000000004</v>
      </c>
      <c r="J138" s="3">
        <v>9</v>
      </c>
      <c r="K138" s="2">
        <v>96.33</v>
      </c>
    </row>
    <row r="139" spans="1:11" x14ac:dyDescent="0.25">
      <c r="A139" s="4">
        <v>41713</v>
      </c>
      <c r="B139" s="3">
        <f>YEAR(SalesData[[#This Row],[Order Date]])</f>
        <v>2014</v>
      </c>
      <c r="C139" s="3">
        <f>MONTH(SalesData[[#This Row],[Order Date]])</f>
        <v>3</v>
      </c>
      <c r="D139" t="s">
        <v>68</v>
      </c>
      <c r="E139" t="s">
        <v>52</v>
      </c>
      <c r="F139" t="s">
        <v>15</v>
      </c>
      <c r="G139" t="s">
        <v>63</v>
      </c>
      <c r="H139" t="s">
        <v>64</v>
      </c>
      <c r="I139" s="2">
        <v>4803.67</v>
      </c>
      <c r="J139" s="3">
        <v>3</v>
      </c>
      <c r="K139" s="2">
        <v>946.15</v>
      </c>
    </row>
    <row r="140" spans="1:11" x14ac:dyDescent="0.25">
      <c r="A140" s="4">
        <v>41713</v>
      </c>
      <c r="B140" s="3">
        <f>YEAR(SalesData[[#This Row],[Order Date]])</f>
        <v>2014</v>
      </c>
      <c r="C140" s="3">
        <f>MONTH(SalesData[[#This Row],[Order Date]])</f>
        <v>3</v>
      </c>
      <c r="D140" t="s">
        <v>30</v>
      </c>
      <c r="E140" t="s">
        <v>52</v>
      </c>
      <c r="F140" t="s">
        <v>27</v>
      </c>
      <c r="G140" t="s">
        <v>32</v>
      </c>
      <c r="H140" t="s">
        <v>33</v>
      </c>
      <c r="I140" s="2">
        <v>3164.4</v>
      </c>
      <c r="J140" s="3">
        <v>9</v>
      </c>
      <c r="K140" s="2">
        <v>262.33</v>
      </c>
    </row>
    <row r="141" spans="1:11" x14ac:dyDescent="0.25">
      <c r="A141" s="4">
        <v>41714</v>
      </c>
      <c r="B141" s="3">
        <f>YEAR(SalesData[[#This Row],[Order Date]])</f>
        <v>2014</v>
      </c>
      <c r="C141" s="3">
        <f>MONTH(SalesData[[#This Row],[Order Date]])</f>
        <v>3</v>
      </c>
      <c r="D141" t="s">
        <v>47</v>
      </c>
      <c r="E141" t="s">
        <v>10</v>
      </c>
      <c r="F141" t="s">
        <v>15</v>
      </c>
      <c r="G141" t="s">
        <v>38</v>
      </c>
      <c r="H141" t="s">
        <v>39</v>
      </c>
      <c r="I141" s="2">
        <v>3506.05</v>
      </c>
      <c r="J141" s="3">
        <v>7</v>
      </c>
      <c r="K141" s="2">
        <v>428.04</v>
      </c>
    </row>
    <row r="142" spans="1:11" x14ac:dyDescent="0.25">
      <c r="A142" s="4">
        <v>41714</v>
      </c>
      <c r="B142" s="3">
        <f>YEAR(SalesData[[#This Row],[Order Date]])</f>
        <v>2014</v>
      </c>
      <c r="C142" s="3">
        <f>MONTH(SalesData[[#This Row],[Order Date]])</f>
        <v>3</v>
      </c>
      <c r="D142" t="s">
        <v>50</v>
      </c>
      <c r="E142" t="s">
        <v>31</v>
      </c>
      <c r="F142" t="s">
        <v>15</v>
      </c>
      <c r="G142" t="s">
        <v>41</v>
      </c>
      <c r="H142" t="s">
        <v>42</v>
      </c>
      <c r="I142" s="2">
        <v>4168.41</v>
      </c>
      <c r="J142" s="3">
        <v>8</v>
      </c>
      <c r="K142" s="2">
        <v>251.41</v>
      </c>
    </row>
    <row r="143" spans="1:11" x14ac:dyDescent="0.25">
      <c r="A143" s="4">
        <v>41714</v>
      </c>
      <c r="B143" s="3">
        <f>YEAR(SalesData[[#This Row],[Order Date]])</f>
        <v>2014</v>
      </c>
      <c r="C143" s="3">
        <f>MONTH(SalesData[[#This Row],[Order Date]])</f>
        <v>3</v>
      </c>
      <c r="D143" t="s">
        <v>55</v>
      </c>
      <c r="E143" t="s">
        <v>10</v>
      </c>
      <c r="F143" t="s">
        <v>27</v>
      </c>
      <c r="G143" t="s">
        <v>48</v>
      </c>
      <c r="H143" t="s">
        <v>49</v>
      </c>
      <c r="I143" s="2">
        <v>4284.93</v>
      </c>
      <c r="J143" s="3">
        <v>1</v>
      </c>
      <c r="K143" s="2">
        <v>395.23</v>
      </c>
    </row>
    <row r="144" spans="1:11" x14ac:dyDescent="0.25">
      <c r="A144" s="4">
        <v>41715</v>
      </c>
      <c r="B144" s="3">
        <f>YEAR(SalesData[[#This Row],[Order Date]])</f>
        <v>2014</v>
      </c>
      <c r="C144" s="3">
        <f>MONTH(SalesData[[#This Row],[Order Date]])</f>
        <v>3</v>
      </c>
      <c r="D144" t="s">
        <v>23</v>
      </c>
      <c r="E144" t="s">
        <v>44</v>
      </c>
      <c r="F144" t="s">
        <v>11</v>
      </c>
      <c r="G144" t="s">
        <v>35</v>
      </c>
      <c r="H144" t="s">
        <v>36</v>
      </c>
      <c r="I144" s="2">
        <v>1997.17</v>
      </c>
      <c r="J144" s="3">
        <v>1</v>
      </c>
      <c r="K144" s="2">
        <v>81.99</v>
      </c>
    </row>
    <row r="145" spans="1:11" x14ac:dyDescent="0.25">
      <c r="A145" s="4">
        <v>41715</v>
      </c>
      <c r="B145" s="3">
        <f>YEAR(SalesData[[#This Row],[Order Date]])</f>
        <v>2014</v>
      </c>
      <c r="C145" s="3">
        <f>MONTH(SalesData[[#This Row],[Order Date]])</f>
        <v>3</v>
      </c>
      <c r="D145" t="s">
        <v>43</v>
      </c>
      <c r="E145" t="s">
        <v>31</v>
      </c>
      <c r="F145" t="s">
        <v>11</v>
      </c>
      <c r="G145" t="s">
        <v>21</v>
      </c>
      <c r="H145" t="s">
        <v>67</v>
      </c>
      <c r="I145" s="2">
        <v>624.37</v>
      </c>
      <c r="J145" s="3">
        <v>3</v>
      </c>
      <c r="K145" s="2">
        <v>67.17</v>
      </c>
    </row>
    <row r="146" spans="1:11" x14ac:dyDescent="0.25">
      <c r="A146" s="4">
        <v>41718</v>
      </c>
      <c r="B146" s="3">
        <f>YEAR(SalesData[[#This Row],[Order Date]])</f>
        <v>2014</v>
      </c>
      <c r="C146" s="3">
        <f>MONTH(SalesData[[#This Row],[Order Date]])</f>
        <v>3</v>
      </c>
      <c r="D146" t="s">
        <v>20</v>
      </c>
      <c r="E146" t="s">
        <v>52</v>
      </c>
      <c r="F146" t="s">
        <v>11</v>
      </c>
      <c r="G146" t="s">
        <v>24</v>
      </c>
      <c r="H146" t="s">
        <v>54</v>
      </c>
      <c r="I146" s="2">
        <v>3337.34</v>
      </c>
      <c r="J146" s="3">
        <v>9</v>
      </c>
      <c r="K146" s="2">
        <v>429.02</v>
      </c>
    </row>
    <row r="147" spans="1:11" x14ac:dyDescent="0.25">
      <c r="A147" s="4">
        <v>41718</v>
      </c>
      <c r="B147" s="3">
        <f>YEAR(SalesData[[#This Row],[Order Date]])</f>
        <v>2014</v>
      </c>
      <c r="C147" s="3">
        <f>MONTH(SalesData[[#This Row],[Order Date]])</f>
        <v>3</v>
      </c>
      <c r="D147" t="s">
        <v>18</v>
      </c>
      <c r="E147" t="s">
        <v>44</v>
      </c>
      <c r="F147" t="s">
        <v>11</v>
      </c>
      <c r="G147" t="s">
        <v>12</v>
      </c>
      <c r="H147" t="s">
        <v>13</v>
      </c>
      <c r="I147" s="2">
        <v>2913.84</v>
      </c>
      <c r="J147" s="3">
        <v>4</v>
      </c>
      <c r="K147" s="2">
        <v>552.65</v>
      </c>
    </row>
    <row r="148" spans="1:11" x14ac:dyDescent="0.25">
      <c r="A148" s="4">
        <v>41720</v>
      </c>
      <c r="B148" s="3">
        <f>YEAR(SalesData[[#This Row],[Order Date]])</f>
        <v>2014</v>
      </c>
      <c r="C148" s="3">
        <f>MONTH(SalesData[[#This Row],[Order Date]])</f>
        <v>3</v>
      </c>
      <c r="D148" t="s">
        <v>68</v>
      </c>
      <c r="E148" t="s">
        <v>31</v>
      </c>
      <c r="F148" t="s">
        <v>11</v>
      </c>
      <c r="G148" t="s">
        <v>24</v>
      </c>
      <c r="H148" t="s">
        <v>54</v>
      </c>
      <c r="I148" s="2">
        <v>3581.94</v>
      </c>
      <c r="J148" s="3">
        <v>8</v>
      </c>
      <c r="K148" s="2">
        <v>951.24</v>
      </c>
    </row>
    <row r="149" spans="1:11" x14ac:dyDescent="0.25">
      <c r="A149" s="4">
        <v>41720</v>
      </c>
      <c r="B149" s="3">
        <f>YEAR(SalesData[[#This Row],[Order Date]])</f>
        <v>2014</v>
      </c>
      <c r="C149" s="3">
        <f>MONTH(SalesData[[#This Row],[Order Date]])</f>
        <v>3</v>
      </c>
      <c r="D149" t="s">
        <v>55</v>
      </c>
      <c r="E149" t="s">
        <v>37</v>
      </c>
      <c r="F149" t="s">
        <v>11</v>
      </c>
      <c r="G149" t="s">
        <v>21</v>
      </c>
      <c r="H149" t="s">
        <v>67</v>
      </c>
      <c r="I149" s="2">
        <v>2782.17</v>
      </c>
      <c r="J149" s="3">
        <v>2</v>
      </c>
      <c r="K149" s="2">
        <v>429.22</v>
      </c>
    </row>
    <row r="150" spans="1:11" x14ac:dyDescent="0.25">
      <c r="A150" s="4">
        <v>41722</v>
      </c>
      <c r="B150" s="3">
        <f>YEAR(SalesData[[#This Row],[Order Date]])</f>
        <v>2014</v>
      </c>
      <c r="C150" s="3">
        <f>MONTH(SalesData[[#This Row],[Order Date]])</f>
        <v>3</v>
      </c>
      <c r="D150" t="s">
        <v>18</v>
      </c>
      <c r="E150" t="s">
        <v>10</v>
      </c>
      <c r="F150" t="s">
        <v>11</v>
      </c>
      <c r="G150" t="s">
        <v>35</v>
      </c>
      <c r="H150" t="s">
        <v>71</v>
      </c>
      <c r="I150" s="2">
        <v>4045.29</v>
      </c>
      <c r="J150" s="3">
        <v>6</v>
      </c>
      <c r="K150" s="2">
        <v>788.89</v>
      </c>
    </row>
    <row r="151" spans="1:11" x14ac:dyDescent="0.25">
      <c r="A151" s="4">
        <v>41723</v>
      </c>
      <c r="B151" s="3">
        <f>YEAR(SalesData[[#This Row],[Order Date]])</f>
        <v>2014</v>
      </c>
      <c r="C151" s="3">
        <f>MONTH(SalesData[[#This Row],[Order Date]])</f>
        <v>3</v>
      </c>
      <c r="D151" t="s">
        <v>20</v>
      </c>
      <c r="E151" t="s">
        <v>34</v>
      </c>
      <c r="F151" t="s">
        <v>11</v>
      </c>
      <c r="G151" t="s">
        <v>12</v>
      </c>
      <c r="H151" t="s">
        <v>13</v>
      </c>
      <c r="I151" s="2">
        <v>1087.22</v>
      </c>
      <c r="J151" s="3">
        <v>6</v>
      </c>
      <c r="K151" s="2">
        <v>281.87</v>
      </c>
    </row>
    <row r="152" spans="1:11" x14ac:dyDescent="0.25">
      <c r="A152" s="4">
        <v>41723</v>
      </c>
      <c r="B152" s="3">
        <f>YEAR(SalesData[[#This Row],[Order Date]])</f>
        <v>2014</v>
      </c>
      <c r="C152" s="3">
        <f>MONTH(SalesData[[#This Row],[Order Date]])</f>
        <v>3</v>
      </c>
      <c r="D152" t="s">
        <v>47</v>
      </c>
      <c r="E152" t="s">
        <v>52</v>
      </c>
      <c r="F152" t="s">
        <v>27</v>
      </c>
      <c r="G152" t="s">
        <v>32</v>
      </c>
      <c r="H152" t="s">
        <v>33</v>
      </c>
      <c r="I152" s="2">
        <v>4146.46</v>
      </c>
      <c r="J152" s="3">
        <v>5</v>
      </c>
      <c r="K152" s="2">
        <v>377.91</v>
      </c>
    </row>
    <row r="153" spans="1:11" x14ac:dyDescent="0.25">
      <c r="A153" s="4">
        <v>41724</v>
      </c>
      <c r="B153" s="3">
        <f>YEAR(SalesData[[#This Row],[Order Date]])</f>
        <v>2014</v>
      </c>
      <c r="C153" s="3">
        <f>MONTH(SalesData[[#This Row],[Order Date]])</f>
        <v>3</v>
      </c>
      <c r="D153" t="s">
        <v>47</v>
      </c>
      <c r="E153" t="s">
        <v>60</v>
      </c>
      <c r="F153" t="s">
        <v>11</v>
      </c>
      <c r="G153" t="s">
        <v>35</v>
      </c>
      <c r="H153" t="s">
        <v>70</v>
      </c>
      <c r="I153" s="2">
        <v>2747.28</v>
      </c>
      <c r="J153" s="3">
        <v>8</v>
      </c>
      <c r="K153" s="2">
        <v>198.77</v>
      </c>
    </row>
    <row r="154" spans="1:11" x14ac:dyDescent="0.25">
      <c r="A154" s="4">
        <v>41724</v>
      </c>
      <c r="B154" s="3">
        <f>YEAR(SalesData[[#This Row],[Order Date]])</f>
        <v>2014</v>
      </c>
      <c r="C154" s="3">
        <f>MONTH(SalesData[[#This Row],[Order Date]])</f>
        <v>3</v>
      </c>
      <c r="D154" t="s">
        <v>68</v>
      </c>
      <c r="E154" t="s">
        <v>31</v>
      </c>
      <c r="F154" t="s">
        <v>15</v>
      </c>
      <c r="G154" t="s">
        <v>41</v>
      </c>
      <c r="H154" t="s">
        <v>61</v>
      </c>
      <c r="I154" s="2">
        <v>3613.92</v>
      </c>
      <c r="J154" s="3">
        <v>1</v>
      </c>
      <c r="K154" s="2">
        <v>491.3</v>
      </c>
    </row>
    <row r="155" spans="1:11" x14ac:dyDescent="0.25">
      <c r="A155" s="4">
        <v>41725</v>
      </c>
      <c r="B155" s="3">
        <f>YEAR(SalesData[[#This Row],[Order Date]])</f>
        <v>2014</v>
      </c>
      <c r="C155" s="3">
        <f>MONTH(SalesData[[#This Row],[Order Date]])</f>
        <v>3</v>
      </c>
      <c r="D155" t="s">
        <v>23</v>
      </c>
      <c r="E155" t="s">
        <v>40</v>
      </c>
      <c r="F155" t="s">
        <v>27</v>
      </c>
      <c r="G155" t="s">
        <v>28</v>
      </c>
      <c r="H155" t="s">
        <v>29</v>
      </c>
      <c r="I155" s="2">
        <v>2242.0700000000002</v>
      </c>
      <c r="J155" s="3">
        <v>5</v>
      </c>
      <c r="K155" s="2">
        <v>188.26</v>
      </c>
    </row>
    <row r="156" spans="1:11" x14ac:dyDescent="0.25">
      <c r="A156" s="4">
        <v>41727</v>
      </c>
      <c r="B156" s="3">
        <f>YEAR(SalesData[[#This Row],[Order Date]])</f>
        <v>2014</v>
      </c>
      <c r="C156" s="3">
        <f>MONTH(SalesData[[#This Row],[Order Date]])</f>
        <v>3</v>
      </c>
      <c r="D156" t="s">
        <v>43</v>
      </c>
      <c r="E156" t="s">
        <v>52</v>
      </c>
      <c r="F156" t="s">
        <v>27</v>
      </c>
      <c r="G156" t="s">
        <v>32</v>
      </c>
      <c r="H156" t="s">
        <v>53</v>
      </c>
      <c r="I156" s="2">
        <v>2211.75</v>
      </c>
      <c r="J156" s="3">
        <v>10</v>
      </c>
      <c r="K156" s="2">
        <v>215.12</v>
      </c>
    </row>
    <row r="157" spans="1:11" x14ac:dyDescent="0.25">
      <c r="A157" s="4">
        <v>41728</v>
      </c>
      <c r="B157" s="3">
        <f>YEAR(SalesData[[#This Row],[Order Date]])</f>
        <v>2014</v>
      </c>
      <c r="C157" s="3">
        <f>MONTH(SalesData[[#This Row],[Order Date]])</f>
        <v>3</v>
      </c>
      <c r="D157" t="s">
        <v>30</v>
      </c>
      <c r="E157" t="s">
        <v>10</v>
      </c>
      <c r="F157" t="s">
        <v>27</v>
      </c>
      <c r="G157" t="s">
        <v>28</v>
      </c>
      <c r="H157" t="s">
        <v>69</v>
      </c>
      <c r="I157" s="2">
        <v>1522.93</v>
      </c>
      <c r="J157" s="3">
        <v>7</v>
      </c>
      <c r="K157" s="2">
        <v>46.51</v>
      </c>
    </row>
    <row r="158" spans="1:11" x14ac:dyDescent="0.25">
      <c r="A158" s="4">
        <v>41728</v>
      </c>
      <c r="B158" s="3">
        <f>YEAR(SalesData[[#This Row],[Order Date]])</f>
        <v>2014</v>
      </c>
      <c r="C158" s="3">
        <f>MONTH(SalesData[[#This Row],[Order Date]])</f>
        <v>3</v>
      </c>
      <c r="D158" t="s">
        <v>62</v>
      </c>
      <c r="E158" t="s">
        <v>10</v>
      </c>
      <c r="F158" t="s">
        <v>27</v>
      </c>
      <c r="G158" t="s">
        <v>48</v>
      </c>
      <c r="H158" t="s">
        <v>49</v>
      </c>
      <c r="I158" s="2">
        <v>2742.05</v>
      </c>
      <c r="J158" s="3">
        <v>7</v>
      </c>
      <c r="K158" s="2">
        <v>305.29000000000002</v>
      </c>
    </row>
    <row r="159" spans="1:11" x14ac:dyDescent="0.25">
      <c r="A159" s="4">
        <v>41728</v>
      </c>
      <c r="B159" s="3">
        <f>YEAR(SalesData[[#This Row],[Order Date]])</f>
        <v>2014</v>
      </c>
      <c r="C159" s="3">
        <f>MONTH(SalesData[[#This Row],[Order Date]])</f>
        <v>3</v>
      </c>
      <c r="D159" t="s">
        <v>62</v>
      </c>
      <c r="E159" t="s">
        <v>26</v>
      </c>
      <c r="F159" t="s">
        <v>27</v>
      </c>
      <c r="G159" t="s">
        <v>28</v>
      </c>
      <c r="H159" t="s">
        <v>29</v>
      </c>
      <c r="I159" s="2">
        <v>1380.9</v>
      </c>
      <c r="J159" s="3">
        <v>2</v>
      </c>
      <c r="K159" s="2">
        <v>388.31</v>
      </c>
    </row>
    <row r="160" spans="1:11" x14ac:dyDescent="0.25">
      <c r="A160" s="4">
        <v>41729</v>
      </c>
      <c r="B160" s="3">
        <f>YEAR(SalesData[[#This Row],[Order Date]])</f>
        <v>2014</v>
      </c>
      <c r="C160" s="3">
        <f>MONTH(SalesData[[#This Row],[Order Date]])</f>
        <v>3</v>
      </c>
      <c r="D160" t="s">
        <v>47</v>
      </c>
      <c r="E160" t="s">
        <v>60</v>
      </c>
      <c r="F160" t="s">
        <v>15</v>
      </c>
      <c r="G160" t="s">
        <v>41</v>
      </c>
      <c r="H160" t="s">
        <v>61</v>
      </c>
      <c r="I160" s="2">
        <v>4410.88</v>
      </c>
      <c r="J160" s="3">
        <v>8</v>
      </c>
      <c r="K160" s="2">
        <v>414.3</v>
      </c>
    </row>
    <row r="161" spans="1:11" x14ac:dyDescent="0.25">
      <c r="A161" s="4">
        <v>41729</v>
      </c>
      <c r="B161" s="3">
        <f>YEAR(SalesData[[#This Row],[Order Date]])</f>
        <v>2014</v>
      </c>
      <c r="C161" s="3">
        <f>MONTH(SalesData[[#This Row],[Order Date]])</f>
        <v>3</v>
      </c>
      <c r="D161" t="s">
        <v>62</v>
      </c>
      <c r="E161" t="s">
        <v>19</v>
      </c>
      <c r="F161" t="s">
        <v>11</v>
      </c>
      <c r="G161" t="s">
        <v>35</v>
      </c>
      <c r="H161" t="s">
        <v>36</v>
      </c>
      <c r="I161" s="2">
        <v>2081.5700000000002</v>
      </c>
      <c r="J161" s="3">
        <v>5</v>
      </c>
      <c r="K161" s="2">
        <v>579.85</v>
      </c>
    </row>
    <row r="162" spans="1:11" x14ac:dyDescent="0.25">
      <c r="A162" s="4">
        <v>41730</v>
      </c>
      <c r="B162" s="3">
        <f>YEAR(SalesData[[#This Row],[Order Date]])</f>
        <v>2014</v>
      </c>
      <c r="C162" s="3">
        <f>MONTH(SalesData[[#This Row],[Order Date]])</f>
        <v>4</v>
      </c>
      <c r="D162" t="s">
        <v>23</v>
      </c>
      <c r="E162" t="s">
        <v>52</v>
      </c>
      <c r="F162" t="s">
        <v>15</v>
      </c>
      <c r="G162" t="s">
        <v>63</v>
      </c>
      <c r="H162" t="s">
        <v>64</v>
      </c>
      <c r="I162" s="2">
        <v>3603.41</v>
      </c>
      <c r="J162" s="3">
        <v>4</v>
      </c>
      <c r="K162" s="2">
        <v>248.22</v>
      </c>
    </row>
    <row r="163" spans="1:11" x14ac:dyDescent="0.25">
      <c r="A163" s="4">
        <v>41731</v>
      </c>
      <c r="B163" s="3">
        <f>YEAR(SalesData[[#This Row],[Order Date]])</f>
        <v>2014</v>
      </c>
      <c r="C163" s="3">
        <f>MONTH(SalesData[[#This Row],[Order Date]])</f>
        <v>4</v>
      </c>
      <c r="D163" t="s">
        <v>43</v>
      </c>
      <c r="E163" t="s">
        <v>26</v>
      </c>
      <c r="F163" t="s">
        <v>11</v>
      </c>
      <c r="G163" t="s">
        <v>12</v>
      </c>
      <c r="H163" t="s">
        <v>13</v>
      </c>
      <c r="I163" s="2">
        <v>3735.23</v>
      </c>
      <c r="J163" s="3">
        <v>1</v>
      </c>
      <c r="K163" s="2">
        <v>114.15</v>
      </c>
    </row>
    <row r="164" spans="1:11" x14ac:dyDescent="0.25">
      <c r="A164" s="4">
        <v>41732</v>
      </c>
      <c r="B164" s="3">
        <f>YEAR(SalesData[[#This Row],[Order Date]])</f>
        <v>2014</v>
      </c>
      <c r="C164" s="3">
        <f>MONTH(SalesData[[#This Row],[Order Date]])</f>
        <v>4</v>
      </c>
      <c r="D164" t="s">
        <v>14</v>
      </c>
      <c r="E164" t="s">
        <v>10</v>
      </c>
      <c r="F164" t="s">
        <v>15</v>
      </c>
      <c r="G164" t="s">
        <v>16</v>
      </c>
      <c r="H164" t="s">
        <v>17</v>
      </c>
      <c r="I164" s="2">
        <v>4361.33</v>
      </c>
      <c r="J164" s="3">
        <v>5</v>
      </c>
      <c r="K164" s="2">
        <v>1180.48</v>
      </c>
    </row>
    <row r="165" spans="1:11" x14ac:dyDescent="0.25">
      <c r="A165" s="4">
        <v>41732</v>
      </c>
      <c r="B165" s="3">
        <f>YEAR(SalesData[[#This Row],[Order Date]])</f>
        <v>2014</v>
      </c>
      <c r="C165" s="3">
        <f>MONTH(SalesData[[#This Row],[Order Date]])</f>
        <v>4</v>
      </c>
      <c r="D165" t="s">
        <v>30</v>
      </c>
      <c r="E165" t="s">
        <v>10</v>
      </c>
      <c r="F165" t="s">
        <v>15</v>
      </c>
      <c r="G165" t="s">
        <v>38</v>
      </c>
      <c r="H165" t="s">
        <v>39</v>
      </c>
      <c r="I165" s="2">
        <v>3166.84</v>
      </c>
      <c r="J165" s="3">
        <v>8</v>
      </c>
      <c r="K165" s="2">
        <v>546.52</v>
      </c>
    </row>
    <row r="166" spans="1:11" x14ac:dyDescent="0.25">
      <c r="A166" s="4">
        <v>41732</v>
      </c>
      <c r="B166" s="3">
        <f>YEAR(SalesData[[#This Row],[Order Date]])</f>
        <v>2014</v>
      </c>
      <c r="C166" s="3">
        <f>MONTH(SalesData[[#This Row],[Order Date]])</f>
        <v>4</v>
      </c>
      <c r="D166" t="s">
        <v>50</v>
      </c>
      <c r="E166" t="s">
        <v>31</v>
      </c>
      <c r="F166" t="s">
        <v>11</v>
      </c>
      <c r="G166" t="s">
        <v>24</v>
      </c>
      <c r="H166" t="s">
        <v>54</v>
      </c>
      <c r="I166" s="2">
        <v>3507.33</v>
      </c>
      <c r="J166" s="3">
        <v>8</v>
      </c>
      <c r="K166" s="2">
        <v>699.68</v>
      </c>
    </row>
    <row r="167" spans="1:11" x14ac:dyDescent="0.25">
      <c r="A167" s="4">
        <v>41732</v>
      </c>
      <c r="B167" s="3">
        <f>YEAR(SalesData[[#This Row],[Order Date]])</f>
        <v>2014</v>
      </c>
      <c r="C167" s="3">
        <f>MONTH(SalesData[[#This Row],[Order Date]])</f>
        <v>4</v>
      </c>
      <c r="D167" t="s">
        <v>50</v>
      </c>
      <c r="E167" t="s">
        <v>44</v>
      </c>
      <c r="F167" t="s">
        <v>11</v>
      </c>
      <c r="G167" t="s">
        <v>35</v>
      </c>
      <c r="H167" t="s">
        <v>36</v>
      </c>
      <c r="I167" s="2">
        <v>4821.17</v>
      </c>
      <c r="J167" s="3">
        <v>6</v>
      </c>
      <c r="K167" s="2">
        <v>427.27</v>
      </c>
    </row>
    <row r="168" spans="1:11" x14ac:dyDescent="0.25">
      <c r="A168" s="4">
        <v>41732</v>
      </c>
      <c r="B168" s="3">
        <f>YEAR(SalesData[[#This Row],[Order Date]])</f>
        <v>2014</v>
      </c>
      <c r="C168" s="3">
        <f>MONTH(SalesData[[#This Row],[Order Date]])</f>
        <v>4</v>
      </c>
      <c r="D168" t="s">
        <v>68</v>
      </c>
      <c r="E168" t="s">
        <v>52</v>
      </c>
      <c r="F168" t="s">
        <v>15</v>
      </c>
      <c r="G168" t="s">
        <v>38</v>
      </c>
      <c r="H168" t="s">
        <v>56</v>
      </c>
      <c r="I168" s="2">
        <v>1891.96</v>
      </c>
      <c r="J168" s="3">
        <v>7</v>
      </c>
      <c r="K168" s="2">
        <v>223.11</v>
      </c>
    </row>
    <row r="169" spans="1:11" x14ac:dyDescent="0.25">
      <c r="A169" s="4">
        <v>41735</v>
      </c>
      <c r="B169" s="3">
        <f>YEAR(SalesData[[#This Row],[Order Date]])</f>
        <v>2014</v>
      </c>
      <c r="C169" s="3">
        <f>MONTH(SalesData[[#This Row],[Order Date]])</f>
        <v>4</v>
      </c>
      <c r="D169" t="s">
        <v>68</v>
      </c>
      <c r="E169" t="s">
        <v>44</v>
      </c>
      <c r="F169" t="s">
        <v>27</v>
      </c>
      <c r="G169" t="s">
        <v>48</v>
      </c>
      <c r="H169" t="s">
        <v>57</v>
      </c>
      <c r="I169" s="2">
        <v>1221.1400000000001</v>
      </c>
      <c r="J169" s="3">
        <v>7</v>
      </c>
      <c r="K169" s="2">
        <v>338.28</v>
      </c>
    </row>
    <row r="170" spans="1:11" x14ac:dyDescent="0.25">
      <c r="A170" s="4">
        <v>41735</v>
      </c>
      <c r="B170" s="3">
        <f>YEAR(SalesData[[#This Row],[Order Date]])</f>
        <v>2014</v>
      </c>
      <c r="C170" s="3">
        <f>MONTH(SalesData[[#This Row],[Order Date]])</f>
        <v>4</v>
      </c>
      <c r="D170" t="s">
        <v>14</v>
      </c>
      <c r="E170" t="s">
        <v>34</v>
      </c>
      <c r="F170" t="s">
        <v>11</v>
      </c>
      <c r="G170" t="s">
        <v>35</v>
      </c>
      <c r="H170" t="s">
        <v>36</v>
      </c>
      <c r="I170" s="2">
        <v>2871.64</v>
      </c>
      <c r="J170" s="3">
        <v>7</v>
      </c>
      <c r="K170" s="2">
        <v>480.02</v>
      </c>
    </row>
    <row r="171" spans="1:11" x14ac:dyDescent="0.25">
      <c r="A171" s="4">
        <v>41737</v>
      </c>
      <c r="B171" s="3">
        <f>YEAR(SalesData[[#This Row],[Order Date]])</f>
        <v>2014</v>
      </c>
      <c r="C171" s="3">
        <f>MONTH(SalesData[[#This Row],[Order Date]])</f>
        <v>4</v>
      </c>
      <c r="D171" t="s">
        <v>47</v>
      </c>
      <c r="E171" t="s">
        <v>34</v>
      </c>
      <c r="F171" t="s">
        <v>27</v>
      </c>
      <c r="G171" t="s">
        <v>48</v>
      </c>
      <c r="H171" t="s">
        <v>49</v>
      </c>
      <c r="I171" s="2">
        <v>4581.05</v>
      </c>
      <c r="J171" s="3">
        <v>6</v>
      </c>
      <c r="K171" s="2">
        <v>856.64</v>
      </c>
    </row>
    <row r="172" spans="1:11" x14ac:dyDescent="0.25">
      <c r="A172" s="4">
        <v>41737</v>
      </c>
      <c r="B172" s="3">
        <f>YEAR(SalesData[[#This Row],[Order Date]])</f>
        <v>2014</v>
      </c>
      <c r="C172" s="3">
        <f>MONTH(SalesData[[#This Row],[Order Date]])</f>
        <v>4</v>
      </c>
      <c r="D172" t="s">
        <v>62</v>
      </c>
      <c r="E172" t="s">
        <v>52</v>
      </c>
      <c r="F172" t="s">
        <v>27</v>
      </c>
      <c r="G172" t="s">
        <v>28</v>
      </c>
      <c r="H172" t="s">
        <v>29</v>
      </c>
      <c r="I172" s="2">
        <v>4988.0600000000004</v>
      </c>
      <c r="J172" s="3">
        <v>3</v>
      </c>
      <c r="K172" s="2">
        <v>941.7</v>
      </c>
    </row>
    <row r="173" spans="1:11" x14ac:dyDescent="0.25">
      <c r="A173" s="4">
        <v>41738</v>
      </c>
      <c r="B173" s="3">
        <f>YEAR(SalesData[[#This Row],[Order Date]])</f>
        <v>2014</v>
      </c>
      <c r="C173" s="3">
        <f>MONTH(SalesData[[#This Row],[Order Date]])</f>
        <v>4</v>
      </c>
      <c r="D173" t="s">
        <v>30</v>
      </c>
      <c r="E173" t="s">
        <v>44</v>
      </c>
      <c r="F173" t="s">
        <v>27</v>
      </c>
      <c r="G173" t="s">
        <v>48</v>
      </c>
      <c r="H173" t="s">
        <v>49</v>
      </c>
      <c r="I173" s="2">
        <v>21.6</v>
      </c>
      <c r="J173" s="3">
        <v>7</v>
      </c>
      <c r="K173" s="2">
        <v>3.86</v>
      </c>
    </row>
    <row r="174" spans="1:11" x14ac:dyDescent="0.25">
      <c r="A174" s="4">
        <v>41738</v>
      </c>
      <c r="B174" s="3">
        <f>YEAR(SalesData[[#This Row],[Order Date]])</f>
        <v>2014</v>
      </c>
      <c r="C174" s="3">
        <f>MONTH(SalesData[[#This Row],[Order Date]])</f>
        <v>4</v>
      </c>
      <c r="D174" t="s">
        <v>50</v>
      </c>
      <c r="E174" t="s">
        <v>44</v>
      </c>
      <c r="F174" t="s">
        <v>27</v>
      </c>
      <c r="G174" t="s">
        <v>48</v>
      </c>
      <c r="H174" t="s">
        <v>57</v>
      </c>
      <c r="I174" s="2">
        <v>128.01</v>
      </c>
      <c r="J174" s="3">
        <v>2</v>
      </c>
      <c r="K174" s="2">
        <v>27.45</v>
      </c>
    </row>
    <row r="175" spans="1:11" x14ac:dyDescent="0.25">
      <c r="A175" s="4">
        <v>41739</v>
      </c>
      <c r="B175" s="3">
        <f>YEAR(SalesData[[#This Row],[Order Date]])</f>
        <v>2014</v>
      </c>
      <c r="C175" s="3">
        <f>MONTH(SalesData[[#This Row],[Order Date]])</f>
        <v>4</v>
      </c>
      <c r="D175" t="s">
        <v>14</v>
      </c>
      <c r="E175" t="s">
        <v>26</v>
      </c>
      <c r="F175" t="s">
        <v>15</v>
      </c>
      <c r="G175" t="s">
        <v>38</v>
      </c>
      <c r="H175" t="s">
        <v>56</v>
      </c>
      <c r="I175" s="2">
        <v>259.54000000000002</v>
      </c>
      <c r="J175" s="3">
        <v>8</v>
      </c>
      <c r="K175" s="2">
        <v>4.0199999999999996</v>
      </c>
    </row>
    <row r="176" spans="1:11" x14ac:dyDescent="0.25">
      <c r="A176" s="4">
        <v>41739</v>
      </c>
      <c r="B176" s="3">
        <f>YEAR(SalesData[[#This Row],[Order Date]])</f>
        <v>2014</v>
      </c>
      <c r="C176" s="3">
        <f>MONTH(SalesData[[#This Row],[Order Date]])</f>
        <v>4</v>
      </c>
      <c r="D176" t="s">
        <v>20</v>
      </c>
      <c r="E176" t="s">
        <v>10</v>
      </c>
      <c r="F176" t="s">
        <v>15</v>
      </c>
      <c r="G176" t="s">
        <v>63</v>
      </c>
      <c r="H176" t="s">
        <v>64</v>
      </c>
      <c r="I176" s="2">
        <v>2786.4</v>
      </c>
      <c r="J176" s="3">
        <v>3</v>
      </c>
      <c r="K176" s="2">
        <v>737.59</v>
      </c>
    </row>
    <row r="177" spans="1:11" x14ac:dyDescent="0.25">
      <c r="A177" s="4">
        <v>41739</v>
      </c>
      <c r="B177" s="3">
        <f>YEAR(SalesData[[#This Row],[Order Date]])</f>
        <v>2014</v>
      </c>
      <c r="C177" s="3">
        <f>MONTH(SalesData[[#This Row],[Order Date]])</f>
        <v>4</v>
      </c>
      <c r="D177" t="s">
        <v>43</v>
      </c>
      <c r="E177" t="s">
        <v>19</v>
      </c>
      <c r="F177" t="s">
        <v>11</v>
      </c>
      <c r="G177" t="s">
        <v>35</v>
      </c>
      <c r="H177" t="s">
        <v>70</v>
      </c>
      <c r="I177" s="2">
        <v>1924.77</v>
      </c>
      <c r="J177" s="3">
        <v>2</v>
      </c>
      <c r="K177" s="2">
        <v>151.41999999999999</v>
      </c>
    </row>
    <row r="178" spans="1:11" x14ac:dyDescent="0.25">
      <c r="A178" s="4">
        <v>41739</v>
      </c>
      <c r="B178" s="3">
        <f>YEAR(SalesData[[#This Row],[Order Date]])</f>
        <v>2014</v>
      </c>
      <c r="C178" s="3">
        <f>MONTH(SalesData[[#This Row],[Order Date]])</f>
        <v>4</v>
      </c>
      <c r="D178" t="s">
        <v>50</v>
      </c>
      <c r="E178" t="s">
        <v>26</v>
      </c>
      <c r="F178" t="s">
        <v>11</v>
      </c>
      <c r="G178" t="s">
        <v>12</v>
      </c>
      <c r="H178" t="s">
        <v>65</v>
      </c>
      <c r="I178" s="2">
        <v>2951.46</v>
      </c>
      <c r="J178" s="3">
        <v>5</v>
      </c>
      <c r="K178" s="2">
        <v>209.61</v>
      </c>
    </row>
    <row r="179" spans="1:11" x14ac:dyDescent="0.25">
      <c r="A179" s="4">
        <v>41740</v>
      </c>
      <c r="B179" s="3">
        <f>YEAR(SalesData[[#This Row],[Order Date]])</f>
        <v>2014</v>
      </c>
      <c r="C179" s="3">
        <f>MONTH(SalesData[[#This Row],[Order Date]])</f>
        <v>4</v>
      </c>
      <c r="D179" t="s">
        <v>30</v>
      </c>
      <c r="E179" t="s">
        <v>34</v>
      </c>
      <c r="F179" t="s">
        <v>15</v>
      </c>
      <c r="G179" t="s">
        <v>38</v>
      </c>
      <c r="H179" t="s">
        <v>56</v>
      </c>
      <c r="I179" s="2">
        <v>3016.35</v>
      </c>
      <c r="J179" s="3">
        <v>1</v>
      </c>
      <c r="K179" s="2">
        <v>6.49</v>
      </c>
    </row>
    <row r="180" spans="1:11" x14ac:dyDescent="0.25">
      <c r="A180" s="4">
        <v>41740</v>
      </c>
      <c r="B180" s="3">
        <f>YEAR(SalesData[[#This Row],[Order Date]])</f>
        <v>2014</v>
      </c>
      <c r="C180" s="3">
        <f>MONTH(SalesData[[#This Row],[Order Date]])</f>
        <v>4</v>
      </c>
      <c r="D180" t="s">
        <v>43</v>
      </c>
      <c r="E180" t="s">
        <v>31</v>
      </c>
      <c r="F180" t="s">
        <v>11</v>
      </c>
      <c r="G180" t="s">
        <v>21</v>
      </c>
      <c r="H180" t="s">
        <v>67</v>
      </c>
      <c r="I180" s="2">
        <v>418.09</v>
      </c>
      <c r="J180" s="3">
        <v>9</v>
      </c>
      <c r="K180" s="2">
        <v>75.7</v>
      </c>
    </row>
    <row r="181" spans="1:11" x14ac:dyDescent="0.25">
      <c r="A181" s="4">
        <v>41741</v>
      </c>
      <c r="B181" s="3">
        <f>YEAR(SalesData[[#This Row],[Order Date]])</f>
        <v>2014</v>
      </c>
      <c r="C181" s="3">
        <f>MONTH(SalesData[[#This Row],[Order Date]])</f>
        <v>4</v>
      </c>
      <c r="D181" t="s">
        <v>43</v>
      </c>
      <c r="E181" t="s">
        <v>60</v>
      </c>
      <c r="F181" t="s">
        <v>27</v>
      </c>
      <c r="G181" t="s">
        <v>48</v>
      </c>
      <c r="H181" t="s">
        <v>49</v>
      </c>
      <c r="I181" s="2">
        <v>856.39</v>
      </c>
      <c r="J181" s="3">
        <v>2</v>
      </c>
      <c r="K181" s="2">
        <v>212.14</v>
      </c>
    </row>
    <row r="182" spans="1:11" x14ac:dyDescent="0.25">
      <c r="A182" s="4">
        <v>41742</v>
      </c>
      <c r="B182" s="3">
        <f>YEAR(SalesData[[#This Row],[Order Date]])</f>
        <v>2014</v>
      </c>
      <c r="C182" s="3">
        <f>MONTH(SalesData[[#This Row],[Order Date]])</f>
        <v>4</v>
      </c>
      <c r="D182" t="s">
        <v>50</v>
      </c>
      <c r="E182" t="s">
        <v>44</v>
      </c>
      <c r="F182" t="s">
        <v>11</v>
      </c>
      <c r="G182" t="s">
        <v>24</v>
      </c>
      <c r="H182" t="s">
        <v>54</v>
      </c>
      <c r="I182" s="2">
        <v>3968.36</v>
      </c>
      <c r="J182" s="3">
        <v>3</v>
      </c>
      <c r="K182" s="2">
        <v>32.11</v>
      </c>
    </row>
    <row r="183" spans="1:11" x14ac:dyDescent="0.25">
      <c r="A183" s="4">
        <v>41743</v>
      </c>
      <c r="B183" s="3">
        <f>YEAR(SalesData[[#This Row],[Order Date]])</f>
        <v>2014</v>
      </c>
      <c r="C183" s="3">
        <f>MONTH(SalesData[[#This Row],[Order Date]])</f>
        <v>4</v>
      </c>
      <c r="D183" t="s">
        <v>47</v>
      </c>
      <c r="E183" t="s">
        <v>26</v>
      </c>
      <c r="F183" t="s">
        <v>15</v>
      </c>
      <c r="G183" t="s">
        <v>63</v>
      </c>
      <c r="H183" t="s">
        <v>66</v>
      </c>
      <c r="I183" s="2">
        <v>554.08000000000004</v>
      </c>
      <c r="J183" s="3">
        <v>4</v>
      </c>
      <c r="K183" s="2">
        <v>139.16</v>
      </c>
    </row>
    <row r="184" spans="1:11" x14ac:dyDescent="0.25">
      <c r="A184" s="4">
        <v>41743</v>
      </c>
      <c r="B184" s="3">
        <f>YEAR(SalesData[[#This Row],[Order Date]])</f>
        <v>2014</v>
      </c>
      <c r="C184" s="3">
        <f>MONTH(SalesData[[#This Row],[Order Date]])</f>
        <v>4</v>
      </c>
      <c r="D184" t="s">
        <v>14</v>
      </c>
      <c r="E184" t="s">
        <v>19</v>
      </c>
      <c r="F184" t="s">
        <v>11</v>
      </c>
      <c r="G184" t="s">
        <v>35</v>
      </c>
      <c r="H184" t="s">
        <v>36</v>
      </c>
      <c r="I184" s="2">
        <v>610.16999999999996</v>
      </c>
      <c r="J184" s="3">
        <v>10</v>
      </c>
      <c r="K184" s="2">
        <v>69.959999999999994</v>
      </c>
    </row>
    <row r="185" spans="1:11" x14ac:dyDescent="0.25">
      <c r="A185" s="4">
        <v>41745</v>
      </c>
      <c r="B185" s="3">
        <f>YEAR(SalesData[[#This Row],[Order Date]])</f>
        <v>2014</v>
      </c>
      <c r="C185" s="3">
        <f>MONTH(SalesData[[#This Row],[Order Date]])</f>
        <v>4</v>
      </c>
      <c r="D185" t="s">
        <v>18</v>
      </c>
      <c r="E185" t="s">
        <v>60</v>
      </c>
      <c r="F185" t="s">
        <v>11</v>
      </c>
      <c r="G185" t="s">
        <v>12</v>
      </c>
      <c r="H185" t="s">
        <v>65</v>
      </c>
      <c r="I185" s="2">
        <v>2726.7</v>
      </c>
      <c r="J185" s="3">
        <v>8</v>
      </c>
      <c r="K185" s="2">
        <v>210.06</v>
      </c>
    </row>
    <row r="186" spans="1:11" x14ac:dyDescent="0.25">
      <c r="A186" s="4">
        <v>41745</v>
      </c>
      <c r="B186" s="3">
        <f>YEAR(SalesData[[#This Row],[Order Date]])</f>
        <v>2014</v>
      </c>
      <c r="C186" s="3">
        <f>MONTH(SalesData[[#This Row],[Order Date]])</f>
        <v>4</v>
      </c>
      <c r="D186" t="s">
        <v>55</v>
      </c>
      <c r="E186" t="s">
        <v>31</v>
      </c>
      <c r="F186" t="s">
        <v>15</v>
      </c>
      <c r="G186" t="s">
        <v>45</v>
      </c>
      <c r="H186" t="s">
        <v>46</v>
      </c>
      <c r="I186" s="2">
        <v>3647.61</v>
      </c>
      <c r="J186" s="3">
        <v>2</v>
      </c>
      <c r="K186" s="2">
        <v>405.16</v>
      </c>
    </row>
    <row r="187" spans="1:11" x14ac:dyDescent="0.25">
      <c r="A187" s="4">
        <v>41746</v>
      </c>
      <c r="B187" s="3">
        <f>YEAR(SalesData[[#This Row],[Order Date]])</f>
        <v>2014</v>
      </c>
      <c r="C187" s="3">
        <f>MONTH(SalesData[[#This Row],[Order Date]])</f>
        <v>4</v>
      </c>
      <c r="D187" t="s">
        <v>9</v>
      </c>
      <c r="E187" t="s">
        <v>60</v>
      </c>
      <c r="F187" t="s">
        <v>15</v>
      </c>
      <c r="G187" t="s">
        <v>41</v>
      </c>
      <c r="H187" t="s">
        <v>61</v>
      </c>
      <c r="I187" s="2">
        <v>3240.18</v>
      </c>
      <c r="J187" s="3">
        <v>6</v>
      </c>
      <c r="K187" s="2">
        <v>652.79</v>
      </c>
    </row>
    <row r="188" spans="1:11" x14ac:dyDescent="0.25">
      <c r="A188" s="4">
        <v>41746</v>
      </c>
      <c r="B188" s="3">
        <f>YEAR(SalesData[[#This Row],[Order Date]])</f>
        <v>2014</v>
      </c>
      <c r="C188" s="3">
        <f>MONTH(SalesData[[#This Row],[Order Date]])</f>
        <v>4</v>
      </c>
      <c r="D188" t="s">
        <v>68</v>
      </c>
      <c r="E188" t="s">
        <v>60</v>
      </c>
      <c r="F188" t="s">
        <v>15</v>
      </c>
      <c r="G188" t="s">
        <v>45</v>
      </c>
      <c r="H188" t="s">
        <v>59</v>
      </c>
      <c r="I188" s="2">
        <v>216.09</v>
      </c>
      <c r="J188" s="3">
        <v>3</v>
      </c>
      <c r="K188" s="2">
        <v>55.96</v>
      </c>
    </row>
    <row r="189" spans="1:11" x14ac:dyDescent="0.25">
      <c r="A189" s="4">
        <v>41746</v>
      </c>
      <c r="B189" s="3">
        <f>YEAR(SalesData[[#This Row],[Order Date]])</f>
        <v>2014</v>
      </c>
      <c r="C189" s="3">
        <f>MONTH(SalesData[[#This Row],[Order Date]])</f>
        <v>4</v>
      </c>
      <c r="D189" t="s">
        <v>50</v>
      </c>
      <c r="E189" t="s">
        <v>10</v>
      </c>
      <c r="F189" t="s">
        <v>27</v>
      </c>
      <c r="G189" t="s">
        <v>32</v>
      </c>
      <c r="H189" t="s">
        <v>53</v>
      </c>
      <c r="I189" s="2">
        <v>280.32</v>
      </c>
      <c r="J189" s="3">
        <v>8</v>
      </c>
      <c r="K189" s="2">
        <v>72.3</v>
      </c>
    </row>
    <row r="190" spans="1:11" x14ac:dyDescent="0.25">
      <c r="A190" s="4">
        <v>41746</v>
      </c>
      <c r="B190" s="3">
        <f>YEAR(SalesData[[#This Row],[Order Date]])</f>
        <v>2014</v>
      </c>
      <c r="C190" s="3">
        <f>MONTH(SalesData[[#This Row],[Order Date]])</f>
        <v>4</v>
      </c>
      <c r="D190" t="s">
        <v>68</v>
      </c>
      <c r="E190" t="s">
        <v>60</v>
      </c>
      <c r="F190" t="s">
        <v>11</v>
      </c>
      <c r="G190" t="s">
        <v>12</v>
      </c>
      <c r="H190" t="s">
        <v>13</v>
      </c>
      <c r="I190" s="2">
        <v>4544.75</v>
      </c>
      <c r="J190" s="3">
        <v>9</v>
      </c>
      <c r="K190" s="2">
        <v>673.25</v>
      </c>
    </row>
    <row r="191" spans="1:11" x14ac:dyDescent="0.25">
      <c r="A191" s="4">
        <v>41747</v>
      </c>
      <c r="B191" s="3">
        <f>YEAR(SalesData[[#This Row],[Order Date]])</f>
        <v>2014</v>
      </c>
      <c r="C191" s="3">
        <f>MONTH(SalesData[[#This Row],[Order Date]])</f>
        <v>4</v>
      </c>
      <c r="D191" t="s">
        <v>30</v>
      </c>
      <c r="E191" t="s">
        <v>52</v>
      </c>
      <c r="F191" t="s">
        <v>15</v>
      </c>
      <c r="G191" t="s">
        <v>16</v>
      </c>
      <c r="H191" t="s">
        <v>51</v>
      </c>
      <c r="I191" s="2">
        <v>4288.08</v>
      </c>
      <c r="J191" s="3">
        <v>2</v>
      </c>
      <c r="K191" s="2">
        <v>1144.27</v>
      </c>
    </row>
    <row r="192" spans="1:11" x14ac:dyDescent="0.25">
      <c r="A192" s="4">
        <v>41747</v>
      </c>
      <c r="B192" s="3">
        <f>YEAR(SalesData[[#This Row],[Order Date]])</f>
        <v>2014</v>
      </c>
      <c r="C192" s="3">
        <f>MONTH(SalesData[[#This Row],[Order Date]])</f>
        <v>4</v>
      </c>
      <c r="D192" t="s">
        <v>55</v>
      </c>
      <c r="E192" t="s">
        <v>52</v>
      </c>
      <c r="F192" t="s">
        <v>11</v>
      </c>
      <c r="G192" t="s">
        <v>12</v>
      </c>
      <c r="H192" t="s">
        <v>65</v>
      </c>
      <c r="I192" s="2">
        <v>2518.2399999999998</v>
      </c>
      <c r="J192" s="3">
        <v>2</v>
      </c>
      <c r="K192" s="2">
        <v>660.88</v>
      </c>
    </row>
    <row r="193" spans="1:11" x14ac:dyDescent="0.25">
      <c r="A193" s="4">
        <v>41747</v>
      </c>
      <c r="B193" s="3">
        <f>YEAR(SalesData[[#This Row],[Order Date]])</f>
        <v>2014</v>
      </c>
      <c r="C193" s="3">
        <f>MONTH(SalesData[[#This Row],[Order Date]])</f>
        <v>4</v>
      </c>
      <c r="D193" t="s">
        <v>43</v>
      </c>
      <c r="E193" t="s">
        <v>60</v>
      </c>
      <c r="F193" t="s">
        <v>15</v>
      </c>
      <c r="G193" t="s">
        <v>41</v>
      </c>
      <c r="H193" t="s">
        <v>61</v>
      </c>
      <c r="I193" s="2">
        <v>4555.21</v>
      </c>
      <c r="J193" s="3">
        <v>9</v>
      </c>
      <c r="K193" s="2">
        <v>1310.48</v>
      </c>
    </row>
    <row r="194" spans="1:11" x14ac:dyDescent="0.25">
      <c r="A194" s="4">
        <v>41747</v>
      </c>
      <c r="B194" s="3">
        <f>YEAR(SalesData[[#This Row],[Order Date]])</f>
        <v>2014</v>
      </c>
      <c r="C194" s="3">
        <f>MONTH(SalesData[[#This Row],[Order Date]])</f>
        <v>4</v>
      </c>
      <c r="D194" t="s">
        <v>30</v>
      </c>
      <c r="E194" t="s">
        <v>60</v>
      </c>
      <c r="F194" t="s">
        <v>27</v>
      </c>
      <c r="G194" t="s">
        <v>28</v>
      </c>
      <c r="H194" t="s">
        <v>69</v>
      </c>
      <c r="I194" s="2">
        <v>408.92</v>
      </c>
      <c r="J194" s="3">
        <v>5</v>
      </c>
      <c r="K194" s="2">
        <v>59.29</v>
      </c>
    </row>
    <row r="195" spans="1:11" x14ac:dyDescent="0.25">
      <c r="A195" s="4">
        <v>41747</v>
      </c>
      <c r="B195" s="3">
        <f>YEAR(SalesData[[#This Row],[Order Date]])</f>
        <v>2014</v>
      </c>
      <c r="C195" s="3">
        <f>MONTH(SalesData[[#This Row],[Order Date]])</f>
        <v>4</v>
      </c>
      <c r="D195" t="s">
        <v>50</v>
      </c>
      <c r="E195" t="s">
        <v>60</v>
      </c>
      <c r="F195" t="s">
        <v>27</v>
      </c>
      <c r="G195" t="s">
        <v>48</v>
      </c>
      <c r="H195" t="s">
        <v>49</v>
      </c>
      <c r="I195" s="2">
        <v>4672.47</v>
      </c>
      <c r="J195" s="3">
        <v>7</v>
      </c>
      <c r="K195" s="2">
        <v>1176.1500000000001</v>
      </c>
    </row>
    <row r="196" spans="1:11" x14ac:dyDescent="0.25">
      <c r="A196" s="4">
        <v>41747</v>
      </c>
      <c r="B196" s="3">
        <f>YEAR(SalesData[[#This Row],[Order Date]])</f>
        <v>2014</v>
      </c>
      <c r="C196" s="3">
        <f>MONTH(SalesData[[#This Row],[Order Date]])</f>
        <v>4</v>
      </c>
      <c r="D196" t="s">
        <v>30</v>
      </c>
      <c r="E196" t="s">
        <v>10</v>
      </c>
      <c r="F196" t="s">
        <v>27</v>
      </c>
      <c r="G196" t="s">
        <v>28</v>
      </c>
      <c r="H196" t="s">
        <v>58</v>
      </c>
      <c r="I196" s="2">
        <v>1981.71</v>
      </c>
      <c r="J196" s="3">
        <v>6</v>
      </c>
      <c r="K196" s="2">
        <v>558.29</v>
      </c>
    </row>
    <row r="197" spans="1:11" x14ac:dyDescent="0.25">
      <c r="A197" s="4">
        <v>41748</v>
      </c>
      <c r="B197" s="3">
        <f>YEAR(SalesData[[#This Row],[Order Date]])</f>
        <v>2014</v>
      </c>
      <c r="C197" s="3">
        <f>MONTH(SalesData[[#This Row],[Order Date]])</f>
        <v>4</v>
      </c>
      <c r="D197" t="s">
        <v>14</v>
      </c>
      <c r="E197" t="s">
        <v>10</v>
      </c>
      <c r="F197" t="s">
        <v>27</v>
      </c>
      <c r="G197" t="s">
        <v>32</v>
      </c>
      <c r="H197" t="s">
        <v>33</v>
      </c>
      <c r="I197" s="2">
        <v>4705.93</v>
      </c>
      <c r="J197" s="3">
        <v>5</v>
      </c>
      <c r="K197" s="2">
        <v>244.97</v>
      </c>
    </row>
    <row r="198" spans="1:11" x14ac:dyDescent="0.25">
      <c r="A198" s="4">
        <v>41748</v>
      </c>
      <c r="B198" s="3">
        <f>YEAR(SalesData[[#This Row],[Order Date]])</f>
        <v>2014</v>
      </c>
      <c r="C198" s="3">
        <f>MONTH(SalesData[[#This Row],[Order Date]])</f>
        <v>4</v>
      </c>
      <c r="D198" t="s">
        <v>55</v>
      </c>
      <c r="E198" t="s">
        <v>10</v>
      </c>
      <c r="F198" t="s">
        <v>27</v>
      </c>
      <c r="G198" t="s">
        <v>48</v>
      </c>
      <c r="H198" t="s">
        <v>49</v>
      </c>
      <c r="I198" s="2">
        <v>149.21</v>
      </c>
      <c r="J198" s="3">
        <v>1</v>
      </c>
      <c r="K198" s="2">
        <v>33.159999999999997</v>
      </c>
    </row>
    <row r="199" spans="1:11" x14ac:dyDescent="0.25">
      <c r="A199" s="4">
        <v>41748</v>
      </c>
      <c r="B199" s="3">
        <f>YEAR(SalesData[[#This Row],[Order Date]])</f>
        <v>2014</v>
      </c>
      <c r="C199" s="3">
        <f>MONTH(SalesData[[#This Row],[Order Date]])</f>
        <v>4</v>
      </c>
      <c r="D199" t="s">
        <v>68</v>
      </c>
      <c r="E199" t="s">
        <v>26</v>
      </c>
      <c r="F199" t="s">
        <v>11</v>
      </c>
      <c r="G199" t="s">
        <v>35</v>
      </c>
      <c r="H199" t="s">
        <v>70</v>
      </c>
      <c r="I199" s="2">
        <v>4400.7700000000004</v>
      </c>
      <c r="J199" s="3">
        <v>6</v>
      </c>
      <c r="K199" s="2">
        <v>791.07</v>
      </c>
    </row>
    <row r="200" spans="1:11" x14ac:dyDescent="0.25">
      <c r="A200" s="4">
        <v>41748</v>
      </c>
      <c r="B200" s="3">
        <f>YEAR(SalesData[[#This Row],[Order Date]])</f>
        <v>2014</v>
      </c>
      <c r="C200" s="3">
        <f>MONTH(SalesData[[#This Row],[Order Date]])</f>
        <v>4</v>
      </c>
      <c r="D200" t="s">
        <v>62</v>
      </c>
      <c r="E200" t="s">
        <v>34</v>
      </c>
      <c r="F200" t="s">
        <v>11</v>
      </c>
      <c r="G200" t="s">
        <v>24</v>
      </c>
      <c r="H200" t="s">
        <v>54</v>
      </c>
      <c r="I200" s="2">
        <v>1079.3800000000001</v>
      </c>
      <c r="J200" s="3">
        <v>1</v>
      </c>
      <c r="K200" s="2">
        <v>309.95</v>
      </c>
    </row>
    <row r="201" spans="1:11" x14ac:dyDescent="0.25">
      <c r="A201" s="4">
        <v>41748</v>
      </c>
      <c r="B201" s="3">
        <f>YEAR(SalesData[[#This Row],[Order Date]])</f>
        <v>2014</v>
      </c>
      <c r="C201" s="3">
        <f>MONTH(SalesData[[#This Row],[Order Date]])</f>
        <v>4</v>
      </c>
      <c r="D201" t="s">
        <v>50</v>
      </c>
      <c r="E201" t="s">
        <v>52</v>
      </c>
      <c r="F201" t="s">
        <v>11</v>
      </c>
      <c r="G201" t="s">
        <v>35</v>
      </c>
      <c r="H201" t="s">
        <v>36</v>
      </c>
      <c r="I201" s="2">
        <v>3696.31</v>
      </c>
      <c r="J201" s="3">
        <v>1</v>
      </c>
      <c r="K201" s="2">
        <v>505.57</v>
      </c>
    </row>
    <row r="202" spans="1:11" x14ac:dyDescent="0.25">
      <c r="A202" s="4">
        <v>41750</v>
      </c>
      <c r="B202" s="3">
        <f>YEAR(SalesData[[#This Row],[Order Date]])</f>
        <v>2014</v>
      </c>
      <c r="C202" s="3">
        <f>MONTH(SalesData[[#This Row],[Order Date]])</f>
        <v>4</v>
      </c>
      <c r="D202" t="s">
        <v>68</v>
      </c>
      <c r="E202" t="s">
        <v>34</v>
      </c>
      <c r="F202" t="s">
        <v>11</v>
      </c>
      <c r="G202" t="s">
        <v>35</v>
      </c>
      <c r="H202" t="s">
        <v>36</v>
      </c>
      <c r="I202" s="2">
        <v>2338.87</v>
      </c>
      <c r="J202" s="3">
        <v>4</v>
      </c>
      <c r="K202" s="2">
        <v>297.48</v>
      </c>
    </row>
    <row r="203" spans="1:11" x14ac:dyDescent="0.25">
      <c r="A203" s="4">
        <v>41750</v>
      </c>
      <c r="B203" s="3">
        <f>YEAR(SalesData[[#This Row],[Order Date]])</f>
        <v>2014</v>
      </c>
      <c r="C203" s="3">
        <f>MONTH(SalesData[[#This Row],[Order Date]])</f>
        <v>4</v>
      </c>
      <c r="D203" t="s">
        <v>43</v>
      </c>
      <c r="E203" t="s">
        <v>10</v>
      </c>
      <c r="F203" t="s">
        <v>11</v>
      </c>
      <c r="G203" t="s">
        <v>12</v>
      </c>
      <c r="H203" t="s">
        <v>65</v>
      </c>
      <c r="I203" s="2">
        <v>423.55</v>
      </c>
      <c r="J203" s="3">
        <v>10</v>
      </c>
      <c r="K203" s="2">
        <v>112.09</v>
      </c>
    </row>
    <row r="204" spans="1:11" x14ac:dyDescent="0.25">
      <c r="A204" s="4">
        <v>41751</v>
      </c>
      <c r="B204" s="3">
        <f>YEAR(SalesData[[#This Row],[Order Date]])</f>
        <v>2014</v>
      </c>
      <c r="C204" s="3">
        <f>MONTH(SalesData[[#This Row],[Order Date]])</f>
        <v>4</v>
      </c>
      <c r="D204" t="s">
        <v>68</v>
      </c>
      <c r="E204" t="s">
        <v>34</v>
      </c>
      <c r="F204" t="s">
        <v>27</v>
      </c>
      <c r="G204" t="s">
        <v>28</v>
      </c>
      <c r="H204" t="s">
        <v>69</v>
      </c>
      <c r="I204" s="2">
        <v>3769.17</v>
      </c>
      <c r="J204" s="3">
        <v>4</v>
      </c>
      <c r="K204" s="2">
        <v>711.41</v>
      </c>
    </row>
    <row r="205" spans="1:11" x14ac:dyDescent="0.25">
      <c r="A205" s="4">
        <v>41752</v>
      </c>
      <c r="B205" s="3">
        <f>YEAR(SalesData[[#This Row],[Order Date]])</f>
        <v>2014</v>
      </c>
      <c r="C205" s="3">
        <f>MONTH(SalesData[[#This Row],[Order Date]])</f>
        <v>4</v>
      </c>
      <c r="D205" t="s">
        <v>20</v>
      </c>
      <c r="E205" t="s">
        <v>44</v>
      </c>
      <c r="F205" t="s">
        <v>11</v>
      </c>
      <c r="G205" t="s">
        <v>12</v>
      </c>
      <c r="H205" t="s">
        <v>13</v>
      </c>
      <c r="I205" s="2">
        <v>1744.7</v>
      </c>
      <c r="J205" s="3">
        <v>6</v>
      </c>
      <c r="K205" s="2">
        <v>403.63</v>
      </c>
    </row>
    <row r="206" spans="1:11" x14ac:dyDescent="0.25">
      <c r="A206" s="4">
        <v>41753</v>
      </c>
      <c r="B206" s="3">
        <f>YEAR(SalesData[[#This Row],[Order Date]])</f>
        <v>2014</v>
      </c>
      <c r="C206" s="3">
        <f>MONTH(SalesData[[#This Row],[Order Date]])</f>
        <v>4</v>
      </c>
      <c r="D206" t="s">
        <v>23</v>
      </c>
      <c r="E206" t="s">
        <v>44</v>
      </c>
      <c r="F206" t="s">
        <v>27</v>
      </c>
      <c r="G206" t="s">
        <v>28</v>
      </c>
      <c r="H206" t="s">
        <v>69</v>
      </c>
      <c r="I206" s="2">
        <v>4625.9399999999996</v>
      </c>
      <c r="J206" s="3">
        <v>3</v>
      </c>
      <c r="K206" s="2">
        <v>762.77</v>
      </c>
    </row>
    <row r="207" spans="1:11" x14ac:dyDescent="0.25">
      <c r="A207" s="4">
        <v>41754</v>
      </c>
      <c r="B207" s="3">
        <f>YEAR(SalesData[[#This Row],[Order Date]])</f>
        <v>2014</v>
      </c>
      <c r="C207" s="3">
        <f>MONTH(SalesData[[#This Row],[Order Date]])</f>
        <v>4</v>
      </c>
      <c r="D207" t="s">
        <v>50</v>
      </c>
      <c r="E207" t="s">
        <v>52</v>
      </c>
      <c r="F207" t="s">
        <v>11</v>
      </c>
      <c r="G207" t="s">
        <v>21</v>
      </c>
      <c r="H207" t="s">
        <v>22</v>
      </c>
      <c r="I207" s="2">
        <v>4837.78</v>
      </c>
      <c r="J207" s="3">
        <v>5</v>
      </c>
      <c r="K207" s="2">
        <v>901.67</v>
      </c>
    </row>
    <row r="208" spans="1:11" x14ac:dyDescent="0.25">
      <c r="A208" s="4">
        <v>41754</v>
      </c>
      <c r="B208" s="3">
        <f>YEAR(SalesData[[#This Row],[Order Date]])</f>
        <v>2014</v>
      </c>
      <c r="C208" s="3">
        <f>MONTH(SalesData[[#This Row],[Order Date]])</f>
        <v>4</v>
      </c>
      <c r="D208" t="s">
        <v>9</v>
      </c>
      <c r="E208" t="s">
        <v>31</v>
      </c>
      <c r="F208" t="s">
        <v>27</v>
      </c>
      <c r="G208" t="s">
        <v>48</v>
      </c>
      <c r="H208" t="s">
        <v>49</v>
      </c>
      <c r="I208" s="2">
        <v>3083.08</v>
      </c>
      <c r="J208" s="3">
        <v>6</v>
      </c>
      <c r="K208" s="2">
        <v>347.4</v>
      </c>
    </row>
    <row r="209" spans="1:11" x14ac:dyDescent="0.25">
      <c r="A209" s="4">
        <v>41755</v>
      </c>
      <c r="B209" s="3">
        <f>YEAR(SalesData[[#This Row],[Order Date]])</f>
        <v>2014</v>
      </c>
      <c r="C209" s="3">
        <f>MONTH(SalesData[[#This Row],[Order Date]])</f>
        <v>4</v>
      </c>
      <c r="D209" t="s">
        <v>14</v>
      </c>
      <c r="E209" t="s">
        <v>40</v>
      </c>
      <c r="F209" t="s">
        <v>27</v>
      </c>
      <c r="G209" t="s">
        <v>28</v>
      </c>
      <c r="H209" t="s">
        <v>29</v>
      </c>
      <c r="I209" s="2">
        <v>45.96</v>
      </c>
      <c r="J209" s="3">
        <v>4</v>
      </c>
      <c r="K209" s="2">
        <v>1.88</v>
      </c>
    </row>
    <row r="210" spans="1:11" x14ac:dyDescent="0.25">
      <c r="A210" s="4">
        <v>41755</v>
      </c>
      <c r="B210" s="3">
        <f>YEAR(SalesData[[#This Row],[Order Date]])</f>
        <v>2014</v>
      </c>
      <c r="C210" s="3">
        <f>MONTH(SalesData[[#This Row],[Order Date]])</f>
        <v>4</v>
      </c>
      <c r="D210" t="s">
        <v>68</v>
      </c>
      <c r="E210" t="s">
        <v>40</v>
      </c>
      <c r="F210" t="s">
        <v>15</v>
      </c>
      <c r="G210" t="s">
        <v>38</v>
      </c>
      <c r="H210" t="s">
        <v>39</v>
      </c>
      <c r="I210" s="2">
        <v>2485.39</v>
      </c>
      <c r="J210" s="3">
        <v>2</v>
      </c>
      <c r="K210" s="2">
        <v>582.29</v>
      </c>
    </row>
    <row r="211" spans="1:11" x14ac:dyDescent="0.25">
      <c r="A211" s="4">
        <v>41755</v>
      </c>
      <c r="B211" s="3">
        <f>YEAR(SalesData[[#This Row],[Order Date]])</f>
        <v>2014</v>
      </c>
      <c r="C211" s="3">
        <f>MONTH(SalesData[[#This Row],[Order Date]])</f>
        <v>4</v>
      </c>
      <c r="D211" t="s">
        <v>50</v>
      </c>
      <c r="E211" t="s">
        <v>37</v>
      </c>
      <c r="F211" t="s">
        <v>11</v>
      </c>
      <c r="G211" t="s">
        <v>12</v>
      </c>
      <c r="H211" t="s">
        <v>65</v>
      </c>
      <c r="I211" s="2">
        <v>1671.31</v>
      </c>
      <c r="J211" s="3">
        <v>3</v>
      </c>
      <c r="K211" s="2">
        <v>59.92</v>
      </c>
    </row>
    <row r="212" spans="1:11" x14ac:dyDescent="0.25">
      <c r="A212" s="4">
        <v>41756</v>
      </c>
      <c r="B212" s="3">
        <f>YEAR(SalesData[[#This Row],[Order Date]])</f>
        <v>2014</v>
      </c>
      <c r="C212" s="3">
        <f>MONTH(SalesData[[#This Row],[Order Date]])</f>
        <v>4</v>
      </c>
      <c r="D212" t="s">
        <v>18</v>
      </c>
      <c r="E212" t="s">
        <v>60</v>
      </c>
      <c r="F212" t="s">
        <v>11</v>
      </c>
      <c r="G212" t="s">
        <v>12</v>
      </c>
      <c r="H212" t="s">
        <v>13</v>
      </c>
      <c r="I212" s="2">
        <v>1995.11</v>
      </c>
      <c r="J212" s="3">
        <v>3</v>
      </c>
      <c r="K212" s="2">
        <v>225.03</v>
      </c>
    </row>
    <row r="213" spans="1:11" x14ac:dyDescent="0.25">
      <c r="A213" s="4">
        <v>41757</v>
      </c>
      <c r="B213" s="3">
        <f>YEAR(SalesData[[#This Row],[Order Date]])</f>
        <v>2014</v>
      </c>
      <c r="C213" s="3">
        <f>MONTH(SalesData[[#This Row],[Order Date]])</f>
        <v>4</v>
      </c>
      <c r="D213" t="s">
        <v>18</v>
      </c>
      <c r="E213" t="s">
        <v>52</v>
      </c>
      <c r="F213" t="s">
        <v>15</v>
      </c>
      <c r="G213" t="s">
        <v>41</v>
      </c>
      <c r="H213" t="s">
        <v>61</v>
      </c>
      <c r="I213" s="2">
        <v>3787.61</v>
      </c>
      <c r="J213" s="3">
        <v>5</v>
      </c>
      <c r="K213" s="2">
        <v>173.03</v>
      </c>
    </row>
    <row r="214" spans="1:11" x14ac:dyDescent="0.25">
      <c r="A214" s="4">
        <v>41757</v>
      </c>
      <c r="B214" s="3">
        <f>YEAR(SalesData[[#This Row],[Order Date]])</f>
        <v>2014</v>
      </c>
      <c r="C214" s="3">
        <f>MONTH(SalesData[[#This Row],[Order Date]])</f>
        <v>4</v>
      </c>
      <c r="D214" t="s">
        <v>20</v>
      </c>
      <c r="E214" t="s">
        <v>26</v>
      </c>
      <c r="F214" t="s">
        <v>27</v>
      </c>
      <c r="G214" t="s">
        <v>48</v>
      </c>
      <c r="H214" t="s">
        <v>49</v>
      </c>
      <c r="I214" s="2">
        <v>2102.4699999999998</v>
      </c>
      <c r="J214" s="3">
        <v>1</v>
      </c>
      <c r="K214" s="2">
        <v>425.93</v>
      </c>
    </row>
    <row r="215" spans="1:11" x14ac:dyDescent="0.25">
      <c r="A215" s="4">
        <v>41757</v>
      </c>
      <c r="B215" s="3">
        <f>YEAR(SalesData[[#This Row],[Order Date]])</f>
        <v>2014</v>
      </c>
      <c r="C215" s="3">
        <f>MONTH(SalesData[[#This Row],[Order Date]])</f>
        <v>4</v>
      </c>
      <c r="D215" t="s">
        <v>20</v>
      </c>
      <c r="E215" t="s">
        <v>31</v>
      </c>
      <c r="F215" t="s">
        <v>11</v>
      </c>
      <c r="G215" t="s">
        <v>21</v>
      </c>
      <c r="H215" t="s">
        <v>22</v>
      </c>
      <c r="I215" s="2">
        <v>2163.87</v>
      </c>
      <c r="J215" s="3">
        <v>7</v>
      </c>
      <c r="K215" s="2">
        <v>147.06</v>
      </c>
    </row>
    <row r="216" spans="1:11" x14ac:dyDescent="0.25">
      <c r="A216" s="4">
        <v>41757</v>
      </c>
      <c r="B216" s="3">
        <f>YEAR(SalesData[[#This Row],[Order Date]])</f>
        <v>2014</v>
      </c>
      <c r="C216" s="3">
        <f>MONTH(SalesData[[#This Row],[Order Date]])</f>
        <v>4</v>
      </c>
      <c r="D216" t="s">
        <v>50</v>
      </c>
      <c r="E216" t="s">
        <v>37</v>
      </c>
      <c r="F216" t="s">
        <v>11</v>
      </c>
      <c r="G216" t="s">
        <v>35</v>
      </c>
      <c r="H216" t="s">
        <v>36</v>
      </c>
      <c r="I216" s="2">
        <v>3673.71</v>
      </c>
      <c r="J216" s="3">
        <v>3</v>
      </c>
      <c r="K216" s="2">
        <v>98.94</v>
      </c>
    </row>
    <row r="217" spans="1:11" x14ac:dyDescent="0.25">
      <c r="A217" s="4">
        <v>41758</v>
      </c>
      <c r="B217" s="3">
        <f>YEAR(SalesData[[#This Row],[Order Date]])</f>
        <v>2014</v>
      </c>
      <c r="C217" s="3">
        <f>MONTH(SalesData[[#This Row],[Order Date]])</f>
        <v>4</v>
      </c>
      <c r="D217" t="s">
        <v>30</v>
      </c>
      <c r="E217" t="s">
        <v>10</v>
      </c>
      <c r="F217" t="s">
        <v>27</v>
      </c>
      <c r="G217" t="s">
        <v>48</v>
      </c>
      <c r="H217" t="s">
        <v>49</v>
      </c>
      <c r="I217" s="2">
        <v>873.83</v>
      </c>
      <c r="J217" s="3">
        <v>2</v>
      </c>
      <c r="K217" s="2">
        <v>221.13</v>
      </c>
    </row>
    <row r="218" spans="1:11" x14ac:dyDescent="0.25">
      <c r="A218" s="4">
        <v>41759</v>
      </c>
      <c r="B218" s="3">
        <f>YEAR(SalesData[[#This Row],[Order Date]])</f>
        <v>2014</v>
      </c>
      <c r="C218" s="3">
        <f>MONTH(SalesData[[#This Row],[Order Date]])</f>
        <v>4</v>
      </c>
      <c r="D218" t="s">
        <v>47</v>
      </c>
      <c r="E218" t="s">
        <v>40</v>
      </c>
      <c r="F218" t="s">
        <v>11</v>
      </c>
      <c r="G218" t="s">
        <v>35</v>
      </c>
      <c r="H218" t="s">
        <v>36</v>
      </c>
      <c r="I218" s="2">
        <v>3764.52</v>
      </c>
      <c r="J218" s="3">
        <v>7</v>
      </c>
      <c r="K218" s="2">
        <v>91.33</v>
      </c>
    </row>
    <row r="219" spans="1:11" x14ac:dyDescent="0.25">
      <c r="A219" s="4">
        <v>41759</v>
      </c>
      <c r="B219" s="3">
        <f>YEAR(SalesData[[#This Row],[Order Date]])</f>
        <v>2014</v>
      </c>
      <c r="C219" s="3">
        <f>MONTH(SalesData[[#This Row],[Order Date]])</f>
        <v>4</v>
      </c>
      <c r="D219" t="s">
        <v>20</v>
      </c>
      <c r="E219" t="s">
        <v>60</v>
      </c>
      <c r="F219" t="s">
        <v>27</v>
      </c>
      <c r="G219" t="s">
        <v>28</v>
      </c>
      <c r="H219" t="s">
        <v>69</v>
      </c>
      <c r="I219" s="2">
        <v>2027.62</v>
      </c>
      <c r="J219" s="3">
        <v>5</v>
      </c>
      <c r="K219" s="2">
        <v>420</v>
      </c>
    </row>
    <row r="220" spans="1:11" x14ac:dyDescent="0.25">
      <c r="A220" s="4">
        <v>41759</v>
      </c>
      <c r="B220" s="3">
        <f>YEAR(SalesData[[#This Row],[Order Date]])</f>
        <v>2014</v>
      </c>
      <c r="C220" s="3">
        <f>MONTH(SalesData[[#This Row],[Order Date]])</f>
        <v>4</v>
      </c>
      <c r="D220" t="s">
        <v>30</v>
      </c>
      <c r="E220" t="s">
        <v>26</v>
      </c>
      <c r="F220" t="s">
        <v>11</v>
      </c>
      <c r="G220" t="s">
        <v>21</v>
      </c>
      <c r="H220" t="s">
        <v>22</v>
      </c>
      <c r="I220" s="2">
        <v>625.76</v>
      </c>
      <c r="J220" s="3">
        <v>2</v>
      </c>
      <c r="K220" s="2">
        <v>106.35</v>
      </c>
    </row>
    <row r="221" spans="1:11" x14ac:dyDescent="0.25">
      <c r="A221" s="4">
        <v>41760</v>
      </c>
      <c r="B221" s="3">
        <f>YEAR(SalesData[[#This Row],[Order Date]])</f>
        <v>2014</v>
      </c>
      <c r="C221" s="3">
        <f>MONTH(SalesData[[#This Row],[Order Date]])</f>
        <v>5</v>
      </c>
      <c r="D221" t="s">
        <v>50</v>
      </c>
      <c r="E221" t="s">
        <v>40</v>
      </c>
      <c r="F221" t="s">
        <v>27</v>
      </c>
      <c r="G221" t="s">
        <v>48</v>
      </c>
      <c r="H221" t="s">
        <v>49</v>
      </c>
      <c r="I221" s="2">
        <v>501.12</v>
      </c>
      <c r="J221" s="3">
        <v>7</v>
      </c>
      <c r="K221" s="2">
        <v>97.86</v>
      </c>
    </row>
    <row r="222" spans="1:11" x14ac:dyDescent="0.25">
      <c r="A222" s="4">
        <v>41760</v>
      </c>
      <c r="B222" s="3">
        <f>YEAR(SalesData[[#This Row],[Order Date]])</f>
        <v>2014</v>
      </c>
      <c r="C222" s="3">
        <f>MONTH(SalesData[[#This Row],[Order Date]])</f>
        <v>5</v>
      </c>
      <c r="D222" t="s">
        <v>50</v>
      </c>
      <c r="E222" t="s">
        <v>52</v>
      </c>
      <c r="F222" t="s">
        <v>15</v>
      </c>
      <c r="G222" t="s">
        <v>41</v>
      </c>
      <c r="H222" t="s">
        <v>61</v>
      </c>
      <c r="I222" s="2">
        <v>3567.6</v>
      </c>
      <c r="J222" s="3">
        <v>2</v>
      </c>
      <c r="K222" s="2">
        <v>108.41</v>
      </c>
    </row>
    <row r="223" spans="1:11" x14ac:dyDescent="0.25">
      <c r="A223" s="4">
        <v>41761</v>
      </c>
      <c r="B223" s="3">
        <f>YEAR(SalesData[[#This Row],[Order Date]])</f>
        <v>2014</v>
      </c>
      <c r="C223" s="3">
        <f>MONTH(SalesData[[#This Row],[Order Date]])</f>
        <v>5</v>
      </c>
      <c r="D223" t="s">
        <v>23</v>
      </c>
      <c r="E223" t="s">
        <v>34</v>
      </c>
      <c r="F223" t="s">
        <v>11</v>
      </c>
      <c r="G223" t="s">
        <v>35</v>
      </c>
      <c r="H223" t="s">
        <v>71</v>
      </c>
      <c r="I223" s="2">
        <v>1215.67</v>
      </c>
      <c r="J223" s="3">
        <v>8</v>
      </c>
      <c r="K223" s="2">
        <v>278.95</v>
      </c>
    </row>
    <row r="224" spans="1:11" x14ac:dyDescent="0.25">
      <c r="A224" s="4">
        <v>41761</v>
      </c>
      <c r="B224" s="3">
        <f>YEAR(SalesData[[#This Row],[Order Date]])</f>
        <v>2014</v>
      </c>
      <c r="C224" s="3">
        <f>MONTH(SalesData[[#This Row],[Order Date]])</f>
        <v>5</v>
      </c>
      <c r="D224" t="s">
        <v>30</v>
      </c>
      <c r="E224" t="s">
        <v>44</v>
      </c>
      <c r="F224" t="s">
        <v>15</v>
      </c>
      <c r="G224" t="s">
        <v>41</v>
      </c>
      <c r="H224" t="s">
        <v>61</v>
      </c>
      <c r="I224" s="2">
        <v>220.8</v>
      </c>
      <c r="J224" s="3">
        <v>10</v>
      </c>
      <c r="K224" s="2">
        <v>33.68</v>
      </c>
    </row>
    <row r="225" spans="1:11" x14ac:dyDescent="0.25">
      <c r="A225" s="4">
        <v>41762</v>
      </c>
      <c r="B225" s="3">
        <f>YEAR(SalesData[[#This Row],[Order Date]])</f>
        <v>2014</v>
      </c>
      <c r="C225" s="3">
        <f>MONTH(SalesData[[#This Row],[Order Date]])</f>
        <v>5</v>
      </c>
      <c r="D225" t="s">
        <v>55</v>
      </c>
      <c r="E225" t="s">
        <v>60</v>
      </c>
      <c r="F225" t="s">
        <v>15</v>
      </c>
      <c r="G225" t="s">
        <v>16</v>
      </c>
      <c r="H225" t="s">
        <v>17</v>
      </c>
      <c r="I225" s="2">
        <v>3460.47</v>
      </c>
      <c r="J225" s="3">
        <v>7</v>
      </c>
      <c r="K225" s="2">
        <v>939.14</v>
      </c>
    </row>
    <row r="226" spans="1:11" x14ac:dyDescent="0.25">
      <c r="A226" s="4">
        <v>41762</v>
      </c>
      <c r="B226" s="3">
        <f>YEAR(SalesData[[#This Row],[Order Date]])</f>
        <v>2014</v>
      </c>
      <c r="C226" s="3">
        <f>MONTH(SalesData[[#This Row],[Order Date]])</f>
        <v>5</v>
      </c>
      <c r="D226" t="s">
        <v>47</v>
      </c>
      <c r="E226" t="s">
        <v>60</v>
      </c>
      <c r="F226" t="s">
        <v>15</v>
      </c>
      <c r="G226" t="s">
        <v>16</v>
      </c>
      <c r="H226" t="s">
        <v>51</v>
      </c>
      <c r="I226" s="2">
        <v>1279.6500000000001</v>
      </c>
      <c r="J226" s="3">
        <v>7</v>
      </c>
      <c r="K226" s="2">
        <v>363.63</v>
      </c>
    </row>
    <row r="227" spans="1:11" x14ac:dyDescent="0.25">
      <c r="A227" s="4">
        <v>41763</v>
      </c>
      <c r="B227" s="3">
        <f>YEAR(SalesData[[#This Row],[Order Date]])</f>
        <v>2014</v>
      </c>
      <c r="C227" s="3">
        <f>MONTH(SalesData[[#This Row],[Order Date]])</f>
        <v>5</v>
      </c>
      <c r="D227" t="s">
        <v>50</v>
      </c>
      <c r="E227" t="s">
        <v>26</v>
      </c>
      <c r="F227" t="s">
        <v>15</v>
      </c>
      <c r="G227" t="s">
        <v>16</v>
      </c>
      <c r="H227" t="s">
        <v>51</v>
      </c>
      <c r="I227" s="2">
        <v>2894.08</v>
      </c>
      <c r="J227" s="3">
        <v>7</v>
      </c>
      <c r="K227" s="2">
        <v>547.54999999999995</v>
      </c>
    </row>
    <row r="228" spans="1:11" x14ac:dyDescent="0.25">
      <c r="A228" s="4">
        <v>41763</v>
      </c>
      <c r="B228" s="3">
        <f>YEAR(SalesData[[#This Row],[Order Date]])</f>
        <v>2014</v>
      </c>
      <c r="C228" s="3">
        <f>MONTH(SalesData[[#This Row],[Order Date]])</f>
        <v>5</v>
      </c>
      <c r="D228" t="s">
        <v>23</v>
      </c>
      <c r="E228" t="s">
        <v>40</v>
      </c>
      <c r="F228" t="s">
        <v>27</v>
      </c>
      <c r="G228" t="s">
        <v>48</v>
      </c>
      <c r="H228" t="s">
        <v>49</v>
      </c>
      <c r="I228" s="2">
        <v>3828.3</v>
      </c>
      <c r="J228" s="3">
        <v>7</v>
      </c>
      <c r="K228" s="2">
        <v>1123.04</v>
      </c>
    </row>
    <row r="229" spans="1:11" x14ac:dyDescent="0.25">
      <c r="A229" s="4">
        <v>41763</v>
      </c>
      <c r="B229" s="3">
        <f>YEAR(SalesData[[#This Row],[Order Date]])</f>
        <v>2014</v>
      </c>
      <c r="C229" s="3">
        <f>MONTH(SalesData[[#This Row],[Order Date]])</f>
        <v>5</v>
      </c>
      <c r="D229" t="s">
        <v>30</v>
      </c>
      <c r="E229" t="s">
        <v>37</v>
      </c>
      <c r="F229" t="s">
        <v>15</v>
      </c>
      <c r="G229" t="s">
        <v>45</v>
      </c>
      <c r="H229" t="s">
        <v>46</v>
      </c>
      <c r="I229" s="2">
        <v>1065.8</v>
      </c>
      <c r="J229" s="3">
        <v>10</v>
      </c>
      <c r="K229" s="2">
        <v>158.35</v>
      </c>
    </row>
    <row r="230" spans="1:11" x14ac:dyDescent="0.25">
      <c r="A230" s="4">
        <v>41764</v>
      </c>
      <c r="B230" s="3">
        <f>YEAR(SalesData[[#This Row],[Order Date]])</f>
        <v>2014</v>
      </c>
      <c r="C230" s="3">
        <f>MONTH(SalesData[[#This Row],[Order Date]])</f>
        <v>5</v>
      </c>
      <c r="D230" t="s">
        <v>20</v>
      </c>
      <c r="E230" t="s">
        <v>26</v>
      </c>
      <c r="F230" t="s">
        <v>27</v>
      </c>
      <c r="G230" t="s">
        <v>48</v>
      </c>
      <c r="H230" t="s">
        <v>49</v>
      </c>
      <c r="I230" s="2">
        <v>4593.03</v>
      </c>
      <c r="J230" s="3">
        <v>6</v>
      </c>
      <c r="K230" s="2">
        <v>548.01</v>
      </c>
    </row>
    <row r="231" spans="1:11" x14ac:dyDescent="0.25">
      <c r="A231" s="4">
        <v>41766</v>
      </c>
      <c r="B231" s="3">
        <f>YEAR(SalesData[[#This Row],[Order Date]])</f>
        <v>2014</v>
      </c>
      <c r="C231" s="3">
        <f>MONTH(SalesData[[#This Row],[Order Date]])</f>
        <v>5</v>
      </c>
      <c r="D231" t="s">
        <v>23</v>
      </c>
      <c r="E231" t="s">
        <v>60</v>
      </c>
      <c r="F231" t="s">
        <v>27</v>
      </c>
      <c r="G231" t="s">
        <v>32</v>
      </c>
      <c r="H231" t="s">
        <v>33</v>
      </c>
      <c r="I231" s="2">
        <v>4612.28</v>
      </c>
      <c r="J231" s="3">
        <v>4</v>
      </c>
      <c r="K231" s="2">
        <v>193.87</v>
      </c>
    </row>
    <row r="232" spans="1:11" x14ac:dyDescent="0.25">
      <c r="A232" s="4">
        <v>41767</v>
      </c>
      <c r="B232" s="3">
        <f>YEAR(SalesData[[#This Row],[Order Date]])</f>
        <v>2014</v>
      </c>
      <c r="C232" s="3">
        <f>MONTH(SalesData[[#This Row],[Order Date]])</f>
        <v>5</v>
      </c>
      <c r="D232" t="s">
        <v>68</v>
      </c>
      <c r="E232" t="s">
        <v>44</v>
      </c>
      <c r="F232" t="s">
        <v>27</v>
      </c>
      <c r="G232" t="s">
        <v>48</v>
      </c>
      <c r="H232" t="s">
        <v>49</v>
      </c>
      <c r="I232" s="2">
        <v>4348.58</v>
      </c>
      <c r="J232" s="3">
        <v>1</v>
      </c>
      <c r="K232" s="2">
        <v>333.8</v>
      </c>
    </row>
    <row r="233" spans="1:11" x14ac:dyDescent="0.25">
      <c r="A233" s="4">
        <v>41767</v>
      </c>
      <c r="B233" s="3">
        <f>YEAR(SalesData[[#This Row],[Order Date]])</f>
        <v>2014</v>
      </c>
      <c r="C233" s="3">
        <f>MONTH(SalesData[[#This Row],[Order Date]])</f>
        <v>5</v>
      </c>
      <c r="D233" t="s">
        <v>30</v>
      </c>
      <c r="E233" t="s">
        <v>44</v>
      </c>
      <c r="F233" t="s">
        <v>27</v>
      </c>
      <c r="G233" t="s">
        <v>48</v>
      </c>
      <c r="H233" t="s">
        <v>57</v>
      </c>
      <c r="I233" s="2">
        <v>2011.72</v>
      </c>
      <c r="J233" s="3">
        <v>3</v>
      </c>
      <c r="K233" s="2">
        <v>284.52</v>
      </c>
    </row>
    <row r="234" spans="1:11" x14ac:dyDescent="0.25">
      <c r="A234" s="4">
        <v>41768</v>
      </c>
      <c r="B234" s="3">
        <f>YEAR(SalesData[[#This Row],[Order Date]])</f>
        <v>2014</v>
      </c>
      <c r="C234" s="3">
        <f>MONTH(SalesData[[#This Row],[Order Date]])</f>
        <v>5</v>
      </c>
      <c r="D234" t="s">
        <v>43</v>
      </c>
      <c r="E234" t="s">
        <v>60</v>
      </c>
      <c r="F234" t="s">
        <v>15</v>
      </c>
      <c r="G234" t="s">
        <v>41</v>
      </c>
      <c r="H234" t="s">
        <v>61</v>
      </c>
      <c r="I234" s="2">
        <v>1568.86</v>
      </c>
      <c r="J234" s="3">
        <v>9</v>
      </c>
      <c r="K234" s="2">
        <v>366.33</v>
      </c>
    </row>
    <row r="235" spans="1:11" x14ac:dyDescent="0.25">
      <c r="A235" s="4">
        <v>41769</v>
      </c>
      <c r="B235" s="3">
        <f>YEAR(SalesData[[#This Row],[Order Date]])</f>
        <v>2014</v>
      </c>
      <c r="C235" s="3">
        <f>MONTH(SalesData[[#This Row],[Order Date]])</f>
        <v>5</v>
      </c>
      <c r="D235" t="s">
        <v>68</v>
      </c>
      <c r="E235" t="s">
        <v>52</v>
      </c>
      <c r="F235" t="s">
        <v>27</v>
      </c>
      <c r="G235" t="s">
        <v>48</v>
      </c>
      <c r="H235" t="s">
        <v>49</v>
      </c>
      <c r="I235" s="2">
        <v>1694.19</v>
      </c>
      <c r="J235" s="3">
        <v>5</v>
      </c>
      <c r="K235" s="2">
        <v>26.27</v>
      </c>
    </row>
    <row r="236" spans="1:11" x14ac:dyDescent="0.25">
      <c r="A236" s="4">
        <v>41770</v>
      </c>
      <c r="B236" s="3">
        <f>YEAR(SalesData[[#This Row],[Order Date]])</f>
        <v>2014</v>
      </c>
      <c r="C236" s="3">
        <f>MONTH(SalesData[[#This Row],[Order Date]])</f>
        <v>5</v>
      </c>
      <c r="D236" t="s">
        <v>62</v>
      </c>
      <c r="E236" t="s">
        <v>26</v>
      </c>
      <c r="F236" t="s">
        <v>27</v>
      </c>
      <c r="G236" t="s">
        <v>48</v>
      </c>
      <c r="H236" t="s">
        <v>49</v>
      </c>
      <c r="I236" s="2">
        <v>2784.3</v>
      </c>
      <c r="J236" s="3">
        <v>8</v>
      </c>
      <c r="K236" s="2">
        <v>807.7</v>
      </c>
    </row>
    <row r="237" spans="1:11" x14ac:dyDescent="0.25">
      <c r="A237" s="4">
        <v>41772</v>
      </c>
      <c r="B237" s="3">
        <f>YEAR(SalesData[[#This Row],[Order Date]])</f>
        <v>2014</v>
      </c>
      <c r="C237" s="3">
        <f>MONTH(SalesData[[#This Row],[Order Date]])</f>
        <v>5</v>
      </c>
      <c r="D237" t="s">
        <v>68</v>
      </c>
      <c r="E237" t="s">
        <v>26</v>
      </c>
      <c r="F237" t="s">
        <v>11</v>
      </c>
      <c r="G237" t="s">
        <v>21</v>
      </c>
      <c r="H237" t="s">
        <v>22</v>
      </c>
      <c r="I237" s="2">
        <v>4558.5200000000004</v>
      </c>
      <c r="J237" s="3">
        <v>2</v>
      </c>
      <c r="K237" s="2">
        <v>276.02999999999997</v>
      </c>
    </row>
    <row r="238" spans="1:11" x14ac:dyDescent="0.25">
      <c r="A238" s="4">
        <v>41772</v>
      </c>
      <c r="B238" s="3">
        <f>YEAR(SalesData[[#This Row],[Order Date]])</f>
        <v>2014</v>
      </c>
      <c r="C238" s="3">
        <f>MONTH(SalesData[[#This Row],[Order Date]])</f>
        <v>5</v>
      </c>
      <c r="D238" t="s">
        <v>9</v>
      </c>
      <c r="E238" t="s">
        <v>37</v>
      </c>
      <c r="F238" t="s">
        <v>11</v>
      </c>
      <c r="G238" t="s">
        <v>35</v>
      </c>
      <c r="H238" t="s">
        <v>36</v>
      </c>
      <c r="I238" s="2">
        <v>3603.67</v>
      </c>
      <c r="J238" s="3">
        <v>10</v>
      </c>
      <c r="K238" s="2">
        <v>1073.78</v>
      </c>
    </row>
    <row r="239" spans="1:11" x14ac:dyDescent="0.25">
      <c r="A239" s="4">
        <v>41774</v>
      </c>
      <c r="B239" s="3">
        <f>YEAR(SalesData[[#This Row],[Order Date]])</f>
        <v>2014</v>
      </c>
      <c r="C239" s="3">
        <f>MONTH(SalesData[[#This Row],[Order Date]])</f>
        <v>5</v>
      </c>
      <c r="D239" t="s">
        <v>43</v>
      </c>
      <c r="E239" t="s">
        <v>34</v>
      </c>
      <c r="F239" t="s">
        <v>11</v>
      </c>
      <c r="G239" t="s">
        <v>35</v>
      </c>
      <c r="H239" t="s">
        <v>36</v>
      </c>
      <c r="I239" s="2">
        <v>841.77</v>
      </c>
      <c r="J239" s="3">
        <v>5</v>
      </c>
      <c r="K239" s="2">
        <v>65.540000000000006</v>
      </c>
    </row>
    <row r="240" spans="1:11" x14ac:dyDescent="0.25">
      <c r="A240" s="4">
        <v>41775</v>
      </c>
      <c r="B240" s="3">
        <f>YEAR(SalesData[[#This Row],[Order Date]])</f>
        <v>2014</v>
      </c>
      <c r="C240" s="3">
        <f>MONTH(SalesData[[#This Row],[Order Date]])</f>
        <v>5</v>
      </c>
      <c r="D240" t="s">
        <v>68</v>
      </c>
      <c r="E240" t="s">
        <v>60</v>
      </c>
      <c r="F240" t="s">
        <v>15</v>
      </c>
      <c r="G240" t="s">
        <v>63</v>
      </c>
      <c r="H240" t="s">
        <v>66</v>
      </c>
      <c r="I240" s="2">
        <v>3221.73</v>
      </c>
      <c r="J240" s="3">
        <v>8</v>
      </c>
      <c r="K240" s="2">
        <v>531.44000000000005</v>
      </c>
    </row>
    <row r="241" spans="1:11" x14ac:dyDescent="0.25">
      <c r="A241" s="4">
        <v>41776</v>
      </c>
      <c r="B241" s="3">
        <f>YEAR(SalesData[[#This Row],[Order Date]])</f>
        <v>2014</v>
      </c>
      <c r="C241" s="3">
        <f>MONTH(SalesData[[#This Row],[Order Date]])</f>
        <v>5</v>
      </c>
      <c r="D241" t="s">
        <v>20</v>
      </c>
      <c r="E241" t="s">
        <v>26</v>
      </c>
      <c r="F241" t="s">
        <v>27</v>
      </c>
      <c r="G241" t="s">
        <v>48</v>
      </c>
      <c r="H241" t="s">
        <v>57</v>
      </c>
      <c r="I241" s="2">
        <v>4622.6400000000003</v>
      </c>
      <c r="J241" s="3">
        <v>3</v>
      </c>
      <c r="K241" s="2">
        <v>1367.24</v>
      </c>
    </row>
    <row r="242" spans="1:11" x14ac:dyDescent="0.25">
      <c r="A242" s="4">
        <v>41776</v>
      </c>
      <c r="B242" s="3">
        <f>YEAR(SalesData[[#This Row],[Order Date]])</f>
        <v>2014</v>
      </c>
      <c r="C242" s="3">
        <f>MONTH(SalesData[[#This Row],[Order Date]])</f>
        <v>5</v>
      </c>
      <c r="D242" t="s">
        <v>50</v>
      </c>
      <c r="E242" t="s">
        <v>44</v>
      </c>
      <c r="F242" t="s">
        <v>11</v>
      </c>
      <c r="G242" t="s">
        <v>35</v>
      </c>
      <c r="H242" t="s">
        <v>71</v>
      </c>
      <c r="I242" s="2">
        <v>3401.51</v>
      </c>
      <c r="J242" s="3">
        <v>2</v>
      </c>
      <c r="K242" s="2">
        <v>28.58</v>
      </c>
    </row>
    <row r="243" spans="1:11" x14ac:dyDescent="0.25">
      <c r="A243" s="4">
        <v>41776</v>
      </c>
      <c r="B243" s="3">
        <f>YEAR(SalesData[[#This Row],[Order Date]])</f>
        <v>2014</v>
      </c>
      <c r="C243" s="3">
        <f>MONTH(SalesData[[#This Row],[Order Date]])</f>
        <v>5</v>
      </c>
      <c r="D243" t="s">
        <v>47</v>
      </c>
      <c r="E243" t="s">
        <v>10</v>
      </c>
      <c r="F243" t="s">
        <v>15</v>
      </c>
      <c r="G243" t="s">
        <v>45</v>
      </c>
      <c r="H243" t="s">
        <v>46</v>
      </c>
      <c r="I243" s="2">
        <v>3459.58</v>
      </c>
      <c r="J243" s="3">
        <v>9</v>
      </c>
      <c r="K243" s="2">
        <v>554.08000000000004</v>
      </c>
    </row>
    <row r="244" spans="1:11" x14ac:dyDescent="0.25">
      <c r="A244" s="4">
        <v>41776</v>
      </c>
      <c r="B244" s="3">
        <f>YEAR(SalesData[[#This Row],[Order Date]])</f>
        <v>2014</v>
      </c>
      <c r="C244" s="3">
        <f>MONTH(SalesData[[#This Row],[Order Date]])</f>
        <v>5</v>
      </c>
      <c r="D244" t="s">
        <v>9</v>
      </c>
      <c r="E244" t="s">
        <v>31</v>
      </c>
      <c r="F244" t="s">
        <v>11</v>
      </c>
      <c r="G244" t="s">
        <v>35</v>
      </c>
      <c r="H244" t="s">
        <v>36</v>
      </c>
      <c r="I244" s="2">
        <v>4657.75</v>
      </c>
      <c r="J244" s="3">
        <v>5</v>
      </c>
      <c r="K244" s="2">
        <v>384.35</v>
      </c>
    </row>
    <row r="245" spans="1:11" x14ac:dyDescent="0.25">
      <c r="A245" s="4">
        <v>41777</v>
      </c>
      <c r="B245" s="3">
        <f>YEAR(SalesData[[#This Row],[Order Date]])</f>
        <v>2014</v>
      </c>
      <c r="C245" s="3">
        <f>MONTH(SalesData[[#This Row],[Order Date]])</f>
        <v>5</v>
      </c>
      <c r="D245" t="s">
        <v>43</v>
      </c>
      <c r="E245" t="s">
        <v>34</v>
      </c>
      <c r="F245" t="s">
        <v>27</v>
      </c>
      <c r="G245" t="s">
        <v>32</v>
      </c>
      <c r="H245" t="s">
        <v>33</v>
      </c>
      <c r="I245" s="2">
        <v>4877.54</v>
      </c>
      <c r="J245" s="3">
        <v>6</v>
      </c>
      <c r="K245" s="2">
        <v>203.13</v>
      </c>
    </row>
    <row r="246" spans="1:11" x14ac:dyDescent="0.25">
      <c r="A246" s="4">
        <v>41777</v>
      </c>
      <c r="B246" s="3">
        <f>YEAR(SalesData[[#This Row],[Order Date]])</f>
        <v>2014</v>
      </c>
      <c r="C246" s="3">
        <f>MONTH(SalesData[[#This Row],[Order Date]])</f>
        <v>5</v>
      </c>
      <c r="D246" t="s">
        <v>18</v>
      </c>
      <c r="E246" t="s">
        <v>31</v>
      </c>
      <c r="F246" t="s">
        <v>27</v>
      </c>
      <c r="G246" t="s">
        <v>48</v>
      </c>
      <c r="H246" t="s">
        <v>49</v>
      </c>
      <c r="I246" s="2">
        <v>300.38</v>
      </c>
      <c r="J246" s="3">
        <v>4</v>
      </c>
      <c r="K246" s="2">
        <v>19.36</v>
      </c>
    </row>
    <row r="247" spans="1:11" x14ac:dyDescent="0.25">
      <c r="A247" s="4">
        <v>41779</v>
      </c>
      <c r="B247" s="3">
        <f>YEAR(SalesData[[#This Row],[Order Date]])</f>
        <v>2014</v>
      </c>
      <c r="C247" s="3">
        <f>MONTH(SalesData[[#This Row],[Order Date]])</f>
        <v>5</v>
      </c>
      <c r="D247" t="s">
        <v>18</v>
      </c>
      <c r="E247" t="s">
        <v>31</v>
      </c>
      <c r="F247" t="s">
        <v>11</v>
      </c>
      <c r="G247" t="s">
        <v>12</v>
      </c>
      <c r="H247" t="s">
        <v>65</v>
      </c>
      <c r="I247" s="2">
        <v>4449.6099999999997</v>
      </c>
      <c r="J247" s="3">
        <v>6</v>
      </c>
      <c r="K247" s="2">
        <v>1287.6400000000001</v>
      </c>
    </row>
    <row r="248" spans="1:11" x14ac:dyDescent="0.25">
      <c r="A248" s="4">
        <v>41780</v>
      </c>
      <c r="B248" s="3">
        <f>YEAR(SalesData[[#This Row],[Order Date]])</f>
        <v>2014</v>
      </c>
      <c r="C248" s="3">
        <f>MONTH(SalesData[[#This Row],[Order Date]])</f>
        <v>5</v>
      </c>
      <c r="D248" t="s">
        <v>23</v>
      </c>
      <c r="E248" t="s">
        <v>52</v>
      </c>
      <c r="F248" t="s">
        <v>27</v>
      </c>
      <c r="G248" t="s">
        <v>28</v>
      </c>
      <c r="H248" t="s">
        <v>69</v>
      </c>
      <c r="I248" s="2">
        <v>2361.5700000000002</v>
      </c>
      <c r="J248" s="3">
        <v>8</v>
      </c>
      <c r="K248" s="2">
        <v>314.08999999999997</v>
      </c>
    </row>
    <row r="249" spans="1:11" x14ac:dyDescent="0.25">
      <c r="A249" s="4">
        <v>41781</v>
      </c>
      <c r="B249" s="3">
        <f>YEAR(SalesData[[#This Row],[Order Date]])</f>
        <v>2014</v>
      </c>
      <c r="C249" s="3">
        <f>MONTH(SalesData[[#This Row],[Order Date]])</f>
        <v>5</v>
      </c>
      <c r="D249" t="s">
        <v>50</v>
      </c>
      <c r="E249" t="s">
        <v>10</v>
      </c>
      <c r="F249" t="s">
        <v>27</v>
      </c>
      <c r="G249" t="s">
        <v>48</v>
      </c>
      <c r="H249" t="s">
        <v>57</v>
      </c>
      <c r="I249" s="2">
        <v>4559.38</v>
      </c>
      <c r="J249" s="3">
        <v>5</v>
      </c>
      <c r="K249" s="2">
        <v>981.54</v>
      </c>
    </row>
    <row r="250" spans="1:11" x14ac:dyDescent="0.25">
      <c r="A250" s="4">
        <v>41781</v>
      </c>
      <c r="B250" s="3">
        <f>YEAR(SalesData[[#This Row],[Order Date]])</f>
        <v>2014</v>
      </c>
      <c r="C250" s="3">
        <f>MONTH(SalesData[[#This Row],[Order Date]])</f>
        <v>5</v>
      </c>
      <c r="D250" t="s">
        <v>20</v>
      </c>
      <c r="E250" t="s">
        <v>40</v>
      </c>
      <c r="F250" t="s">
        <v>15</v>
      </c>
      <c r="G250" t="s">
        <v>16</v>
      </c>
      <c r="H250" t="s">
        <v>51</v>
      </c>
      <c r="I250" s="2">
        <v>2155.5300000000002</v>
      </c>
      <c r="J250" s="3">
        <v>1</v>
      </c>
      <c r="K250" s="2">
        <v>254.77</v>
      </c>
    </row>
    <row r="251" spans="1:11" x14ac:dyDescent="0.25">
      <c r="A251" s="4">
        <v>41783</v>
      </c>
      <c r="B251" s="3">
        <f>YEAR(SalesData[[#This Row],[Order Date]])</f>
        <v>2014</v>
      </c>
      <c r="C251" s="3">
        <f>MONTH(SalesData[[#This Row],[Order Date]])</f>
        <v>5</v>
      </c>
      <c r="D251" t="s">
        <v>30</v>
      </c>
      <c r="E251" t="s">
        <v>31</v>
      </c>
      <c r="F251" t="s">
        <v>11</v>
      </c>
      <c r="G251" t="s">
        <v>24</v>
      </c>
      <c r="H251" t="s">
        <v>54</v>
      </c>
      <c r="I251" s="2">
        <v>4110.6499999999996</v>
      </c>
      <c r="J251" s="3">
        <v>8</v>
      </c>
      <c r="K251" s="2">
        <v>466.39</v>
      </c>
    </row>
    <row r="252" spans="1:11" x14ac:dyDescent="0.25">
      <c r="A252" s="4">
        <v>41783</v>
      </c>
      <c r="B252" s="3">
        <f>YEAR(SalesData[[#This Row],[Order Date]])</f>
        <v>2014</v>
      </c>
      <c r="C252" s="3">
        <f>MONTH(SalesData[[#This Row],[Order Date]])</f>
        <v>5</v>
      </c>
      <c r="D252" t="s">
        <v>9</v>
      </c>
      <c r="E252" t="s">
        <v>44</v>
      </c>
      <c r="F252" t="s">
        <v>11</v>
      </c>
      <c r="G252" t="s">
        <v>24</v>
      </c>
      <c r="H252" t="s">
        <v>54</v>
      </c>
      <c r="I252" s="2">
        <v>841.78</v>
      </c>
      <c r="J252" s="3">
        <v>6</v>
      </c>
      <c r="K252" s="2">
        <v>65.31</v>
      </c>
    </row>
    <row r="253" spans="1:11" x14ac:dyDescent="0.25">
      <c r="A253" s="4">
        <v>41784</v>
      </c>
      <c r="B253" s="3">
        <f>YEAR(SalesData[[#This Row],[Order Date]])</f>
        <v>2014</v>
      </c>
      <c r="C253" s="3">
        <f>MONTH(SalesData[[#This Row],[Order Date]])</f>
        <v>5</v>
      </c>
      <c r="D253" t="s">
        <v>55</v>
      </c>
      <c r="E253" t="s">
        <v>44</v>
      </c>
      <c r="F253" t="s">
        <v>11</v>
      </c>
      <c r="G253" t="s">
        <v>21</v>
      </c>
      <c r="H253" t="s">
        <v>67</v>
      </c>
      <c r="I253" s="2">
        <v>48.17</v>
      </c>
      <c r="J253" s="3">
        <v>1</v>
      </c>
      <c r="K253" s="2">
        <v>4.17</v>
      </c>
    </row>
    <row r="254" spans="1:11" x14ac:dyDescent="0.25">
      <c r="A254" s="4">
        <v>41789</v>
      </c>
      <c r="B254" s="3">
        <f>YEAR(SalesData[[#This Row],[Order Date]])</f>
        <v>2014</v>
      </c>
      <c r="C254" s="3">
        <f>MONTH(SalesData[[#This Row],[Order Date]])</f>
        <v>5</v>
      </c>
      <c r="D254" t="s">
        <v>55</v>
      </c>
      <c r="E254" t="s">
        <v>31</v>
      </c>
      <c r="F254" t="s">
        <v>27</v>
      </c>
      <c r="G254" t="s">
        <v>28</v>
      </c>
      <c r="H254" t="s">
        <v>58</v>
      </c>
      <c r="I254" s="2">
        <v>2656.47</v>
      </c>
      <c r="J254" s="3">
        <v>7</v>
      </c>
      <c r="K254" s="2">
        <v>344.29</v>
      </c>
    </row>
    <row r="255" spans="1:11" x14ac:dyDescent="0.25">
      <c r="A255" s="4">
        <v>41790</v>
      </c>
      <c r="B255" s="3">
        <f>YEAR(SalesData[[#This Row],[Order Date]])</f>
        <v>2014</v>
      </c>
      <c r="C255" s="3">
        <f>MONTH(SalesData[[#This Row],[Order Date]])</f>
        <v>5</v>
      </c>
      <c r="D255" t="s">
        <v>14</v>
      </c>
      <c r="E255" t="s">
        <v>10</v>
      </c>
      <c r="F255" t="s">
        <v>11</v>
      </c>
      <c r="G255" t="s">
        <v>21</v>
      </c>
      <c r="H255" t="s">
        <v>22</v>
      </c>
      <c r="I255" s="2">
        <v>2344.9699999999998</v>
      </c>
      <c r="J255" s="3">
        <v>5</v>
      </c>
      <c r="K255" s="2">
        <v>87.83</v>
      </c>
    </row>
    <row r="256" spans="1:11" x14ac:dyDescent="0.25">
      <c r="A256" s="4">
        <v>41791</v>
      </c>
      <c r="B256" s="3">
        <f>YEAR(SalesData[[#This Row],[Order Date]])</f>
        <v>2014</v>
      </c>
      <c r="C256" s="3">
        <f>MONTH(SalesData[[#This Row],[Order Date]])</f>
        <v>6</v>
      </c>
      <c r="D256" t="s">
        <v>30</v>
      </c>
      <c r="E256" t="s">
        <v>37</v>
      </c>
      <c r="F256" t="s">
        <v>11</v>
      </c>
      <c r="G256" t="s">
        <v>24</v>
      </c>
      <c r="H256" t="s">
        <v>25</v>
      </c>
      <c r="I256" s="2">
        <v>2039.65</v>
      </c>
      <c r="J256" s="3">
        <v>3</v>
      </c>
      <c r="K256" s="2">
        <v>579.35</v>
      </c>
    </row>
    <row r="257" spans="1:11" x14ac:dyDescent="0.25">
      <c r="A257" s="4">
        <v>41791</v>
      </c>
      <c r="B257" s="3">
        <f>YEAR(SalesData[[#This Row],[Order Date]])</f>
        <v>2014</v>
      </c>
      <c r="C257" s="3">
        <f>MONTH(SalesData[[#This Row],[Order Date]])</f>
        <v>6</v>
      </c>
      <c r="D257" t="s">
        <v>43</v>
      </c>
      <c r="E257" t="s">
        <v>31</v>
      </c>
      <c r="F257" t="s">
        <v>11</v>
      </c>
      <c r="G257" t="s">
        <v>12</v>
      </c>
      <c r="H257" t="s">
        <v>65</v>
      </c>
      <c r="I257" s="2">
        <v>2819.81</v>
      </c>
      <c r="J257" s="3">
        <v>4</v>
      </c>
      <c r="K257" s="2">
        <v>537.24</v>
      </c>
    </row>
    <row r="258" spans="1:11" x14ac:dyDescent="0.25">
      <c r="A258" s="4">
        <v>41791</v>
      </c>
      <c r="B258" s="3">
        <f>YEAR(SalesData[[#This Row],[Order Date]])</f>
        <v>2014</v>
      </c>
      <c r="C258" s="3">
        <f>MONTH(SalesData[[#This Row],[Order Date]])</f>
        <v>6</v>
      </c>
      <c r="D258" t="s">
        <v>30</v>
      </c>
      <c r="E258" t="s">
        <v>52</v>
      </c>
      <c r="F258" t="s">
        <v>11</v>
      </c>
      <c r="G258" t="s">
        <v>24</v>
      </c>
      <c r="H258" t="s">
        <v>54</v>
      </c>
      <c r="I258" s="2">
        <v>2492.4699999999998</v>
      </c>
      <c r="J258" s="3">
        <v>5</v>
      </c>
      <c r="K258" s="2">
        <v>482.95</v>
      </c>
    </row>
    <row r="259" spans="1:11" x14ac:dyDescent="0.25">
      <c r="A259" s="4">
        <v>41791</v>
      </c>
      <c r="B259" s="3">
        <f>YEAR(SalesData[[#This Row],[Order Date]])</f>
        <v>2014</v>
      </c>
      <c r="C259" s="3">
        <f>MONTH(SalesData[[#This Row],[Order Date]])</f>
        <v>6</v>
      </c>
      <c r="D259" t="s">
        <v>23</v>
      </c>
      <c r="E259" t="s">
        <v>26</v>
      </c>
      <c r="F259" t="s">
        <v>11</v>
      </c>
      <c r="G259" t="s">
        <v>24</v>
      </c>
      <c r="H259" t="s">
        <v>25</v>
      </c>
      <c r="I259" s="2">
        <v>713.74</v>
      </c>
      <c r="J259" s="3">
        <v>1</v>
      </c>
      <c r="K259" s="2">
        <v>163.62</v>
      </c>
    </row>
    <row r="260" spans="1:11" x14ac:dyDescent="0.25">
      <c r="A260" s="4">
        <v>41791</v>
      </c>
      <c r="B260" s="3">
        <f>YEAR(SalesData[[#This Row],[Order Date]])</f>
        <v>2014</v>
      </c>
      <c r="C260" s="3">
        <f>MONTH(SalesData[[#This Row],[Order Date]])</f>
        <v>6</v>
      </c>
      <c r="D260" t="s">
        <v>47</v>
      </c>
      <c r="E260" t="s">
        <v>44</v>
      </c>
      <c r="F260" t="s">
        <v>15</v>
      </c>
      <c r="G260" t="s">
        <v>45</v>
      </c>
      <c r="H260" t="s">
        <v>59</v>
      </c>
      <c r="I260" s="2">
        <v>2605.6799999999998</v>
      </c>
      <c r="J260" s="3">
        <v>4</v>
      </c>
      <c r="K260" s="2">
        <v>366.05</v>
      </c>
    </row>
    <row r="261" spans="1:11" x14ac:dyDescent="0.25">
      <c r="A261" s="4">
        <v>41791</v>
      </c>
      <c r="B261" s="3">
        <f>YEAR(SalesData[[#This Row],[Order Date]])</f>
        <v>2014</v>
      </c>
      <c r="C261" s="3">
        <f>MONTH(SalesData[[#This Row],[Order Date]])</f>
        <v>6</v>
      </c>
      <c r="D261" t="s">
        <v>43</v>
      </c>
      <c r="E261" t="s">
        <v>40</v>
      </c>
      <c r="F261" t="s">
        <v>11</v>
      </c>
      <c r="G261" t="s">
        <v>24</v>
      </c>
      <c r="H261" t="s">
        <v>54</v>
      </c>
      <c r="I261" s="2">
        <v>3163.94</v>
      </c>
      <c r="J261" s="3">
        <v>8</v>
      </c>
      <c r="K261" s="2">
        <v>855.07</v>
      </c>
    </row>
    <row r="262" spans="1:11" x14ac:dyDescent="0.25">
      <c r="A262" s="4">
        <v>41792</v>
      </c>
      <c r="B262" s="3">
        <f>YEAR(SalesData[[#This Row],[Order Date]])</f>
        <v>2014</v>
      </c>
      <c r="C262" s="3">
        <f>MONTH(SalesData[[#This Row],[Order Date]])</f>
        <v>6</v>
      </c>
      <c r="D262" t="s">
        <v>55</v>
      </c>
      <c r="E262" t="s">
        <v>34</v>
      </c>
      <c r="F262" t="s">
        <v>15</v>
      </c>
      <c r="G262" t="s">
        <v>63</v>
      </c>
      <c r="H262" t="s">
        <v>66</v>
      </c>
      <c r="I262" s="2">
        <v>4792.3599999999997</v>
      </c>
      <c r="J262" s="3">
        <v>5</v>
      </c>
      <c r="K262" s="2">
        <v>1163.54</v>
      </c>
    </row>
    <row r="263" spans="1:11" x14ac:dyDescent="0.25">
      <c r="A263" s="4">
        <v>41793</v>
      </c>
      <c r="B263" s="3">
        <f>YEAR(SalesData[[#This Row],[Order Date]])</f>
        <v>2014</v>
      </c>
      <c r="C263" s="3">
        <f>MONTH(SalesData[[#This Row],[Order Date]])</f>
        <v>6</v>
      </c>
      <c r="D263" t="s">
        <v>68</v>
      </c>
      <c r="E263" t="s">
        <v>34</v>
      </c>
      <c r="F263" t="s">
        <v>11</v>
      </c>
      <c r="G263" t="s">
        <v>35</v>
      </c>
      <c r="H263" t="s">
        <v>71</v>
      </c>
      <c r="I263" s="2">
        <v>1028.3499999999999</v>
      </c>
      <c r="J263" s="3">
        <v>3</v>
      </c>
      <c r="K263" s="2">
        <v>11.49</v>
      </c>
    </row>
    <row r="264" spans="1:11" x14ac:dyDescent="0.25">
      <c r="A264" s="4">
        <v>41793</v>
      </c>
      <c r="B264" s="3">
        <f>YEAR(SalesData[[#This Row],[Order Date]])</f>
        <v>2014</v>
      </c>
      <c r="C264" s="3">
        <f>MONTH(SalesData[[#This Row],[Order Date]])</f>
        <v>6</v>
      </c>
      <c r="D264" t="s">
        <v>43</v>
      </c>
      <c r="E264" t="s">
        <v>52</v>
      </c>
      <c r="F264" t="s">
        <v>27</v>
      </c>
      <c r="G264" t="s">
        <v>48</v>
      </c>
      <c r="H264" t="s">
        <v>57</v>
      </c>
      <c r="I264" s="2">
        <v>3546.99</v>
      </c>
      <c r="J264" s="3">
        <v>4</v>
      </c>
      <c r="K264" s="2">
        <v>787.96</v>
      </c>
    </row>
    <row r="265" spans="1:11" x14ac:dyDescent="0.25">
      <c r="A265" s="4">
        <v>41794</v>
      </c>
      <c r="B265" s="3">
        <f>YEAR(SalesData[[#This Row],[Order Date]])</f>
        <v>2014</v>
      </c>
      <c r="C265" s="3">
        <f>MONTH(SalesData[[#This Row],[Order Date]])</f>
        <v>6</v>
      </c>
      <c r="D265" t="s">
        <v>20</v>
      </c>
      <c r="E265" t="s">
        <v>26</v>
      </c>
      <c r="F265" t="s">
        <v>11</v>
      </c>
      <c r="G265" t="s">
        <v>21</v>
      </c>
      <c r="H265" t="s">
        <v>22</v>
      </c>
      <c r="I265" s="2">
        <v>688.54</v>
      </c>
      <c r="J265" s="3">
        <v>2</v>
      </c>
      <c r="K265" s="2">
        <v>51.37</v>
      </c>
    </row>
    <row r="266" spans="1:11" x14ac:dyDescent="0.25">
      <c r="A266" s="4">
        <v>41794</v>
      </c>
      <c r="B266" s="3">
        <f>YEAR(SalesData[[#This Row],[Order Date]])</f>
        <v>2014</v>
      </c>
      <c r="C266" s="3">
        <f>MONTH(SalesData[[#This Row],[Order Date]])</f>
        <v>6</v>
      </c>
      <c r="D266" t="s">
        <v>23</v>
      </c>
      <c r="E266" t="s">
        <v>19</v>
      </c>
      <c r="F266" t="s">
        <v>11</v>
      </c>
      <c r="G266" t="s">
        <v>35</v>
      </c>
      <c r="H266" t="s">
        <v>70</v>
      </c>
      <c r="I266" s="2">
        <v>3385.29</v>
      </c>
      <c r="J266" s="3">
        <v>3</v>
      </c>
      <c r="K266" s="2">
        <v>995.95</v>
      </c>
    </row>
    <row r="267" spans="1:11" x14ac:dyDescent="0.25">
      <c r="A267" s="4">
        <v>41796</v>
      </c>
      <c r="B267" s="3">
        <f>YEAR(SalesData[[#This Row],[Order Date]])</f>
        <v>2014</v>
      </c>
      <c r="C267" s="3">
        <f>MONTH(SalesData[[#This Row],[Order Date]])</f>
        <v>6</v>
      </c>
      <c r="D267" t="s">
        <v>18</v>
      </c>
      <c r="E267" t="s">
        <v>26</v>
      </c>
      <c r="F267" t="s">
        <v>15</v>
      </c>
      <c r="G267" t="s">
        <v>63</v>
      </c>
      <c r="H267" t="s">
        <v>66</v>
      </c>
      <c r="I267" s="2">
        <v>489.14</v>
      </c>
      <c r="J267" s="3">
        <v>4</v>
      </c>
      <c r="K267" s="2">
        <v>125.33</v>
      </c>
    </row>
    <row r="268" spans="1:11" x14ac:dyDescent="0.25">
      <c r="A268" s="4">
        <v>41796</v>
      </c>
      <c r="B268" s="3">
        <f>YEAR(SalesData[[#This Row],[Order Date]])</f>
        <v>2014</v>
      </c>
      <c r="C268" s="3">
        <f>MONTH(SalesData[[#This Row],[Order Date]])</f>
        <v>6</v>
      </c>
      <c r="D268" t="s">
        <v>20</v>
      </c>
      <c r="E268" t="s">
        <v>31</v>
      </c>
      <c r="F268" t="s">
        <v>27</v>
      </c>
      <c r="G268" t="s">
        <v>28</v>
      </c>
      <c r="H268" t="s">
        <v>58</v>
      </c>
      <c r="I268" s="2">
        <v>285.92</v>
      </c>
      <c r="J268" s="3">
        <v>6</v>
      </c>
      <c r="K268" s="2">
        <v>48.99</v>
      </c>
    </row>
    <row r="269" spans="1:11" x14ac:dyDescent="0.25">
      <c r="A269" s="4">
        <v>41797</v>
      </c>
      <c r="B269" s="3">
        <f>YEAR(SalesData[[#This Row],[Order Date]])</f>
        <v>2014</v>
      </c>
      <c r="C269" s="3">
        <f>MONTH(SalesData[[#This Row],[Order Date]])</f>
        <v>6</v>
      </c>
      <c r="D269" t="s">
        <v>20</v>
      </c>
      <c r="E269" t="s">
        <v>60</v>
      </c>
      <c r="F269" t="s">
        <v>27</v>
      </c>
      <c r="G269" t="s">
        <v>32</v>
      </c>
      <c r="H269" t="s">
        <v>33</v>
      </c>
      <c r="I269" s="2">
        <v>4669.24</v>
      </c>
      <c r="J269" s="3">
        <v>9</v>
      </c>
      <c r="K269" s="2">
        <v>324.04000000000002</v>
      </c>
    </row>
    <row r="270" spans="1:11" x14ac:dyDescent="0.25">
      <c r="A270" s="4">
        <v>41797</v>
      </c>
      <c r="B270" s="3">
        <f>YEAR(SalesData[[#This Row],[Order Date]])</f>
        <v>2014</v>
      </c>
      <c r="C270" s="3">
        <f>MONTH(SalesData[[#This Row],[Order Date]])</f>
        <v>6</v>
      </c>
      <c r="D270" t="s">
        <v>43</v>
      </c>
      <c r="E270" t="s">
        <v>34</v>
      </c>
      <c r="F270" t="s">
        <v>15</v>
      </c>
      <c r="G270" t="s">
        <v>41</v>
      </c>
      <c r="H270" t="s">
        <v>42</v>
      </c>
      <c r="I270" s="2">
        <v>1094.76</v>
      </c>
      <c r="J270" s="3">
        <v>5</v>
      </c>
      <c r="K270" s="2">
        <v>112.82</v>
      </c>
    </row>
    <row r="271" spans="1:11" x14ac:dyDescent="0.25">
      <c r="A271" s="4">
        <v>41798</v>
      </c>
      <c r="B271" s="3">
        <f>YEAR(SalesData[[#This Row],[Order Date]])</f>
        <v>2014</v>
      </c>
      <c r="C271" s="3">
        <f>MONTH(SalesData[[#This Row],[Order Date]])</f>
        <v>6</v>
      </c>
      <c r="D271" t="s">
        <v>55</v>
      </c>
      <c r="E271" t="s">
        <v>60</v>
      </c>
      <c r="F271" t="s">
        <v>15</v>
      </c>
      <c r="G271" t="s">
        <v>16</v>
      </c>
      <c r="H271" t="s">
        <v>51</v>
      </c>
      <c r="I271" s="2">
        <v>3697.35</v>
      </c>
      <c r="J271" s="3">
        <v>1</v>
      </c>
      <c r="K271" s="2">
        <v>684.45</v>
      </c>
    </row>
    <row r="272" spans="1:11" x14ac:dyDescent="0.25">
      <c r="A272" s="4">
        <v>41798</v>
      </c>
      <c r="B272" s="3">
        <f>YEAR(SalesData[[#This Row],[Order Date]])</f>
        <v>2014</v>
      </c>
      <c r="C272" s="3">
        <f>MONTH(SalesData[[#This Row],[Order Date]])</f>
        <v>6</v>
      </c>
      <c r="D272" t="s">
        <v>43</v>
      </c>
      <c r="E272" t="s">
        <v>26</v>
      </c>
      <c r="F272" t="s">
        <v>11</v>
      </c>
      <c r="G272" t="s">
        <v>35</v>
      </c>
      <c r="H272" t="s">
        <v>36</v>
      </c>
      <c r="I272" s="2">
        <v>3856.51</v>
      </c>
      <c r="J272" s="3">
        <v>5</v>
      </c>
      <c r="K272" s="2">
        <v>995.99</v>
      </c>
    </row>
    <row r="273" spans="1:11" x14ac:dyDescent="0.25">
      <c r="A273" s="4">
        <v>41798</v>
      </c>
      <c r="B273" s="3">
        <f>YEAR(SalesData[[#This Row],[Order Date]])</f>
        <v>2014</v>
      </c>
      <c r="C273" s="3">
        <f>MONTH(SalesData[[#This Row],[Order Date]])</f>
        <v>6</v>
      </c>
      <c r="D273" t="s">
        <v>18</v>
      </c>
      <c r="E273" t="s">
        <v>37</v>
      </c>
      <c r="F273" t="s">
        <v>27</v>
      </c>
      <c r="G273" t="s">
        <v>32</v>
      </c>
      <c r="H273" t="s">
        <v>53</v>
      </c>
      <c r="I273" s="2">
        <v>2592.6999999999998</v>
      </c>
      <c r="J273" s="3">
        <v>1</v>
      </c>
      <c r="K273" s="2">
        <v>47.34</v>
      </c>
    </row>
    <row r="274" spans="1:11" x14ac:dyDescent="0.25">
      <c r="A274" s="4">
        <v>41798</v>
      </c>
      <c r="B274" s="3">
        <f>YEAR(SalesData[[#This Row],[Order Date]])</f>
        <v>2014</v>
      </c>
      <c r="C274" s="3">
        <f>MONTH(SalesData[[#This Row],[Order Date]])</f>
        <v>6</v>
      </c>
      <c r="D274" t="s">
        <v>18</v>
      </c>
      <c r="E274" t="s">
        <v>26</v>
      </c>
      <c r="F274" t="s">
        <v>27</v>
      </c>
      <c r="G274" t="s">
        <v>28</v>
      </c>
      <c r="H274" t="s">
        <v>69</v>
      </c>
      <c r="I274" s="2">
        <v>4567.67</v>
      </c>
      <c r="J274" s="3">
        <v>9</v>
      </c>
      <c r="K274" s="2">
        <v>279.12</v>
      </c>
    </row>
    <row r="275" spans="1:11" x14ac:dyDescent="0.25">
      <c r="A275" s="4">
        <v>41799</v>
      </c>
      <c r="B275" s="3">
        <f>YEAR(SalesData[[#This Row],[Order Date]])</f>
        <v>2014</v>
      </c>
      <c r="C275" s="3">
        <f>MONTH(SalesData[[#This Row],[Order Date]])</f>
        <v>6</v>
      </c>
      <c r="D275" t="s">
        <v>50</v>
      </c>
      <c r="E275" t="s">
        <v>31</v>
      </c>
      <c r="F275" t="s">
        <v>11</v>
      </c>
      <c r="G275" t="s">
        <v>24</v>
      </c>
      <c r="H275" t="s">
        <v>25</v>
      </c>
      <c r="I275" s="2">
        <v>420.93</v>
      </c>
      <c r="J275" s="3">
        <v>4</v>
      </c>
      <c r="K275" s="2">
        <v>87.02</v>
      </c>
    </row>
    <row r="276" spans="1:11" x14ac:dyDescent="0.25">
      <c r="A276" s="4">
        <v>41800</v>
      </c>
      <c r="B276" s="3">
        <f>YEAR(SalesData[[#This Row],[Order Date]])</f>
        <v>2014</v>
      </c>
      <c r="C276" s="3">
        <f>MONTH(SalesData[[#This Row],[Order Date]])</f>
        <v>6</v>
      </c>
      <c r="D276" t="s">
        <v>18</v>
      </c>
      <c r="E276" t="s">
        <v>52</v>
      </c>
      <c r="F276" t="s">
        <v>27</v>
      </c>
      <c r="G276" t="s">
        <v>48</v>
      </c>
      <c r="H276" t="s">
        <v>49</v>
      </c>
      <c r="I276" s="2">
        <v>636.32000000000005</v>
      </c>
      <c r="J276" s="3">
        <v>1</v>
      </c>
      <c r="K276" s="2">
        <v>34.06</v>
      </c>
    </row>
    <row r="277" spans="1:11" x14ac:dyDescent="0.25">
      <c r="A277" s="4">
        <v>41801</v>
      </c>
      <c r="B277" s="3">
        <f>YEAR(SalesData[[#This Row],[Order Date]])</f>
        <v>2014</v>
      </c>
      <c r="C277" s="3">
        <f>MONTH(SalesData[[#This Row],[Order Date]])</f>
        <v>6</v>
      </c>
      <c r="D277" t="s">
        <v>55</v>
      </c>
      <c r="E277" t="s">
        <v>37</v>
      </c>
      <c r="F277" t="s">
        <v>11</v>
      </c>
      <c r="G277" t="s">
        <v>21</v>
      </c>
      <c r="H277" t="s">
        <v>22</v>
      </c>
      <c r="I277" s="2">
        <v>1832.01</v>
      </c>
      <c r="J277" s="3">
        <v>5</v>
      </c>
      <c r="K277" s="2">
        <v>365.61</v>
      </c>
    </row>
    <row r="278" spans="1:11" x14ac:dyDescent="0.25">
      <c r="A278" s="4">
        <v>41801</v>
      </c>
      <c r="B278" s="3">
        <f>YEAR(SalesData[[#This Row],[Order Date]])</f>
        <v>2014</v>
      </c>
      <c r="C278" s="3">
        <f>MONTH(SalesData[[#This Row],[Order Date]])</f>
        <v>6</v>
      </c>
      <c r="D278" t="s">
        <v>68</v>
      </c>
      <c r="E278" t="s">
        <v>19</v>
      </c>
      <c r="F278" t="s">
        <v>15</v>
      </c>
      <c r="G278" t="s">
        <v>16</v>
      </c>
      <c r="H278" t="s">
        <v>17</v>
      </c>
      <c r="I278" s="2">
        <v>261.66000000000003</v>
      </c>
      <c r="J278" s="3">
        <v>8</v>
      </c>
      <c r="K278" s="2">
        <v>32.299999999999997</v>
      </c>
    </row>
    <row r="279" spans="1:11" x14ac:dyDescent="0.25">
      <c r="A279" s="4">
        <v>41802</v>
      </c>
      <c r="B279" s="3">
        <f>YEAR(SalesData[[#This Row],[Order Date]])</f>
        <v>2014</v>
      </c>
      <c r="C279" s="3">
        <f>MONTH(SalesData[[#This Row],[Order Date]])</f>
        <v>6</v>
      </c>
      <c r="D279" t="s">
        <v>47</v>
      </c>
      <c r="E279" t="s">
        <v>40</v>
      </c>
      <c r="F279" t="s">
        <v>27</v>
      </c>
      <c r="G279" t="s">
        <v>28</v>
      </c>
      <c r="H279" t="s">
        <v>58</v>
      </c>
      <c r="I279" s="2">
        <v>1035.22</v>
      </c>
      <c r="J279" s="3">
        <v>4</v>
      </c>
      <c r="K279" s="2">
        <v>119.99</v>
      </c>
    </row>
    <row r="280" spans="1:11" x14ac:dyDescent="0.25">
      <c r="A280" s="4">
        <v>41802</v>
      </c>
      <c r="B280" s="3">
        <f>YEAR(SalesData[[#This Row],[Order Date]])</f>
        <v>2014</v>
      </c>
      <c r="C280" s="3">
        <f>MONTH(SalesData[[#This Row],[Order Date]])</f>
        <v>6</v>
      </c>
      <c r="D280" t="s">
        <v>30</v>
      </c>
      <c r="E280" t="s">
        <v>10</v>
      </c>
      <c r="F280" t="s">
        <v>15</v>
      </c>
      <c r="G280" t="s">
        <v>45</v>
      </c>
      <c r="H280" t="s">
        <v>46</v>
      </c>
      <c r="I280" s="2">
        <v>95.06</v>
      </c>
      <c r="J280" s="3">
        <v>10</v>
      </c>
      <c r="K280" s="2">
        <v>22.69</v>
      </c>
    </row>
    <row r="281" spans="1:11" x14ac:dyDescent="0.25">
      <c r="A281" s="4">
        <v>41805</v>
      </c>
      <c r="B281" s="3">
        <f>YEAR(SalesData[[#This Row],[Order Date]])</f>
        <v>2014</v>
      </c>
      <c r="C281" s="3">
        <f>MONTH(SalesData[[#This Row],[Order Date]])</f>
        <v>6</v>
      </c>
      <c r="D281" t="s">
        <v>23</v>
      </c>
      <c r="E281" t="s">
        <v>37</v>
      </c>
      <c r="F281" t="s">
        <v>15</v>
      </c>
      <c r="G281" t="s">
        <v>41</v>
      </c>
      <c r="H281" t="s">
        <v>42</v>
      </c>
      <c r="I281" s="2">
        <v>1025.98</v>
      </c>
      <c r="J281" s="3">
        <v>10</v>
      </c>
      <c r="K281" s="2">
        <v>35.78</v>
      </c>
    </row>
    <row r="282" spans="1:11" x14ac:dyDescent="0.25">
      <c r="A282" s="4">
        <v>41805</v>
      </c>
      <c r="B282" s="3">
        <f>YEAR(SalesData[[#This Row],[Order Date]])</f>
        <v>2014</v>
      </c>
      <c r="C282" s="3">
        <f>MONTH(SalesData[[#This Row],[Order Date]])</f>
        <v>6</v>
      </c>
      <c r="D282" t="s">
        <v>9</v>
      </c>
      <c r="E282" t="s">
        <v>52</v>
      </c>
      <c r="F282" t="s">
        <v>11</v>
      </c>
      <c r="G282" t="s">
        <v>21</v>
      </c>
      <c r="H282" t="s">
        <v>22</v>
      </c>
      <c r="I282" s="2">
        <v>272.66000000000003</v>
      </c>
      <c r="J282" s="3">
        <v>2</v>
      </c>
      <c r="K282" s="2">
        <v>12.65</v>
      </c>
    </row>
    <row r="283" spans="1:11" x14ac:dyDescent="0.25">
      <c r="A283" s="4">
        <v>41806</v>
      </c>
      <c r="B283" s="3">
        <f>YEAR(SalesData[[#This Row],[Order Date]])</f>
        <v>2014</v>
      </c>
      <c r="C283" s="3">
        <f>MONTH(SalesData[[#This Row],[Order Date]])</f>
        <v>6</v>
      </c>
      <c r="D283" t="s">
        <v>23</v>
      </c>
      <c r="E283" t="s">
        <v>40</v>
      </c>
      <c r="F283" t="s">
        <v>27</v>
      </c>
      <c r="G283" t="s">
        <v>48</v>
      </c>
      <c r="H283" t="s">
        <v>57</v>
      </c>
      <c r="I283" s="2">
        <v>1048.56</v>
      </c>
      <c r="J283" s="3">
        <v>6</v>
      </c>
      <c r="K283" s="2">
        <v>305.7</v>
      </c>
    </row>
    <row r="284" spans="1:11" x14ac:dyDescent="0.25">
      <c r="A284" s="4">
        <v>41806</v>
      </c>
      <c r="B284" s="3">
        <f>YEAR(SalesData[[#This Row],[Order Date]])</f>
        <v>2014</v>
      </c>
      <c r="C284" s="3">
        <f>MONTH(SalesData[[#This Row],[Order Date]])</f>
        <v>6</v>
      </c>
      <c r="D284" t="s">
        <v>55</v>
      </c>
      <c r="E284" t="s">
        <v>37</v>
      </c>
      <c r="F284" t="s">
        <v>11</v>
      </c>
      <c r="G284" t="s">
        <v>24</v>
      </c>
      <c r="H284" t="s">
        <v>54</v>
      </c>
      <c r="I284" s="2">
        <v>2483.71</v>
      </c>
      <c r="J284" s="3">
        <v>6</v>
      </c>
      <c r="K284" s="2">
        <v>16.66</v>
      </c>
    </row>
    <row r="285" spans="1:11" x14ac:dyDescent="0.25">
      <c r="A285" s="4">
        <v>41806</v>
      </c>
      <c r="B285" s="3">
        <f>YEAR(SalesData[[#This Row],[Order Date]])</f>
        <v>2014</v>
      </c>
      <c r="C285" s="3">
        <f>MONTH(SalesData[[#This Row],[Order Date]])</f>
        <v>6</v>
      </c>
      <c r="D285" t="s">
        <v>68</v>
      </c>
      <c r="E285" t="s">
        <v>44</v>
      </c>
      <c r="F285" t="s">
        <v>27</v>
      </c>
      <c r="G285" t="s">
        <v>48</v>
      </c>
      <c r="H285" t="s">
        <v>49</v>
      </c>
      <c r="I285" s="2">
        <v>1623.2</v>
      </c>
      <c r="J285" s="3">
        <v>2</v>
      </c>
      <c r="K285" s="2">
        <v>429.72</v>
      </c>
    </row>
    <row r="286" spans="1:11" x14ac:dyDescent="0.25">
      <c r="A286" s="4">
        <v>41807</v>
      </c>
      <c r="B286" s="3">
        <f>YEAR(SalesData[[#This Row],[Order Date]])</f>
        <v>2014</v>
      </c>
      <c r="C286" s="3">
        <f>MONTH(SalesData[[#This Row],[Order Date]])</f>
        <v>6</v>
      </c>
      <c r="D286" t="s">
        <v>47</v>
      </c>
      <c r="E286" t="s">
        <v>19</v>
      </c>
      <c r="F286" t="s">
        <v>11</v>
      </c>
      <c r="G286" t="s">
        <v>12</v>
      </c>
      <c r="H286" t="s">
        <v>13</v>
      </c>
      <c r="I286" s="2">
        <v>1665.01</v>
      </c>
      <c r="J286" s="3">
        <v>9</v>
      </c>
      <c r="K286" s="2">
        <v>258.89999999999998</v>
      </c>
    </row>
    <row r="287" spans="1:11" x14ac:dyDescent="0.25">
      <c r="A287" s="4">
        <v>41808</v>
      </c>
      <c r="B287" s="3">
        <f>YEAR(SalesData[[#This Row],[Order Date]])</f>
        <v>2014</v>
      </c>
      <c r="C287" s="3">
        <f>MONTH(SalesData[[#This Row],[Order Date]])</f>
        <v>6</v>
      </c>
      <c r="D287" t="s">
        <v>23</v>
      </c>
      <c r="E287" t="s">
        <v>34</v>
      </c>
      <c r="F287" t="s">
        <v>11</v>
      </c>
      <c r="G287" t="s">
        <v>21</v>
      </c>
      <c r="H287" t="s">
        <v>22</v>
      </c>
      <c r="I287" s="2">
        <v>978.3</v>
      </c>
      <c r="J287" s="3">
        <v>6</v>
      </c>
      <c r="K287" s="2">
        <v>127.88</v>
      </c>
    </row>
    <row r="288" spans="1:11" x14ac:dyDescent="0.25">
      <c r="A288" s="4">
        <v>41808</v>
      </c>
      <c r="B288" s="3">
        <f>YEAR(SalesData[[#This Row],[Order Date]])</f>
        <v>2014</v>
      </c>
      <c r="C288" s="3">
        <f>MONTH(SalesData[[#This Row],[Order Date]])</f>
        <v>6</v>
      </c>
      <c r="D288" t="s">
        <v>14</v>
      </c>
      <c r="E288" t="s">
        <v>34</v>
      </c>
      <c r="F288" t="s">
        <v>27</v>
      </c>
      <c r="G288" t="s">
        <v>48</v>
      </c>
      <c r="H288" t="s">
        <v>57</v>
      </c>
      <c r="I288" s="2">
        <v>4172.93</v>
      </c>
      <c r="J288" s="3">
        <v>9</v>
      </c>
      <c r="K288" s="2">
        <v>28.32</v>
      </c>
    </row>
    <row r="289" spans="1:11" x14ac:dyDescent="0.25">
      <c r="A289" s="4">
        <v>41808</v>
      </c>
      <c r="B289" s="3">
        <f>YEAR(SalesData[[#This Row],[Order Date]])</f>
        <v>2014</v>
      </c>
      <c r="C289" s="3">
        <f>MONTH(SalesData[[#This Row],[Order Date]])</f>
        <v>6</v>
      </c>
      <c r="D289" t="s">
        <v>20</v>
      </c>
      <c r="E289" t="s">
        <v>44</v>
      </c>
      <c r="F289" t="s">
        <v>27</v>
      </c>
      <c r="G289" t="s">
        <v>48</v>
      </c>
      <c r="H289" t="s">
        <v>49</v>
      </c>
      <c r="I289" s="2">
        <v>732.83</v>
      </c>
      <c r="J289" s="3">
        <v>9</v>
      </c>
      <c r="K289" s="2">
        <v>156.52000000000001</v>
      </c>
    </row>
    <row r="290" spans="1:11" x14ac:dyDescent="0.25">
      <c r="A290" s="4">
        <v>41809</v>
      </c>
      <c r="B290" s="3">
        <f>YEAR(SalesData[[#This Row],[Order Date]])</f>
        <v>2014</v>
      </c>
      <c r="C290" s="3">
        <f>MONTH(SalesData[[#This Row],[Order Date]])</f>
        <v>6</v>
      </c>
      <c r="D290" t="s">
        <v>47</v>
      </c>
      <c r="E290" t="s">
        <v>40</v>
      </c>
      <c r="F290" t="s">
        <v>27</v>
      </c>
      <c r="G290" t="s">
        <v>28</v>
      </c>
      <c r="H290" t="s">
        <v>58</v>
      </c>
      <c r="I290" s="2">
        <v>1671.79</v>
      </c>
      <c r="J290" s="3">
        <v>7</v>
      </c>
      <c r="K290" s="2">
        <v>234.13</v>
      </c>
    </row>
    <row r="291" spans="1:11" x14ac:dyDescent="0.25">
      <c r="A291" s="4">
        <v>41809</v>
      </c>
      <c r="B291" s="3">
        <f>YEAR(SalesData[[#This Row],[Order Date]])</f>
        <v>2014</v>
      </c>
      <c r="C291" s="3">
        <f>MONTH(SalesData[[#This Row],[Order Date]])</f>
        <v>6</v>
      </c>
      <c r="D291" t="s">
        <v>68</v>
      </c>
      <c r="E291" t="s">
        <v>26</v>
      </c>
      <c r="F291" t="s">
        <v>27</v>
      </c>
      <c r="G291" t="s">
        <v>48</v>
      </c>
      <c r="H291" t="s">
        <v>49</v>
      </c>
      <c r="I291" s="2">
        <v>2201.21</v>
      </c>
      <c r="J291" s="3">
        <v>10</v>
      </c>
      <c r="K291" s="2">
        <v>41.62</v>
      </c>
    </row>
    <row r="292" spans="1:11" x14ac:dyDescent="0.25">
      <c r="A292" s="4">
        <v>41809</v>
      </c>
      <c r="B292" s="3">
        <f>YEAR(SalesData[[#This Row],[Order Date]])</f>
        <v>2014</v>
      </c>
      <c r="C292" s="3">
        <f>MONTH(SalesData[[#This Row],[Order Date]])</f>
        <v>6</v>
      </c>
      <c r="D292" t="s">
        <v>14</v>
      </c>
      <c r="E292" t="s">
        <v>37</v>
      </c>
      <c r="F292" t="s">
        <v>15</v>
      </c>
      <c r="G292" t="s">
        <v>45</v>
      </c>
      <c r="H292" t="s">
        <v>46</v>
      </c>
      <c r="I292" s="2">
        <v>3985.98</v>
      </c>
      <c r="J292" s="3">
        <v>6</v>
      </c>
      <c r="K292" s="2">
        <v>870.39</v>
      </c>
    </row>
    <row r="293" spans="1:11" x14ac:dyDescent="0.25">
      <c r="A293" s="4">
        <v>41811</v>
      </c>
      <c r="B293" s="3">
        <f>YEAR(SalesData[[#This Row],[Order Date]])</f>
        <v>2014</v>
      </c>
      <c r="C293" s="3">
        <f>MONTH(SalesData[[#This Row],[Order Date]])</f>
        <v>6</v>
      </c>
      <c r="D293" t="s">
        <v>43</v>
      </c>
      <c r="E293" t="s">
        <v>37</v>
      </c>
      <c r="F293" t="s">
        <v>11</v>
      </c>
      <c r="G293" t="s">
        <v>21</v>
      </c>
      <c r="H293" t="s">
        <v>22</v>
      </c>
      <c r="I293" s="2">
        <v>3781.18</v>
      </c>
      <c r="J293" s="3">
        <v>1</v>
      </c>
      <c r="K293" s="2">
        <v>275.91000000000003</v>
      </c>
    </row>
    <row r="294" spans="1:11" x14ac:dyDescent="0.25">
      <c r="A294" s="4">
        <v>41812</v>
      </c>
      <c r="B294" s="3">
        <f>YEAR(SalesData[[#This Row],[Order Date]])</f>
        <v>2014</v>
      </c>
      <c r="C294" s="3">
        <f>MONTH(SalesData[[#This Row],[Order Date]])</f>
        <v>6</v>
      </c>
      <c r="D294" t="s">
        <v>50</v>
      </c>
      <c r="E294" t="s">
        <v>44</v>
      </c>
      <c r="F294" t="s">
        <v>11</v>
      </c>
      <c r="G294" t="s">
        <v>21</v>
      </c>
      <c r="H294" t="s">
        <v>22</v>
      </c>
      <c r="I294" s="2">
        <v>1373.7</v>
      </c>
      <c r="J294" s="3">
        <v>9</v>
      </c>
      <c r="K294" s="2">
        <v>34.770000000000003</v>
      </c>
    </row>
    <row r="295" spans="1:11" x14ac:dyDescent="0.25">
      <c r="A295" s="4">
        <v>41813</v>
      </c>
      <c r="B295" s="3">
        <f>YEAR(SalesData[[#This Row],[Order Date]])</f>
        <v>2014</v>
      </c>
      <c r="C295" s="3">
        <f>MONTH(SalesData[[#This Row],[Order Date]])</f>
        <v>6</v>
      </c>
      <c r="D295" t="s">
        <v>18</v>
      </c>
      <c r="E295" t="s">
        <v>31</v>
      </c>
      <c r="F295" t="s">
        <v>11</v>
      </c>
      <c r="G295" t="s">
        <v>24</v>
      </c>
      <c r="H295" t="s">
        <v>54</v>
      </c>
      <c r="I295" s="2">
        <v>4506.8999999999996</v>
      </c>
      <c r="J295" s="3">
        <v>10</v>
      </c>
      <c r="K295" s="2">
        <v>175.44</v>
      </c>
    </row>
    <row r="296" spans="1:11" x14ac:dyDescent="0.25">
      <c r="A296" s="4">
        <v>41813</v>
      </c>
      <c r="B296" s="3">
        <f>YEAR(SalesData[[#This Row],[Order Date]])</f>
        <v>2014</v>
      </c>
      <c r="C296" s="3">
        <f>MONTH(SalesData[[#This Row],[Order Date]])</f>
        <v>6</v>
      </c>
      <c r="D296" t="s">
        <v>20</v>
      </c>
      <c r="E296" t="s">
        <v>10</v>
      </c>
      <c r="F296" t="s">
        <v>15</v>
      </c>
      <c r="G296" t="s">
        <v>16</v>
      </c>
      <c r="H296" t="s">
        <v>17</v>
      </c>
      <c r="I296" s="2">
        <v>231.74</v>
      </c>
      <c r="J296" s="3">
        <v>4</v>
      </c>
      <c r="K296" s="2">
        <v>11.94</v>
      </c>
    </row>
    <row r="297" spans="1:11" x14ac:dyDescent="0.25">
      <c r="A297" s="4">
        <v>41813</v>
      </c>
      <c r="B297" s="3">
        <f>YEAR(SalesData[[#This Row],[Order Date]])</f>
        <v>2014</v>
      </c>
      <c r="C297" s="3">
        <f>MONTH(SalesData[[#This Row],[Order Date]])</f>
        <v>6</v>
      </c>
      <c r="D297" t="s">
        <v>9</v>
      </c>
      <c r="E297" t="s">
        <v>37</v>
      </c>
      <c r="F297" t="s">
        <v>15</v>
      </c>
      <c r="G297" t="s">
        <v>16</v>
      </c>
      <c r="H297" t="s">
        <v>17</v>
      </c>
      <c r="I297" s="2">
        <v>3497.73</v>
      </c>
      <c r="J297" s="3">
        <v>6</v>
      </c>
      <c r="K297" s="2">
        <v>1011.53</v>
      </c>
    </row>
    <row r="298" spans="1:11" x14ac:dyDescent="0.25">
      <c r="A298" s="4">
        <v>41813</v>
      </c>
      <c r="B298" s="3">
        <f>YEAR(SalesData[[#This Row],[Order Date]])</f>
        <v>2014</v>
      </c>
      <c r="C298" s="3">
        <f>MONTH(SalesData[[#This Row],[Order Date]])</f>
        <v>6</v>
      </c>
      <c r="D298" t="s">
        <v>9</v>
      </c>
      <c r="E298" t="s">
        <v>31</v>
      </c>
      <c r="F298" t="s">
        <v>15</v>
      </c>
      <c r="G298" t="s">
        <v>16</v>
      </c>
      <c r="H298" t="s">
        <v>17</v>
      </c>
      <c r="I298" s="2">
        <v>2092.71</v>
      </c>
      <c r="J298" s="3">
        <v>5</v>
      </c>
      <c r="K298" s="2">
        <v>598.47</v>
      </c>
    </row>
    <row r="299" spans="1:11" x14ac:dyDescent="0.25">
      <c r="A299" s="4">
        <v>41814</v>
      </c>
      <c r="B299" s="3">
        <f>YEAR(SalesData[[#This Row],[Order Date]])</f>
        <v>2014</v>
      </c>
      <c r="C299" s="3">
        <f>MONTH(SalesData[[#This Row],[Order Date]])</f>
        <v>6</v>
      </c>
      <c r="D299" t="s">
        <v>55</v>
      </c>
      <c r="E299" t="s">
        <v>52</v>
      </c>
      <c r="F299" t="s">
        <v>15</v>
      </c>
      <c r="G299" t="s">
        <v>45</v>
      </c>
      <c r="H299" t="s">
        <v>46</v>
      </c>
      <c r="I299" s="2">
        <v>4039.19</v>
      </c>
      <c r="J299" s="3">
        <v>10</v>
      </c>
      <c r="K299" s="2">
        <v>834.52</v>
      </c>
    </row>
    <row r="300" spans="1:11" x14ac:dyDescent="0.25">
      <c r="A300" s="4">
        <v>41814</v>
      </c>
      <c r="B300" s="3">
        <f>YEAR(SalesData[[#This Row],[Order Date]])</f>
        <v>2014</v>
      </c>
      <c r="C300" s="3">
        <f>MONTH(SalesData[[#This Row],[Order Date]])</f>
        <v>6</v>
      </c>
      <c r="D300" t="s">
        <v>47</v>
      </c>
      <c r="E300" t="s">
        <v>34</v>
      </c>
      <c r="F300" t="s">
        <v>27</v>
      </c>
      <c r="G300" t="s">
        <v>32</v>
      </c>
      <c r="H300" t="s">
        <v>53</v>
      </c>
      <c r="I300" s="2">
        <v>767.74</v>
      </c>
      <c r="J300" s="3">
        <v>5</v>
      </c>
      <c r="K300" s="2">
        <v>35.119999999999997</v>
      </c>
    </row>
    <row r="301" spans="1:11" x14ac:dyDescent="0.25">
      <c r="A301" s="4">
        <v>41815</v>
      </c>
      <c r="B301" s="3">
        <f>YEAR(SalesData[[#This Row],[Order Date]])</f>
        <v>2014</v>
      </c>
      <c r="C301" s="3">
        <f>MONTH(SalesData[[#This Row],[Order Date]])</f>
        <v>6</v>
      </c>
      <c r="D301" t="s">
        <v>47</v>
      </c>
      <c r="E301" t="s">
        <v>19</v>
      </c>
      <c r="F301" t="s">
        <v>11</v>
      </c>
      <c r="G301" t="s">
        <v>12</v>
      </c>
      <c r="H301" t="s">
        <v>65</v>
      </c>
      <c r="I301" s="2">
        <v>4362.71</v>
      </c>
      <c r="J301" s="3">
        <v>9</v>
      </c>
      <c r="K301" s="2">
        <v>255.99</v>
      </c>
    </row>
    <row r="302" spans="1:11" x14ac:dyDescent="0.25">
      <c r="A302" s="4">
        <v>41816</v>
      </c>
      <c r="B302" s="3">
        <f>YEAR(SalesData[[#This Row],[Order Date]])</f>
        <v>2014</v>
      </c>
      <c r="C302" s="3">
        <f>MONTH(SalesData[[#This Row],[Order Date]])</f>
        <v>6</v>
      </c>
      <c r="D302" t="s">
        <v>55</v>
      </c>
      <c r="E302" t="s">
        <v>40</v>
      </c>
      <c r="F302" t="s">
        <v>11</v>
      </c>
      <c r="G302" t="s">
        <v>21</v>
      </c>
      <c r="H302" t="s">
        <v>22</v>
      </c>
      <c r="I302" s="2">
        <v>70.290000000000006</v>
      </c>
      <c r="J302" s="3">
        <v>8</v>
      </c>
      <c r="K302" s="2">
        <v>4.49</v>
      </c>
    </row>
    <row r="303" spans="1:11" x14ac:dyDescent="0.25">
      <c r="A303" s="4">
        <v>41816</v>
      </c>
      <c r="B303" s="3">
        <f>YEAR(SalesData[[#This Row],[Order Date]])</f>
        <v>2014</v>
      </c>
      <c r="C303" s="3">
        <f>MONTH(SalesData[[#This Row],[Order Date]])</f>
        <v>6</v>
      </c>
      <c r="D303" t="s">
        <v>23</v>
      </c>
      <c r="E303" t="s">
        <v>26</v>
      </c>
      <c r="F303" t="s">
        <v>11</v>
      </c>
      <c r="G303" t="s">
        <v>24</v>
      </c>
      <c r="H303" t="s">
        <v>25</v>
      </c>
      <c r="I303" s="2">
        <v>4840.95</v>
      </c>
      <c r="J303" s="3">
        <v>5</v>
      </c>
      <c r="K303" s="2">
        <v>857.19</v>
      </c>
    </row>
    <row r="304" spans="1:11" x14ac:dyDescent="0.25">
      <c r="A304" s="4">
        <v>41816</v>
      </c>
      <c r="B304" s="3">
        <f>YEAR(SalesData[[#This Row],[Order Date]])</f>
        <v>2014</v>
      </c>
      <c r="C304" s="3">
        <f>MONTH(SalesData[[#This Row],[Order Date]])</f>
        <v>6</v>
      </c>
      <c r="D304" t="s">
        <v>47</v>
      </c>
      <c r="E304" t="s">
        <v>34</v>
      </c>
      <c r="F304" t="s">
        <v>11</v>
      </c>
      <c r="G304" t="s">
        <v>35</v>
      </c>
      <c r="H304" t="s">
        <v>36</v>
      </c>
      <c r="I304" s="2">
        <v>4842.3</v>
      </c>
      <c r="J304" s="3">
        <v>9</v>
      </c>
      <c r="K304" s="2">
        <v>383.97</v>
      </c>
    </row>
    <row r="305" spans="1:11" x14ac:dyDescent="0.25">
      <c r="A305" s="4">
        <v>41817</v>
      </c>
      <c r="B305" s="3">
        <f>YEAR(SalesData[[#This Row],[Order Date]])</f>
        <v>2014</v>
      </c>
      <c r="C305" s="3">
        <f>MONTH(SalesData[[#This Row],[Order Date]])</f>
        <v>6</v>
      </c>
      <c r="D305" t="s">
        <v>50</v>
      </c>
      <c r="E305" t="s">
        <v>52</v>
      </c>
      <c r="F305" t="s">
        <v>15</v>
      </c>
      <c r="G305" t="s">
        <v>41</v>
      </c>
      <c r="H305" t="s">
        <v>42</v>
      </c>
      <c r="I305" s="2">
        <v>3149.83</v>
      </c>
      <c r="J305" s="3">
        <v>8</v>
      </c>
      <c r="K305" s="2">
        <v>286.61</v>
      </c>
    </row>
    <row r="306" spans="1:11" x14ac:dyDescent="0.25">
      <c r="A306" s="4">
        <v>41817</v>
      </c>
      <c r="B306" s="3">
        <f>YEAR(SalesData[[#This Row],[Order Date]])</f>
        <v>2014</v>
      </c>
      <c r="C306" s="3">
        <f>MONTH(SalesData[[#This Row],[Order Date]])</f>
        <v>6</v>
      </c>
      <c r="D306" t="s">
        <v>18</v>
      </c>
      <c r="E306" t="s">
        <v>10</v>
      </c>
      <c r="F306" t="s">
        <v>27</v>
      </c>
      <c r="G306" t="s">
        <v>32</v>
      </c>
      <c r="H306" t="s">
        <v>33</v>
      </c>
      <c r="I306" s="2">
        <v>1692.08</v>
      </c>
      <c r="J306" s="3">
        <v>4</v>
      </c>
      <c r="K306" s="2">
        <v>469.04</v>
      </c>
    </row>
    <row r="307" spans="1:11" x14ac:dyDescent="0.25">
      <c r="A307" s="4">
        <v>41818</v>
      </c>
      <c r="B307" s="3">
        <f>YEAR(SalesData[[#This Row],[Order Date]])</f>
        <v>2014</v>
      </c>
      <c r="C307" s="3">
        <f>MONTH(SalesData[[#This Row],[Order Date]])</f>
        <v>6</v>
      </c>
      <c r="D307" t="s">
        <v>14</v>
      </c>
      <c r="E307" t="s">
        <v>34</v>
      </c>
      <c r="F307" t="s">
        <v>11</v>
      </c>
      <c r="G307" t="s">
        <v>21</v>
      </c>
      <c r="H307" t="s">
        <v>22</v>
      </c>
      <c r="I307" s="2">
        <v>2540.34</v>
      </c>
      <c r="J307" s="3">
        <v>8</v>
      </c>
      <c r="K307" s="2">
        <v>173.02</v>
      </c>
    </row>
    <row r="308" spans="1:11" x14ac:dyDescent="0.25">
      <c r="A308" s="4">
        <v>41819</v>
      </c>
      <c r="B308" s="3">
        <f>YEAR(SalesData[[#This Row],[Order Date]])</f>
        <v>2014</v>
      </c>
      <c r="C308" s="3">
        <f>MONTH(SalesData[[#This Row],[Order Date]])</f>
        <v>6</v>
      </c>
      <c r="D308" t="s">
        <v>14</v>
      </c>
      <c r="E308" t="s">
        <v>10</v>
      </c>
      <c r="F308" t="s">
        <v>15</v>
      </c>
      <c r="G308" t="s">
        <v>38</v>
      </c>
      <c r="H308" t="s">
        <v>56</v>
      </c>
      <c r="I308" s="2">
        <v>3423.56</v>
      </c>
      <c r="J308" s="3">
        <v>3</v>
      </c>
      <c r="K308" s="2">
        <v>780.72</v>
      </c>
    </row>
    <row r="309" spans="1:11" x14ac:dyDescent="0.25">
      <c r="A309" s="4">
        <v>41819</v>
      </c>
      <c r="B309" s="3">
        <f>YEAR(SalesData[[#This Row],[Order Date]])</f>
        <v>2014</v>
      </c>
      <c r="C309" s="3">
        <f>MONTH(SalesData[[#This Row],[Order Date]])</f>
        <v>6</v>
      </c>
      <c r="D309" t="s">
        <v>47</v>
      </c>
      <c r="E309" t="s">
        <v>26</v>
      </c>
      <c r="F309" t="s">
        <v>27</v>
      </c>
      <c r="G309" t="s">
        <v>48</v>
      </c>
      <c r="H309" t="s">
        <v>57</v>
      </c>
      <c r="I309" s="2">
        <v>4043.34</v>
      </c>
      <c r="J309" s="3">
        <v>1</v>
      </c>
      <c r="K309" s="2">
        <v>233.23</v>
      </c>
    </row>
    <row r="310" spans="1:11" x14ac:dyDescent="0.25">
      <c r="A310" s="4">
        <v>41819</v>
      </c>
      <c r="B310" s="3">
        <f>YEAR(SalesData[[#This Row],[Order Date]])</f>
        <v>2014</v>
      </c>
      <c r="C310" s="3">
        <f>MONTH(SalesData[[#This Row],[Order Date]])</f>
        <v>6</v>
      </c>
      <c r="D310" t="s">
        <v>50</v>
      </c>
      <c r="E310" t="s">
        <v>37</v>
      </c>
      <c r="F310" t="s">
        <v>15</v>
      </c>
      <c r="G310" t="s">
        <v>45</v>
      </c>
      <c r="H310" t="s">
        <v>59</v>
      </c>
      <c r="I310" s="2">
        <v>2684.83</v>
      </c>
      <c r="J310" s="3">
        <v>2</v>
      </c>
      <c r="K310" s="2">
        <v>709.11</v>
      </c>
    </row>
    <row r="311" spans="1:11" x14ac:dyDescent="0.25">
      <c r="A311" s="4">
        <v>41819</v>
      </c>
      <c r="B311" s="3">
        <f>YEAR(SalesData[[#This Row],[Order Date]])</f>
        <v>2014</v>
      </c>
      <c r="C311" s="3">
        <f>MONTH(SalesData[[#This Row],[Order Date]])</f>
        <v>6</v>
      </c>
      <c r="D311" t="s">
        <v>55</v>
      </c>
      <c r="E311" t="s">
        <v>44</v>
      </c>
      <c r="F311" t="s">
        <v>15</v>
      </c>
      <c r="G311" t="s">
        <v>38</v>
      </c>
      <c r="H311" t="s">
        <v>39</v>
      </c>
      <c r="I311" s="2">
        <v>1937.3</v>
      </c>
      <c r="J311" s="3">
        <v>9</v>
      </c>
      <c r="K311" s="2">
        <v>122.21</v>
      </c>
    </row>
    <row r="312" spans="1:11" x14ac:dyDescent="0.25">
      <c r="A312" s="4">
        <v>41820</v>
      </c>
      <c r="B312" s="3">
        <f>YEAR(SalesData[[#This Row],[Order Date]])</f>
        <v>2014</v>
      </c>
      <c r="C312" s="3">
        <f>MONTH(SalesData[[#This Row],[Order Date]])</f>
        <v>6</v>
      </c>
      <c r="D312" t="s">
        <v>18</v>
      </c>
      <c r="E312" t="s">
        <v>37</v>
      </c>
      <c r="F312" t="s">
        <v>11</v>
      </c>
      <c r="G312" t="s">
        <v>21</v>
      </c>
      <c r="H312" t="s">
        <v>22</v>
      </c>
      <c r="I312" s="2">
        <v>1262.8</v>
      </c>
      <c r="J312" s="3">
        <v>2</v>
      </c>
      <c r="K312" s="2">
        <v>289.56</v>
      </c>
    </row>
    <row r="313" spans="1:11" x14ac:dyDescent="0.25">
      <c r="A313" s="4">
        <v>41821</v>
      </c>
      <c r="B313" s="3">
        <f>YEAR(SalesData[[#This Row],[Order Date]])</f>
        <v>2014</v>
      </c>
      <c r="C313" s="3">
        <f>MONTH(SalesData[[#This Row],[Order Date]])</f>
        <v>7</v>
      </c>
      <c r="D313" t="s">
        <v>47</v>
      </c>
      <c r="E313" t="s">
        <v>60</v>
      </c>
      <c r="F313" t="s">
        <v>15</v>
      </c>
      <c r="G313" t="s">
        <v>63</v>
      </c>
      <c r="H313" t="s">
        <v>64</v>
      </c>
      <c r="I313" s="2">
        <v>1305.8499999999999</v>
      </c>
      <c r="J313" s="3">
        <v>9</v>
      </c>
      <c r="K313" s="2">
        <v>389.01</v>
      </c>
    </row>
    <row r="314" spans="1:11" x14ac:dyDescent="0.25">
      <c r="A314" s="4">
        <v>41821</v>
      </c>
      <c r="B314" s="3">
        <f>YEAR(SalesData[[#This Row],[Order Date]])</f>
        <v>2014</v>
      </c>
      <c r="C314" s="3">
        <f>MONTH(SalesData[[#This Row],[Order Date]])</f>
        <v>7</v>
      </c>
      <c r="D314" t="s">
        <v>14</v>
      </c>
      <c r="E314" t="s">
        <v>26</v>
      </c>
      <c r="F314" t="s">
        <v>15</v>
      </c>
      <c r="G314" t="s">
        <v>63</v>
      </c>
      <c r="H314" t="s">
        <v>66</v>
      </c>
      <c r="I314" s="2">
        <v>4911.72</v>
      </c>
      <c r="J314" s="3">
        <v>8</v>
      </c>
      <c r="K314" s="2">
        <v>957.54</v>
      </c>
    </row>
    <row r="315" spans="1:11" x14ac:dyDescent="0.25">
      <c r="A315" s="4">
        <v>41821</v>
      </c>
      <c r="B315" s="3">
        <f>YEAR(SalesData[[#This Row],[Order Date]])</f>
        <v>2014</v>
      </c>
      <c r="C315" s="3">
        <f>MONTH(SalesData[[#This Row],[Order Date]])</f>
        <v>7</v>
      </c>
      <c r="D315" t="s">
        <v>47</v>
      </c>
      <c r="E315" t="s">
        <v>60</v>
      </c>
      <c r="F315" t="s">
        <v>11</v>
      </c>
      <c r="G315" t="s">
        <v>35</v>
      </c>
      <c r="H315" t="s">
        <v>70</v>
      </c>
      <c r="I315" s="2">
        <v>36.08</v>
      </c>
      <c r="J315" s="3">
        <v>10</v>
      </c>
      <c r="K315" s="2">
        <v>2.4700000000000002</v>
      </c>
    </row>
    <row r="316" spans="1:11" x14ac:dyDescent="0.25">
      <c r="A316" s="4">
        <v>41822</v>
      </c>
      <c r="B316" s="3">
        <f>YEAR(SalesData[[#This Row],[Order Date]])</f>
        <v>2014</v>
      </c>
      <c r="C316" s="3">
        <f>MONTH(SalesData[[#This Row],[Order Date]])</f>
        <v>7</v>
      </c>
      <c r="D316" t="s">
        <v>20</v>
      </c>
      <c r="E316" t="s">
        <v>52</v>
      </c>
      <c r="F316" t="s">
        <v>15</v>
      </c>
      <c r="G316" t="s">
        <v>45</v>
      </c>
      <c r="H316" t="s">
        <v>59</v>
      </c>
      <c r="I316" s="2">
        <v>1913.92</v>
      </c>
      <c r="J316" s="3">
        <v>9</v>
      </c>
      <c r="K316" s="2">
        <v>451.68</v>
      </c>
    </row>
    <row r="317" spans="1:11" x14ac:dyDescent="0.25">
      <c r="A317" s="4">
        <v>41822</v>
      </c>
      <c r="B317" s="3">
        <f>YEAR(SalesData[[#This Row],[Order Date]])</f>
        <v>2014</v>
      </c>
      <c r="C317" s="3">
        <f>MONTH(SalesData[[#This Row],[Order Date]])</f>
        <v>7</v>
      </c>
      <c r="D317" t="s">
        <v>47</v>
      </c>
      <c r="E317" t="s">
        <v>52</v>
      </c>
      <c r="F317" t="s">
        <v>11</v>
      </c>
      <c r="G317" t="s">
        <v>12</v>
      </c>
      <c r="H317" t="s">
        <v>65</v>
      </c>
      <c r="I317" s="2">
        <v>1368.8</v>
      </c>
      <c r="J317" s="3">
        <v>8</v>
      </c>
      <c r="K317" s="2">
        <v>29.35</v>
      </c>
    </row>
    <row r="318" spans="1:11" x14ac:dyDescent="0.25">
      <c r="A318" s="4">
        <v>41823</v>
      </c>
      <c r="B318" s="3">
        <f>YEAR(SalesData[[#This Row],[Order Date]])</f>
        <v>2014</v>
      </c>
      <c r="C318" s="3">
        <f>MONTH(SalesData[[#This Row],[Order Date]])</f>
        <v>7</v>
      </c>
      <c r="D318" t="s">
        <v>30</v>
      </c>
      <c r="E318" t="s">
        <v>44</v>
      </c>
      <c r="F318" t="s">
        <v>15</v>
      </c>
      <c r="G318" t="s">
        <v>63</v>
      </c>
      <c r="H318" t="s">
        <v>66</v>
      </c>
      <c r="I318" s="2">
        <v>1082.8699999999999</v>
      </c>
      <c r="J318" s="3">
        <v>10</v>
      </c>
      <c r="K318" s="2">
        <v>42.83</v>
      </c>
    </row>
    <row r="319" spans="1:11" x14ac:dyDescent="0.25">
      <c r="A319" s="4">
        <v>41824</v>
      </c>
      <c r="B319" s="3">
        <f>YEAR(SalesData[[#This Row],[Order Date]])</f>
        <v>2014</v>
      </c>
      <c r="C319" s="3">
        <f>MONTH(SalesData[[#This Row],[Order Date]])</f>
        <v>7</v>
      </c>
      <c r="D319" t="s">
        <v>23</v>
      </c>
      <c r="E319" t="s">
        <v>19</v>
      </c>
      <c r="F319" t="s">
        <v>11</v>
      </c>
      <c r="G319" t="s">
        <v>24</v>
      </c>
      <c r="H319" t="s">
        <v>25</v>
      </c>
      <c r="I319" s="2">
        <v>2225.6999999999998</v>
      </c>
      <c r="J319" s="3">
        <v>1</v>
      </c>
      <c r="K319" s="2">
        <v>585.88</v>
      </c>
    </row>
    <row r="320" spans="1:11" x14ac:dyDescent="0.25">
      <c r="A320" s="4">
        <v>41824</v>
      </c>
      <c r="B320" s="3">
        <f>YEAR(SalesData[[#This Row],[Order Date]])</f>
        <v>2014</v>
      </c>
      <c r="C320" s="3">
        <f>MONTH(SalesData[[#This Row],[Order Date]])</f>
        <v>7</v>
      </c>
      <c r="D320" t="s">
        <v>50</v>
      </c>
      <c r="E320" t="s">
        <v>31</v>
      </c>
      <c r="F320" t="s">
        <v>11</v>
      </c>
      <c r="G320" t="s">
        <v>12</v>
      </c>
      <c r="H320" t="s">
        <v>13</v>
      </c>
      <c r="I320" s="2">
        <v>2904.27</v>
      </c>
      <c r="J320" s="3">
        <v>9</v>
      </c>
      <c r="K320" s="2">
        <v>662.99</v>
      </c>
    </row>
    <row r="321" spans="1:11" x14ac:dyDescent="0.25">
      <c r="A321" s="4">
        <v>41824</v>
      </c>
      <c r="B321" s="3">
        <f>YEAR(SalesData[[#This Row],[Order Date]])</f>
        <v>2014</v>
      </c>
      <c r="C321" s="3">
        <f>MONTH(SalesData[[#This Row],[Order Date]])</f>
        <v>7</v>
      </c>
      <c r="D321" t="s">
        <v>47</v>
      </c>
      <c r="E321" t="s">
        <v>37</v>
      </c>
      <c r="F321" t="s">
        <v>27</v>
      </c>
      <c r="G321" t="s">
        <v>28</v>
      </c>
      <c r="H321" t="s">
        <v>29</v>
      </c>
      <c r="I321" s="2">
        <v>729.13</v>
      </c>
      <c r="J321" s="3">
        <v>5</v>
      </c>
      <c r="K321" s="2">
        <v>111.85</v>
      </c>
    </row>
    <row r="322" spans="1:11" x14ac:dyDescent="0.25">
      <c r="A322" s="4">
        <v>41824</v>
      </c>
      <c r="B322" s="3">
        <f>YEAR(SalesData[[#This Row],[Order Date]])</f>
        <v>2014</v>
      </c>
      <c r="C322" s="3">
        <f>MONTH(SalesData[[#This Row],[Order Date]])</f>
        <v>7</v>
      </c>
      <c r="D322" t="s">
        <v>20</v>
      </c>
      <c r="E322" t="s">
        <v>60</v>
      </c>
      <c r="F322" t="s">
        <v>11</v>
      </c>
      <c r="G322" t="s">
        <v>35</v>
      </c>
      <c r="H322" t="s">
        <v>71</v>
      </c>
      <c r="I322" s="2">
        <v>2887.55</v>
      </c>
      <c r="J322" s="3">
        <v>5</v>
      </c>
      <c r="K322" s="2">
        <v>535.17999999999995</v>
      </c>
    </row>
    <row r="323" spans="1:11" x14ac:dyDescent="0.25">
      <c r="A323" s="4">
        <v>41826</v>
      </c>
      <c r="B323" s="3">
        <f>YEAR(SalesData[[#This Row],[Order Date]])</f>
        <v>2014</v>
      </c>
      <c r="C323" s="3">
        <f>MONTH(SalesData[[#This Row],[Order Date]])</f>
        <v>7</v>
      </c>
      <c r="D323" t="s">
        <v>55</v>
      </c>
      <c r="E323" t="s">
        <v>52</v>
      </c>
      <c r="F323" t="s">
        <v>27</v>
      </c>
      <c r="G323" t="s">
        <v>32</v>
      </c>
      <c r="H323" t="s">
        <v>53</v>
      </c>
      <c r="I323" s="2">
        <v>346.27</v>
      </c>
      <c r="J323" s="3">
        <v>2</v>
      </c>
      <c r="K323" s="2">
        <v>87.96</v>
      </c>
    </row>
    <row r="324" spans="1:11" x14ac:dyDescent="0.25">
      <c r="A324" s="4">
        <v>41826</v>
      </c>
      <c r="B324" s="3">
        <f>YEAR(SalesData[[#This Row],[Order Date]])</f>
        <v>2014</v>
      </c>
      <c r="C324" s="3">
        <f>MONTH(SalesData[[#This Row],[Order Date]])</f>
        <v>7</v>
      </c>
      <c r="D324" t="s">
        <v>68</v>
      </c>
      <c r="E324" t="s">
        <v>31</v>
      </c>
      <c r="F324" t="s">
        <v>15</v>
      </c>
      <c r="G324" t="s">
        <v>63</v>
      </c>
      <c r="H324" t="s">
        <v>64</v>
      </c>
      <c r="I324" s="2">
        <v>853.9</v>
      </c>
      <c r="J324" s="3">
        <v>6</v>
      </c>
      <c r="K324" s="2">
        <v>129.69999999999999</v>
      </c>
    </row>
    <row r="325" spans="1:11" x14ac:dyDescent="0.25">
      <c r="A325" s="4">
        <v>41826</v>
      </c>
      <c r="B325" s="3">
        <f>YEAR(SalesData[[#This Row],[Order Date]])</f>
        <v>2014</v>
      </c>
      <c r="C325" s="3">
        <f>MONTH(SalesData[[#This Row],[Order Date]])</f>
        <v>7</v>
      </c>
      <c r="D325" t="s">
        <v>14</v>
      </c>
      <c r="E325" t="s">
        <v>10</v>
      </c>
      <c r="F325" t="s">
        <v>27</v>
      </c>
      <c r="G325" t="s">
        <v>48</v>
      </c>
      <c r="H325" t="s">
        <v>57</v>
      </c>
      <c r="I325" s="2">
        <v>331.7</v>
      </c>
      <c r="J325" s="3">
        <v>8</v>
      </c>
      <c r="K325" s="2">
        <v>59.8</v>
      </c>
    </row>
    <row r="326" spans="1:11" x14ac:dyDescent="0.25">
      <c r="A326" s="4">
        <v>41828</v>
      </c>
      <c r="B326" s="3">
        <f>YEAR(SalesData[[#This Row],[Order Date]])</f>
        <v>2014</v>
      </c>
      <c r="C326" s="3">
        <f>MONTH(SalesData[[#This Row],[Order Date]])</f>
        <v>7</v>
      </c>
      <c r="D326" t="s">
        <v>68</v>
      </c>
      <c r="E326" t="s">
        <v>26</v>
      </c>
      <c r="F326" t="s">
        <v>27</v>
      </c>
      <c r="G326" t="s">
        <v>32</v>
      </c>
      <c r="H326" t="s">
        <v>53</v>
      </c>
      <c r="I326" s="2">
        <v>4736.1400000000003</v>
      </c>
      <c r="J326" s="3">
        <v>5</v>
      </c>
      <c r="K326" s="2">
        <v>1102.6400000000001</v>
      </c>
    </row>
    <row r="327" spans="1:11" x14ac:dyDescent="0.25">
      <c r="A327" s="4">
        <v>41828</v>
      </c>
      <c r="B327" s="3">
        <f>YEAR(SalesData[[#This Row],[Order Date]])</f>
        <v>2014</v>
      </c>
      <c r="C327" s="3">
        <f>MONTH(SalesData[[#This Row],[Order Date]])</f>
        <v>7</v>
      </c>
      <c r="D327" t="s">
        <v>50</v>
      </c>
      <c r="E327" t="s">
        <v>60</v>
      </c>
      <c r="F327" t="s">
        <v>11</v>
      </c>
      <c r="G327" t="s">
        <v>21</v>
      </c>
      <c r="H327" t="s">
        <v>67</v>
      </c>
      <c r="I327" s="2">
        <v>4416.18</v>
      </c>
      <c r="J327" s="3">
        <v>2</v>
      </c>
      <c r="K327" s="2">
        <v>154.59</v>
      </c>
    </row>
    <row r="328" spans="1:11" x14ac:dyDescent="0.25">
      <c r="A328" s="4">
        <v>41828</v>
      </c>
      <c r="B328" s="3">
        <f>YEAR(SalesData[[#This Row],[Order Date]])</f>
        <v>2014</v>
      </c>
      <c r="C328" s="3">
        <f>MONTH(SalesData[[#This Row],[Order Date]])</f>
        <v>7</v>
      </c>
      <c r="D328" t="s">
        <v>50</v>
      </c>
      <c r="E328" t="s">
        <v>31</v>
      </c>
      <c r="F328" t="s">
        <v>15</v>
      </c>
      <c r="G328" t="s">
        <v>41</v>
      </c>
      <c r="H328" t="s">
        <v>61</v>
      </c>
      <c r="I328" s="2">
        <v>1801</v>
      </c>
      <c r="J328" s="3">
        <v>7</v>
      </c>
      <c r="K328" s="2">
        <v>26.87</v>
      </c>
    </row>
    <row r="329" spans="1:11" x14ac:dyDescent="0.25">
      <c r="A329" s="4">
        <v>41830</v>
      </c>
      <c r="B329" s="3">
        <f>YEAR(SalesData[[#This Row],[Order Date]])</f>
        <v>2014</v>
      </c>
      <c r="C329" s="3">
        <f>MONTH(SalesData[[#This Row],[Order Date]])</f>
        <v>7</v>
      </c>
      <c r="D329" t="s">
        <v>68</v>
      </c>
      <c r="E329" t="s">
        <v>37</v>
      </c>
      <c r="F329" t="s">
        <v>15</v>
      </c>
      <c r="G329" t="s">
        <v>16</v>
      </c>
      <c r="H329" t="s">
        <v>51</v>
      </c>
      <c r="I329" s="2">
        <v>2489.9</v>
      </c>
      <c r="J329" s="3">
        <v>1</v>
      </c>
      <c r="K329" s="2">
        <v>173.11</v>
      </c>
    </row>
    <row r="330" spans="1:11" x14ac:dyDescent="0.25">
      <c r="A330" s="4">
        <v>41830</v>
      </c>
      <c r="B330" s="3">
        <f>YEAR(SalesData[[#This Row],[Order Date]])</f>
        <v>2014</v>
      </c>
      <c r="C330" s="3">
        <f>MONTH(SalesData[[#This Row],[Order Date]])</f>
        <v>7</v>
      </c>
      <c r="D330" t="s">
        <v>9</v>
      </c>
      <c r="E330" t="s">
        <v>60</v>
      </c>
      <c r="F330" t="s">
        <v>27</v>
      </c>
      <c r="G330" t="s">
        <v>48</v>
      </c>
      <c r="H330" t="s">
        <v>57</v>
      </c>
      <c r="I330" s="2">
        <v>2410.86</v>
      </c>
      <c r="J330" s="3">
        <v>6</v>
      </c>
      <c r="K330" s="2">
        <v>259.52</v>
      </c>
    </row>
    <row r="331" spans="1:11" x14ac:dyDescent="0.25">
      <c r="A331" s="4">
        <v>41831</v>
      </c>
      <c r="B331" s="3">
        <f>YEAR(SalesData[[#This Row],[Order Date]])</f>
        <v>2014</v>
      </c>
      <c r="C331" s="3">
        <f>MONTH(SalesData[[#This Row],[Order Date]])</f>
        <v>7</v>
      </c>
      <c r="D331" t="s">
        <v>43</v>
      </c>
      <c r="E331" t="s">
        <v>10</v>
      </c>
      <c r="F331" t="s">
        <v>27</v>
      </c>
      <c r="G331" t="s">
        <v>28</v>
      </c>
      <c r="H331" t="s">
        <v>29</v>
      </c>
      <c r="I331" s="2">
        <v>136.71</v>
      </c>
      <c r="J331" s="3">
        <v>9</v>
      </c>
      <c r="K331" s="2">
        <v>23.21</v>
      </c>
    </row>
    <row r="332" spans="1:11" x14ac:dyDescent="0.25">
      <c r="A332" s="4">
        <v>41831</v>
      </c>
      <c r="B332" s="3">
        <f>YEAR(SalesData[[#This Row],[Order Date]])</f>
        <v>2014</v>
      </c>
      <c r="C332" s="3">
        <f>MONTH(SalesData[[#This Row],[Order Date]])</f>
        <v>7</v>
      </c>
      <c r="D332" t="s">
        <v>55</v>
      </c>
      <c r="E332" t="s">
        <v>34</v>
      </c>
      <c r="F332" t="s">
        <v>15</v>
      </c>
      <c r="G332" t="s">
        <v>45</v>
      </c>
      <c r="H332" t="s">
        <v>59</v>
      </c>
      <c r="I332" s="2">
        <v>120.95</v>
      </c>
      <c r="J332" s="3">
        <v>7</v>
      </c>
      <c r="K332" s="2">
        <v>21.45</v>
      </c>
    </row>
    <row r="333" spans="1:11" x14ac:dyDescent="0.25">
      <c r="A333" s="4">
        <v>41832</v>
      </c>
      <c r="B333" s="3">
        <f>YEAR(SalesData[[#This Row],[Order Date]])</f>
        <v>2014</v>
      </c>
      <c r="C333" s="3">
        <f>MONTH(SalesData[[#This Row],[Order Date]])</f>
        <v>7</v>
      </c>
      <c r="D333" t="s">
        <v>43</v>
      </c>
      <c r="E333" t="s">
        <v>19</v>
      </c>
      <c r="F333" t="s">
        <v>27</v>
      </c>
      <c r="G333" t="s">
        <v>32</v>
      </c>
      <c r="H333" t="s">
        <v>33</v>
      </c>
      <c r="I333" s="2">
        <v>1319.39</v>
      </c>
      <c r="J333" s="3">
        <v>10</v>
      </c>
      <c r="K333" s="2">
        <v>250.04</v>
      </c>
    </row>
    <row r="334" spans="1:11" x14ac:dyDescent="0.25">
      <c r="A334" s="4">
        <v>41833</v>
      </c>
      <c r="B334" s="3">
        <f>YEAR(SalesData[[#This Row],[Order Date]])</f>
        <v>2014</v>
      </c>
      <c r="C334" s="3">
        <f>MONTH(SalesData[[#This Row],[Order Date]])</f>
        <v>7</v>
      </c>
      <c r="D334" t="s">
        <v>55</v>
      </c>
      <c r="E334" t="s">
        <v>26</v>
      </c>
      <c r="F334" t="s">
        <v>27</v>
      </c>
      <c r="G334" t="s">
        <v>28</v>
      </c>
      <c r="H334" t="s">
        <v>58</v>
      </c>
      <c r="I334" s="2">
        <v>1539.32</v>
      </c>
      <c r="J334" s="3">
        <v>6</v>
      </c>
      <c r="K334" s="2">
        <v>90.14</v>
      </c>
    </row>
    <row r="335" spans="1:11" x14ac:dyDescent="0.25">
      <c r="A335" s="4">
        <v>41833</v>
      </c>
      <c r="B335" s="3">
        <f>YEAR(SalesData[[#This Row],[Order Date]])</f>
        <v>2014</v>
      </c>
      <c r="C335" s="3">
        <f>MONTH(SalesData[[#This Row],[Order Date]])</f>
        <v>7</v>
      </c>
      <c r="D335" t="s">
        <v>62</v>
      </c>
      <c r="E335" t="s">
        <v>44</v>
      </c>
      <c r="F335" t="s">
        <v>27</v>
      </c>
      <c r="G335" t="s">
        <v>28</v>
      </c>
      <c r="H335" t="s">
        <v>58</v>
      </c>
      <c r="I335" s="2">
        <v>3151.81</v>
      </c>
      <c r="J335" s="3">
        <v>7</v>
      </c>
      <c r="K335" s="2">
        <v>266.02</v>
      </c>
    </row>
    <row r="336" spans="1:11" x14ac:dyDescent="0.25">
      <c r="A336" s="4">
        <v>41833</v>
      </c>
      <c r="B336" s="3">
        <f>YEAR(SalesData[[#This Row],[Order Date]])</f>
        <v>2014</v>
      </c>
      <c r="C336" s="3">
        <f>MONTH(SalesData[[#This Row],[Order Date]])</f>
        <v>7</v>
      </c>
      <c r="D336" t="s">
        <v>68</v>
      </c>
      <c r="E336" t="s">
        <v>26</v>
      </c>
      <c r="F336" t="s">
        <v>27</v>
      </c>
      <c r="G336" t="s">
        <v>48</v>
      </c>
      <c r="H336" t="s">
        <v>49</v>
      </c>
      <c r="I336" s="2">
        <v>3865.7</v>
      </c>
      <c r="J336" s="3">
        <v>7</v>
      </c>
      <c r="K336" s="2">
        <v>232.11</v>
      </c>
    </row>
    <row r="337" spans="1:11" x14ac:dyDescent="0.25">
      <c r="A337" s="4">
        <v>41833</v>
      </c>
      <c r="B337" s="3">
        <f>YEAR(SalesData[[#This Row],[Order Date]])</f>
        <v>2014</v>
      </c>
      <c r="C337" s="3">
        <f>MONTH(SalesData[[#This Row],[Order Date]])</f>
        <v>7</v>
      </c>
      <c r="D337" t="s">
        <v>23</v>
      </c>
      <c r="E337" t="s">
        <v>44</v>
      </c>
      <c r="F337" t="s">
        <v>15</v>
      </c>
      <c r="G337" t="s">
        <v>41</v>
      </c>
      <c r="H337" t="s">
        <v>42</v>
      </c>
      <c r="I337" s="2">
        <v>2316.5300000000002</v>
      </c>
      <c r="J337" s="3">
        <v>5</v>
      </c>
      <c r="K337" s="2">
        <v>370.65</v>
      </c>
    </row>
    <row r="338" spans="1:11" x14ac:dyDescent="0.25">
      <c r="A338" s="4">
        <v>41833</v>
      </c>
      <c r="B338" s="3">
        <f>YEAR(SalesData[[#This Row],[Order Date]])</f>
        <v>2014</v>
      </c>
      <c r="C338" s="3">
        <f>MONTH(SalesData[[#This Row],[Order Date]])</f>
        <v>7</v>
      </c>
      <c r="D338" t="s">
        <v>47</v>
      </c>
      <c r="E338" t="s">
        <v>31</v>
      </c>
      <c r="F338" t="s">
        <v>11</v>
      </c>
      <c r="G338" t="s">
        <v>12</v>
      </c>
      <c r="H338" t="s">
        <v>13</v>
      </c>
      <c r="I338" s="2">
        <v>2981.01</v>
      </c>
      <c r="J338" s="3">
        <v>1</v>
      </c>
      <c r="K338" s="2">
        <v>598.5</v>
      </c>
    </row>
    <row r="339" spans="1:11" x14ac:dyDescent="0.25">
      <c r="A339" s="4">
        <v>41833</v>
      </c>
      <c r="B339" s="3">
        <f>YEAR(SalesData[[#This Row],[Order Date]])</f>
        <v>2014</v>
      </c>
      <c r="C339" s="3">
        <f>MONTH(SalesData[[#This Row],[Order Date]])</f>
        <v>7</v>
      </c>
      <c r="D339" t="s">
        <v>9</v>
      </c>
      <c r="E339" t="s">
        <v>10</v>
      </c>
      <c r="F339" t="s">
        <v>15</v>
      </c>
      <c r="G339" t="s">
        <v>16</v>
      </c>
      <c r="H339" t="s">
        <v>17</v>
      </c>
      <c r="I339" s="2">
        <v>3424.99</v>
      </c>
      <c r="J339" s="3">
        <v>9</v>
      </c>
      <c r="K339" s="2">
        <v>130.47</v>
      </c>
    </row>
    <row r="340" spans="1:11" x14ac:dyDescent="0.25">
      <c r="A340" s="4">
        <v>41834</v>
      </c>
      <c r="B340" s="3">
        <f>YEAR(SalesData[[#This Row],[Order Date]])</f>
        <v>2014</v>
      </c>
      <c r="C340" s="3">
        <f>MONTH(SalesData[[#This Row],[Order Date]])</f>
        <v>7</v>
      </c>
      <c r="D340" t="s">
        <v>23</v>
      </c>
      <c r="E340" t="s">
        <v>26</v>
      </c>
      <c r="F340" t="s">
        <v>11</v>
      </c>
      <c r="G340" t="s">
        <v>24</v>
      </c>
      <c r="H340" t="s">
        <v>25</v>
      </c>
      <c r="I340" s="2">
        <v>1777.52</v>
      </c>
      <c r="J340" s="3">
        <v>4</v>
      </c>
      <c r="K340" s="2">
        <v>148.18</v>
      </c>
    </row>
    <row r="341" spans="1:11" x14ac:dyDescent="0.25">
      <c r="A341" s="4">
        <v>41834</v>
      </c>
      <c r="B341" s="3">
        <f>YEAR(SalesData[[#This Row],[Order Date]])</f>
        <v>2014</v>
      </c>
      <c r="C341" s="3">
        <f>MONTH(SalesData[[#This Row],[Order Date]])</f>
        <v>7</v>
      </c>
      <c r="D341" t="s">
        <v>9</v>
      </c>
      <c r="E341" t="s">
        <v>10</v>
      </c>
      <c r="F341" t="s">
        <v>15</v>
      </c>
      <c r="G341" t="s">
        <v>63</v>
      </c>
      <c r="H341" t="s">
        <v>64</v>
      </c>
      <c r="I341" s="2">
        <v>4916.3999999999996</v>
      </c>
      <c r="J341" s="3">
        <v>4</v>
      </c>
      <c r="K341" s="2">
        <v>428.53</v>
      </c>
    </row>
    <row r="342" spans="1:11" x14ac:dyDescent="0.25">
      <c r="A342" s="4">
        <v>41835</v>
      </c>
      <c r="B342" s="3">
        <f>YEAR(SalesData[[#This Row],[Order Date]])</f>
        <v>2014</v>
      </c>
      <c r="C342" s="3">
        <f>MONTH(SalesData[[#This Row],[Order Date]])</f>
        <v>7</v>
      </c>
      <c r="D342" t="s">
        <v>47</v>
      </c>
      <c r="E342" t="s">
        <v>40</v>
      </c>
      <c r="F342" t="s">
        <v>27</v>
      </c>
      <c r="G342" t="s">
        <v>48</v>
      </c>
      <c r="H342" t="s">
        <v>57</v>
      </c>
      <c r="I342" s="2">
        <v>4273.03</v>
      </c>
      <c r="J342" s="3">
        <v>5</v>
      </c>
      <c r="K342" s="2">
        <v>113</v>
      </c>
    </row>
    <row r="343" spans="1:11" x14ac:dyDescent="0.25">
      <c r="A343" s="4">
        <v>41835</v>
      </c>
      <c r="B343" s="3">
        <f>YEAR(SalesData[[#This Row],[Order Date]])</f>
        <v>2014</v>
      </c>
      <c r="C343" s="3">
        <f>MONTH(SalesData[[#This Row],[Order Date]])</f>
        <v>7</v>
      </c>
      <c r="D343" t="s">
        <v>18</v>
      </c>
      <c r="E343" t="s">
        <v>37</v>
      </c>
      <c r="F343" t="s">
        <v>11</v>
      </c>
      <c r="G343" t="s">
        <v>21</v>
      </c>
      <c r="H343" t="s">
        <v>67</v>
      </c>
      <c r="I343" s="2">
        <v>3053.29</v>
      </c>
      <c r="J343" s="3">
        <v>10</v>
      </c>
      <c r="K343" s="2">
        <v>328.15</v>
      </c>
    </row>
    <row r="344" spans="1:11" x14ac:dyDescent="0.25">
      <c r="A344" s="4">
        <v>41836</v>
      </c>
      <c r="B344" s="3">
        <f>YEAR(SalesData[[#This Row],[Order Date]])</f>
        <v>2014</v>
      </c>
      <c r="C344" s="3">
        <f>MONTH(SalesData[[#This Row],[Order Date]])</f>
        <v>7</v>
      </c>
      <c r="D344" t="s">
        <v>20</v>
      </c>
      <c r="E344" t="s">
        <v>60</v>
      </c>
      <c r="F344" t="s">
        <v>27</v>
      </c>
      <c r="G344" t="s">
        <v>48</v>
      </c>
      <c r="H344" t="s">
        <v>57</v>
      </c>
      <c r="I344" s="2">
        <v>1533.7</v>
      </c>
      <c r="J344" s="3">
        <v>6</v>
      </c>
      <c r="K344" s="2">
        <v>35.51</v>
      </c>
    </row>
    <row r="345" spans="1:11" x14ac:dyDescent="0.25">
      <c r="A345" s="4">
        <v>41836</v>
      </c>
      <c r="B345" s="3">
        <f>YEAR(SalesData[[#This Row],[Order Date]])</f>
        <v>2014</v>
      </c>
      <c r="C345" s="3">
        <f>MONTH(SalesData[[#This Row],[Order Date]])</f>
        <v>7</v>
      </c>
      <c r="D345" t="s">
        <v>30</v>
      </c>
      <c r="E345" t="s">
        <v>19</v>
      </c>
      <c r="F345" t="s">
        <v>15</v>
      </c>
      <c r="G345" t="s">
        <v>38</v>
      </c>
      <c r="H345" t="s">
        <v>39</v>
      </c>
      <c r="I345" s="2">
        <v>2492.13</v>
      </c>
      <c r="J345" s="3">
        <v>6</v>
      </c>
      <c r="K345" s="2">
        <v>690.96</v>
      </c>
    </row>
    <row r="346" spans="1:11" x14ac:dyDescent="0.25">
      <c r="A346" s="4">
        <v>41837</v>
      </c>
      <c r="B346" s="3">
        <f>YEAR(SalesData[[#This Row],[Order Date]])</f>
        <v>2014</v>
      </c>
      <c r="C346" s="3">
        <f>MONTH(SalesData[[#This Row],[Order Date]])</f>
        <v>7</v>
      </c>
      <c r="D346" t="s">
        <v>50</v>
      </c>
      <c r="E346" t="s">
        <v>26</v>
      </c>
      <c r="F346" t="s">
        <v>27</v>
      </c>
      <c r="G346" t="s">
        <v>48</v>
      </c>
      <c r="H346" t="s">
        <v>57</v>
      </c>
      <c r="I346" s="2">
        <v>4600.91</v>
      </c>
      <c r="J346" s="3">
        <v>1</v>
      </c>
      <c r="K346" s="2">
        <v>76</v>
      </c>
    </row>
    <row r="347" spans="1:11" x14ac:dyDescent="0.25">
      <c r="A347" s="4">
        <v>41837</v>
      </c>
      <c r="B347" s="3">
        <f>YEAR(SalesData[[#This Row],[Order Date]])</f>
        <v>2014</v>
      </c>
      <c r="C347" s="3">
        <f>MONTH(SalesData[[#This Row],[Order Date]])</f>
        <v>7</v>
      </c>
      <c r="D347" t="s">
        <v>18</v>
      </c>
      <c r="E347" t="s">
        <v>19</v>
      </c>
      <c r="F347" t="s">
        <v>15</v>
      </c>
      <c r="G347" t="s">
        <v>41</v>
      </c>
      <c r="H347" t="s">
        <v>61</v>
      </c>
      <c r="I347" s="2">
        <v>756.53</v>
      </c>
      <c r="J347" s="3">
        <v>1</v>
      </c>
      <c r="K347" s="2">
        <v>171.71</v>
      </c>
    </row>
    <row r="348" spans="1:11" x14ac:dyDescent="0.25">
      <c r="A348" s="4">
        <v>41838</v>
      </c>
      <c r="B348" s="3">
        <f>YEAR(SalesData[[#This Row],[Order Date]])</f>
        <v>2014</v>
      </c>
      <c r="C348" s="3">
        <f>MONTH(SalesData[[#This Row],[Order Date]])</f>
        <v>7</v>
      </c>
      <c r="D348" t="s">
        <v>30</v>
      </c>
      <c r="E348" t="s">
        <v>44</v>
      </c>
      <c r="F348" t="s">
        <v>11</v>
      </c>
      <c r="G348" t="s">
        <v>24</v>
      </c>
      <c r="H348" t="s">
        <v>25</v>
      </c>
      <c r="I348" s="2">
        <v>388.5</v>
      </c>
      <c r="J348" s="3">
        <v>4</v>
      </c>
      <c r="K348" s="2">
        <v>105.39</v>
      </c>
    </row>
    <row r="349" spans="1:11" x14ac:dyDescent="0.25">
      <c r="A349" s="4">
        <v>41839</v>
      </c>
      <c r="B349" s="3">
        <f>YEAR(SalesData[[#This Row],[Order Date]])</f>
        <v>2014</v>
      </c>
      <c r="C349" s="3">
        <f>MONTH(SalesData[[#This Row],[Order Date]])</f>
        <v>7</v>
      </c>
      <c r="D349" t="s">
        <v>18</v>
      </c>
      <c r="E349" t="s">
        <v>37</v>
      </c>
      <c r="F349" t="s">
        <v>11</v>
      </c>
      <c r="G349" t="s">
        <v>24</v>
      </c>
      <c r="H349" t="s">
        <v>54</v>
      </c>
      <c r="I349" s="2">
        <v>1930.36</v>
      </c>
      <c r="J349" s="3">
        <v>2</v>
      </c>
      <c r="K349" s="2">
        <v>158.97</v>
      </c>
    </row>
    <row r="350" spans="1:11" x14ac:dyDescent="0.25">
      <c r="A350" s="4">
        <v>41840</v>
      </c>
      <c r="B350" s="3">
        <f>YEAR(SalesData[[#This Row],[Order Date]])</f>
        <v>2014</v>
      </c>
      <c r="C350" s="3">
        <f>MONTH(SalesData[[#This Row],[Order Date]])</f>
        <v>7</v>
      </c>
      <c r="D350" t="s">
        <v>43</v>
      </c>
      <c r="E350" t="s">
        <v>19</v>
      </c>
      <c r="F350" t="s">
        <v>27</v>
      </c>
      <c r="G350" t="s">
        <v>48</v>
      </c>
      <c r="H350" t="s">
        <v>49</v>
      </c>
      <c r="I350" s="2">
        <v>2987.11</v>
      </c>
      <c r="J350" s="3">
        <v>9</v>
      </c>
      <c r="K350" s="2">
        <v>670.77</v>
      </c>
    </row>
    <row r="351" spans="1:11" x14ac:dyDescent="0.25">
      <c r="A351" s="4">
        <v>41840</v>
      </c>
      <c r="B351" s="3">
        <f>YEAR(SalesData[[#This Row],[Order Date]])</f>
        <v>2014</v>
      </c>
      <c r="C351" s="3">
        <f>MONTH(SalesData[[#This Row],[Order Date]])</f>
        <v>7</v>
      </c>
      <c r="D351" t="s">
        <v>68</v>
      </c>
      <c r="E351" t="s">
        <v>44</v>
      </c>
      <c r="F351" t="s">
        <v>27</v>
      </c>
      <c r="G351" t="s">
        <v>28</v>
      </c>
      <c r="H351" t="s">
        <v>69</v>
      </c>
      <c r="I351" s="2">
        <v>2927.5</v>
      </c>
      <c r="J351" s="3">
        <v>9</v>
      </c>
      <c r="K351" s="2">
        <v>699.28</v>
      </c>
    </row>
    <row r="352" spans="1:11" x14ac:dyDescent="0.25">
      <c r="A352" s="4">
        <v>41841</v>
      </c>
      <c r="B352" s="3">
        <f>YEAR(SalesData[[#This Row],[Order Date]])</f>
        <v>2014</v>
      </c>
      <c r="C352" s="3">
        <f>MONTH(SalesData[[#This Row],[Order Date]])</f>
        <v>7</v>
      </c>
      <c r="D352" t="s">
        <v>14</v>
      </c>
      <c r="E352" t="s">
        <v>10</v>
      </c>
      <c r="F352" t="s">
        <v>11</v>
      </c>
      <c r="G352" t="s">
        <v>24</v>
      </c>
      <c r="H352" t="s">
        <v>25</v>
      </c>
      <c r="I352" s="2">
        <v>2892.84</v>
      </c>
      <c r="J352" s="3">
        <v>2</v>
      </c>
      <c r="K352" s="2">
        <v>381.17</v>
      </c>
    </row>
    <row r="353" spans="1:11" x14ac:dyDescent="0.25">
      <c r="A353" s="4">
        <v>41841</v>
      </c>
      <c r="B353" s="3">
        <f>YEAR(SalesData[[#This Row],[Order Date]])</f>
        <v>2014</v>
      </c>
      <c r="C353" s="3">
        <f>MONTH(SalesData[[#This Row],[Order Date]])</f>
        <v>7</v>
      </c>
      <c r="D353" t="s">
        <v>18</v>
      </c>
      <c r="E353" t="s">
        <v>34</v>
      </c>
      <c r="F353" t="s">
        <v>27</v>
      </c>
      <c r="G353" t="s">
        <v>28</v>
      </c>
      <c r="H353" t="s">
        <v>69</v>
      </c>
      <c r="I353" s="2">
        <v>257.60000000000002</v>
      </c>
      <c r="J353" s="3">
        <v>5</v>
      </c>
      <c r="K353" s="2">
        <v>8.57</v>
      </c>
    </row>
    <row r="354" spans="1:11" x14ac:dyDescent="0.25">
      <c r="A354" s="4">
        <v>41841</v>
      </c>
      <c r="B354" s="3">
        <f>YEAR(SalesData[[#This Row],[Order Date]])</f>
        <v>2014</v>
      </c>
      <c r="C354" s="3">
        <f>MONTH(SalesData[[#This Row],[Order Date]])</f>
        <v>7</v>
      </c>
      <c r="D354" t="s">
        <v>18</v>
      </c>
      <c r="E354" t="s">
        <v>31</v>
      </c>
      <c r="F354" t="s">
        <v>27</v>
      </c>
      <c r="G354" t="s">
        <v>28</v>
      </c>
      <c r="H354" t="s">
        <v>29</v>
      </c>
      <c r="I354" s="2">
        <v>2471.8000000000002</v>
      </c>
      <c r="J354" s="3">
        <v>7</v>
      </c>
      <c r="K354" s="2">
        <v>352.55</v>
      </c>
    </row>
    <row r="355" spans="1:11" x14ac:dyDescent="0.25">
      <c r="A355" s="4">
        <v>41842</v>
      </c>
      <c r="B355" s="3">
        <f>YEAR(SalesData[[#This Row],[Order Date]])</f>
        <v>2014</v>
      </c>
      <c r="C355" s="3">
        <f>MONTH(SalesData[[#This Row],[Order Date]])</f>
        <v>7</v>
      </c>
      <c r="D355" t="s">
        <v>43</v>
      </c>
      <c r="E355" t="s">
        <v>40</v>
      </c>
      <c r="F355" t="s">
        <v>27</v>
      </c>
      <c r="G355" t="s">
        <v>32</v>
      </c>
      <c r="H355" t="s">
        <v>33</v>
      </c>
      <c r="I355" s="2">
        <v>4108.46</v>
      </c>
      <c r="J355" s="3">
        <v>9</v>
      </c>
      <c r="K355" s="2">
        <v>850.39</v>
      </c>
    </row>
    <row r="356" spans="1:11" x14ac:dyDescent="0.25">
      <c r="A356" s="4">
        <v>41843</v>
      </c>
      <c r="B356" s="3">
        <f>YEAR(SalesData[[#This Row],[Order Date]])</f>
        <v>2014</v>
      </c>
      <c r="C356" s="3">
        <f>MONTH(SalesData[[#This Row],[Order Date]])</f>
        <v>7</v>
      </c>
      <c r="D356" t="s">
        <v>23</v>
      </c>
      <c r="E356" t="s">
        <v>34</v>
      </c>
      <c r="F356" t="s">
        <v>27</v>
      </c>
      <c r="G356" t="s">
        <v>48</v>
      </c>
      <c r="H356" t="s">
        <v>57</v>
      </c>
      <c r="I356" s="2">
        <v>2338.3200000000002</v>
      </c>
      <c r="J356" s="3">
        <v>4</v>
      </c>
      <c r="K356" s="2">
        <v>63.91</v>
      </c>
    </row>
    <row r="357" spans="1:11" x14ac:dyDescent="0.25">
      <c r="A357" s="4">
        <v>41844</v>
      </c>
      <c r="B357" s="3">
        <f>YEAR(SalesData[[#This Row],[Order Date]])</f>
        <v>2014</v>
      </c>
      <c r="C357" s="3">
        <f>MONTH(SalesData[[#This Row],[Order Date]])</f>
        <v>7</v>
      </c>
      <c r="D357" t="s">
        <v>9</v>
      </c>
      <c r="E357" t="s">
        <v>60</v>
      </c>
      <c r="F357" t="s">
        <v>11</v>
      </c>
      <c r="G357" t="s">
        <v>35</v>
      </c>
      <c r="H357" t="s">
        <v>36</v>
      </c>
      <c r="I357" s="2">
        <v>1412.55</v>
      </c>
      <c r="J357" s="3">
        <v>2</v>
      </c>
      <c r="K357" s="2">
        <v>95.23</v>
      </c>
    </row>
    <row r="358" spans="1:11" x14ac:dyDescent="0.25">
      <c r="A358" s="4">
        <v>41845</v>
      </c>
      <c r="B358" s="3">
        <f>YEAR(SalesData[[#This Row],[Order Date]])</f>
        <v>2014</v>
      </c>
      <c r="C358" s="3">
        <f>MONTH(SalesData[[#This Row],[Order Date]])</f>
        <v>7</v>
      </c>
      <c r="D358" t="s">
        <v>62</v>
      </c>
      <c r="E358" t="s">
        <v>19</v>
      </c>
      <c r="F358" t="s">
        <v>11</v>
      </c>
      <c r="G358" t="s">
        <v>35</v>
      </c>
      <c r="H358" t="s">
        <v>36</v>
      </c>
      <c r="I358" s="2">
        <v>2025.19</v>
      </c>
      <c r="J358" s="3">
        <v>1</v>
      </c>
      <c r="K358" s="2">
        <v>423.69</v>
      </c>
    </row>
    <row r="359" spans="1:11" x14ac:dyDescent="0.25">
      <c r="A359" s="4">
        <v>41846</v>
      </c>
      <c r="B359" s="3">
        <f>YEAR(SalesData[[#This Row],[Order Date]])</f>
        <v>2014</v>
      </c>
      <c r="C359" s="3">
        <f>MONTH(SalesData[[#This Row],[Order Date]])</f>
        <v>7</v>
      </c>
      <c r="D359" t="s">
        <v>30</v>
      </c>
      <c r="E359" t="s">
        <v>34</v>
      </c>
      <c r="F359" t="s">
        <v>15</v>
      </c>
      <c r="G359" t="s">
        <v>16</v>
      </c>
      <c r="H359" t="s">
        <v>51</v>
      </c>
      <c r="I359" s="2">
        <v>1061.06</v>
      </c>
      <c r="J359" s="3">
        <v>3</v>
      </c>
      <c r="K359" s="2">
        <v>49.01</v>
      </c>
    </row>
    <row r="360" spans="1:11" x14ac:dyDescent="0.25">
      <c r="A360" s="4">
        <v>41847</v>
      </c>
      <c r="B360" s="3">
        <f>YEAR(SalesData[[#This Row],[Order Date]])</f>
        <v>2014</v>
      </c>
      <c r="C360" s="3">
        <f>MONTH(SalesData[[#This Row],[Order Date]])</f>
        <v>7</v>
      </c>
      <c r="D360" t="s">
        <v>55</v>
      </c>
      <c r="E360" t="s">
        <v>10</v>
      </c>
      <c r="F360" t="s">
        <v>15</v>
      </c>
      <c r="G360" t="s">
        <v>41</v>
      </c>
      <c r="H360" t="s">
        <v>61</v>
      </c>
      <c r="I360" s="2">
        <v>2082.15</v>
      </c>
      <c r="J360" s="3">
        <v>3</v>
      </c>
      <c r="K360" s="2">
        <v>23.23</v>
      </c>
    </row>
    <row r="361" spans="1:11" x14ac:dyDescent="0.25">
      <c r="A361" s="4">
        <v>41848</v>
      </c>
      <c r="B361" s="3">
        <f>YEAR(SalesData[[#This Row],[Order Date]])</f>
        <v>2014</v>
      </c>
      <c r="C361" s="3">
        <f>MONTH(SalesData[[#This Row],[Order Date]])</f>
        <v>7</v>
      </c>
      <c r="D361" t="s">
        <v>18</v>
      </c>
      <c r="E361" t="s">
        <v>40</v>
      </c>
      <c r="F361" t="s">
        <v>15</v>
      </c>
      <c r="G361" t="s">
        <v>16</v>
      </c>
      <c r="H361" t="s">
        <v>17</v>
      </c>
      <c r="I361" s="2">
        <v>2866.89</v>
      </c>
      <c r="J361" s="3">
        <v>9</v>
      </c>
      <c r="K361" s="2">
        <v>599.15</v>
      </c>
    </row>
    <row r="362" spans="1:11" x14ac:dyDescent="0.25">
      <c r="A362" s="4">
        <v>41848</v>
      </c>
      <c r="B362" s="3">
        <f>YEAR(SalesData[[#This Row],[Order Date]])</f>
        <v>2014</v>
      </c>
      <c r="C362" s="3">
        <f>MONTH(SalesData[[#This Row],[Order Date]])</f>
        <v>7</v>
      </c>
      <c r="D362" t="s">
        <v>55</v>
      </c>
      <c r="E362" t="s">
        <v>37</v>
      </c>
      <c r="F362" t="s">
        <v>15</v>
      </c>
      <c r="G362" t="s">
        <v>63</v>
      </c>
      <c r="H362" t="s">
        <v>66</v>
      </c>
      <c r="I362" s="2">
        <v>4357.76</v>
      </c>
      <c r="J362" s="3">
        <v>9</v>
      </c>
      <c r="K362" s="2">
        <v>680.07</v>
      </c>
    </row>
    <row r="363" spans="1:11" x14ac:dyDescent="0.25">
      <c r="A363" s="4">
        <v>41849</v>
      </c>
      <c r="B363" s="3">
        <f>YEAR(SalesData[[#This Row],[Order Date]])</f>
        <v>2014</v>
      </c>
      <c r="C363" s="3">
        <f>MONTH(SalesData[[#This Row],[Order Date]])</f>
        <v>7</v>
      </c>
      <c r="D363" t="s">
        <v>55</v>
      </c>
      <c r="E363" t="s">
        <v>60</v>
      </c>
      <c r="F363" t="s">
        <v>11</v>
      </c>
      <c r="G363" t="s">
        <v>24</v>
      </c>
      <c r="H363" t="s">
        <v>54</v>
      </c>
      <c r="I363" s="2">
        <v>3947.17</v>
      </c>
      <c r="J363" s="3">
        <v>4</v>
      </c>
      <c r="K363" s="2">
        <v>64.260000000000005</v>
      </c>
    </row>
    <row r="364" spans="1:11" x14ac:dyDescent="0.25">
      <c r="A364" s="4">
        <v>41850</v>
      </c>
      <c r="B364" s="3">
        <f>YEAR(SalesData[[#This Row],[Order Date]])</f>
        <v>2014</v>
      </c>
      <c r="C364" s="3">
        <f>MONTH(SalesData[[#This Row],[Order Date]])</f>
        <v>7</v>
      </c>
      <c r="D364" t="s">
        <v>14</v>
      </c>
      <c r="E364" t="s">
        <v>60</v>
      </c>
      <c r="F364" t="s">
        <v>27</v>
      </c>
      <c r="G364" t="s">
        <v>48</v>
      </c>
      <c r="H364" t="s">
        <v>49</v>
      </c>
      <c r="I364" s="2">
        <v>4286.8599999999997</v>
      </c>
      <c r="J364" s="3">
        <v>9</v>
      </c>
      <c r="K364" s="2">
        <v>407.32</v>
      </c>
    </row>
    <row r="365" spans="1:11" x14ac:dyDescent="0.25">
      <c r="A365" s="4">
        <v>41850</v>
      </c>
      <c r="B365" s="3">
        <f>YEAR(SalesData[[#This Row],[Order Date]])</f>
        <v>2014</v>
      </c>
      <c r="C365" s="3">
        <f>MONTH(SalesData[[#This Row],[Order Date]])</f>
        <v>7</v>
      </c>
      <c r="D365" t="s">
        <v>55</v>
      </c>
      <c r="E365" t="s">
        <v>60</v>
      </c>
      <c r="F365" t="s">
        <v>27</v>
      </c>
      <c r="G365" t="s">
        <v>32</v>
      </c>
      <c r="H365" t="s">
        <v>53</v>
      </c>
      <c r="I365" s="2">
        <v>1932.95</v>
      </c>
      <c r="J365" s="3">
        <v>2</v>
      </c>
      <c r="K365" s="2">
        <v>80.17</v>
      </c>
    </row>
    <row r="366" spans="1:11" x14ac:dyDescent="0.25">
      <c r="A366" s="4">
        <v>41851</v>
      </c>
      <c r="B366" s="3">
        <f>YEAR(SalesData[[#This Row],[Order Date]])</f>
        <v>2014</v>
      </c>
      <c r="C366" s="3">
        <f>MONTH(SalesData[[#This Row],[Order Date]])</f>
        <v>7</v>
      </c>
      <c r="D366" t="s">
        <v>50</v>
      </c>
      <c r="E366" t="s">
        <v>40</v>
      </c>
      <c r="F366" t="s">
        <v>15</v>
      </c>
      <c r="G366" t="s">
        <v>38</v>
      </c>
      <c r="H366" t="s">
        <v>56</v>
      </c>
      <c r="I366" s="2">
        <v>477.15</v>
      </c>
      <c r="J366" s="3">
        <v>8</v>
      </c>
      <c r="K366" s="2">
        <v>106.26</v>
      </c>
    </row>
    <row r="367" spans="1:11" x14ac:dyDescent="0.25">
      <c r="A367" s="4">
        <v>41852</v>
      </c>
      <c r="B367" s="3">
        <f>YEAR(SalesData[[#This Row],[Order Date]])</f>
        <v>2014</v>
      </c>
      <c r="C367" s="3">
        <f>MONTH(SalesData[[#This Row],[Order Date]])</f>
        <v>8</v>
      </c>
      <c r="D367" t="s">
        <v>9</v>
      </c>
      <c r="E367" t="s">
        <v>44</v>
      </c>
      <c r="F367" t="s">
        <v>15</v>
      </c>
      <c r="G367" t="s">
        <v>41</v>
      </c>
      <c r="H367" t="s">
        <v>42</v>
      </c>
      <c r="I367" s="2">
        <v>174.34</v>
      </c>
      <c r="J367" s="3">
        <v>8</v>
      </c>
      <c r="K367" s="2">
        <v>2.56</v>
      </c>
    </row>
    <row r="368" spans="1:11" x14ac:dyDescent="0.25">
      <c r="A368" s="4">
        <v>41852</v>
      </c>
      <c r="B368" s="3">
        <f>YEAR(SalesData[[#This Row],[Order Date]])</f>
        <v>2014</v>
      </c>
      <c r="C368" s="3">
        <f>MONTH(SalesData[[#This Row],[Order Date]])</f>
        <v>8</v>
      </c>
      <c r="D368" t="s">
        <v>18</v>
      </c>
      <c r="E368" t="s">
        <v>31</v>
      </c>
      <c r="F368" t="s">
        <v>15</v>
      </c>
      <c r="G368" t="s">
        <v>38</v>
      </c>
      <c r="H368" t="s">
        <v>56</v>
      </c>
      <c r="I368" s="2">
        <v>2028.4</v>
      </c>
      <c r="J368" s="3">
        <v>9</v>
      </c>
      <c r="K368" s="2">
        <v>18.75</v>
      </c>
    </row>
    <row r="369" spans="1:11" x14ac:dyDescent="0.25">
      <c r="A369" s="4">
        <v>41852</v>
      </c>
      <c r="B369" s="3">
        <f>YEAR(SalesData[[#This Row],[Order Date]])</f>
        <v>2014</v>
      </c>
      <c r="C369" s="3">
        <f>MONTH(SalesData[[#This Row],[Order Date]])</f>
        <v>8</v>
      </c>
      <c r="D369" t="s">
        <v>47</v>
      </c>
      <c r="E369" t="s">
        <v>34</v>
      </c>
      <c r="F369" t="s">
        <v>27</v>
      </c>
      <c r="G369" t="s">
        <v>28</v>
      </c>
      <c r="H369" t="s">
        <v>29</v>
      </c>
      <c r="I369" s="2">
        <v>4442.03</v>
      </c>
      <c r="J369" s="3">
        <v>1</v>
      </c>
      <c r="K369" s="2">
        <v>215.85</v>
      </c>
    </row>
    <row r="370" spans="1:11" x14ac:dyDescent="0.25">
      <c r="A370" s="4">
        <v>41854</v>
      </c>
      <c r="B370" s="3">
        <f>YEAR(SalesData[[#This Row],[Order Date]])</f>
        <v>2014</v>
      </c>
      <c r="C370" s="3">
        <f>MONTH(SalesData[[#This Row],[Order Date]])</f>
        <v>8</v>
      </c>
      <c r="D370" t="s">
        <v>50</v>
      </c>
      <c r="E370" t="s">
        <v>60</v>
      </c>
      <c r="F370" t="s">
        <v>27</v>
      </c>
      <c r="G370" t="s">
        <v>32</v>
      </c>
      <c r="H370" t="s">
        <v>33</v>
      </c>
      <c r="I370" s="2">
        <v>1013.03</v>
      </c>
      <c r="J370" s="3">
        <v>9</v>
      </c>
      <c r="K370" s="2">
        <v>56.86</v>
      </c>
    </row>
    <row r="371" spans="1:11" x14ac:dyDescent="0.25">
      <c r="A371" s="4">
        <v>41854</v>
      </c>
      <c r="B371" s="3">
        <f>YEAR(SalesData[[#This Row],[Order Date]])</f>
        <v>2014</v>
      </c>
      <c r="C371" s="3">
        <f>MONTH(SalesData[[#This Row],[Order Date]])</f>
        <v>8</v>
      </c>
      <c r="D371" t="s">
        <v>43</v>
      </c>
      <c r="E371" t="s">
        <v>52</v>
      </c>
      <c r="F371" t="s">
        <v>27</v>
      </c>
      <c r="G371" t="s">
        <v>32</v>
      </c>
      <c r="H371" t="s">
        <v>53</v>
      </c>
      <c r="I371" s="2">
        <v>1727.1</v>
      </c>
      <c r="J371" s="3">
        <v>7</v>
      </c>
      <c r="K371" s="2">
        <v>247.53</v>
      </c>
    </row>
    <row r="372" spans="1:11" x14ac:dyDescent="0.25">
      <c r="A372" s="4">
        <v>41854</v>
      </c>
      <c r="B372" s="3">
        <f>YEAR(SalesData[[#This Row],[Order Date]])</f>
        <v>2014</v>
      </c>
      <c r="C372" s="3">
        <f>MONTH(SalesData[[#This Row],[Order Date]])</f>
        <v>8</v>
      </c>
      <c r="D372" t="s">
        <v>50</v>
      </c>
      <c r="E372" t="s">
        <v>26</v>
      </c>
      <c r="F372" t="s">
        <v>11</v>
      </c>
      <c r="G372" t="s">
        <v>12</v>
      </c>
      <c r="H372" t="s">
        <v>65</v>
      </c>
      <c r="I372" s="2">
        <v>3799.37</v>
      </c>
      <c r="J372" s="3">
        <v>8</v>
      </c>
      <c r="K372" s="2">
        <v>636.01</v>
      </c>
    </row>
    <row r="373" spans="1:11" x14ac:dyDescent="0.25">
      <c r="A373" s="4">
        <v>41855</v>
      </c>
      <c r="B373" s="3">
        <f>YEAR(SalesData[[#This Row],[Order Date]])</f>
        <v>2014</v>
      </c>
      <c r="C373" s="3">
        <f>MONTH(SalesData[[#This Row],[Order Date]])</f>
        <v>8</v>
      </c>
      <c r="D373" t="s">
        <v>20</v>
      </c>
      <c r="E373" t="s">
        <v>40</v>
      </c>
      <c r="F373" t="s">
        <v>15</v>
      </c>
      <c r="G373" t="s">
        <v>45</v>
      </c>
      <c r="H373" t="s">
        <v>46</v>
      </c>
      <c r="I373" s="2">
        <v>1521.68</v>
      </c>
      <c r="J373" s="3">
        <v>5</v>
      </c>
      <c r="K373" s="2">
        <v>273.83999999999997</v>
      </c>
    </row>
    <row r="374" spans="1:11" x14ac:dyDescent="0.25">
      <c r="A374" s="4">
        <v>41855</v>
      </c>
      <c r="B374" s="3">
        <f>YEAR(SalesData[[#This Row],[Order Date]])</f>
        <v>2014</v>
      </c>
      <c r="C374" s="3">
        <f>MONTH(SalesData[[#This Row],[Order Date]])</f>
        <v>8</v>
      </c>
      <c r="D374" t="s">
        <v>9</v>
      </c>
      <c r="E374" t="s">
        <v>10</v>
      </c>
      <c r="F374" t="s">
        <v>15</v>
      </c>
      <c r="G374" t="s">
        <v>16</v>
      </c>
      <c r="H374" t="s">
        <v>17</v>
      </c>
      <c r="I374" s="2">
        <v>3247.2</v>
      </c>
      <c r="J374" s="3">
        <v>1</v>
      </c>
      <c r="K374" s="2">
        <v>89.84</v>
      </c>
    </row>
    <row r="375" spans="1:11" x14ac:dyDescent="0.25">
      <c r="A375" s="4">
        <v>41855</v>
      </c>
      <c r="B375" s="3">
        <f>YEAR(SalesData[[#This Row],[Order Date]])</f>
        <v>2014</v>
      </c>
      <c r="C375" s="3">
        <f>MONTH(SalesData[[#This Row],[Order Date]])</f>
        <v>8</v>
      </c>
      <c r="D375" t="s">
        <v>30</v>
      </c>
      <c r="E375" t="s">
        <v>40</v>
      </c>
      <c r="F375" t="s">
        <v>11</v>
      </c>
      <c r="G375" t="s">
        <v>35</v>
      </c>
      <c r="H375" t="s">
        <v>70</v>
      </c>
      <c r="I375" s="2">
        <v>3035.78</v>
      </c>
      <c r="J375" s="3">
        <v>3</v>
      </c>
      <c r="K375" s="2">
        <v>625.21</v>
      </c>
    </row>
    <row r="376" spans="1:11" x14ac:dyDescent="0.25">
      <c r="A376" s="4">
        <v>41855</v>
      </c>
      <c r="B376" s="3">
        <f>YEAR(SalesData[[#This Row],[Order Date]])</f>
        <v>2014</v>
      </c>
      <c r="C376" s="3">
        <f>MONTH(SalesData[[#This Row],[Order Date]])</f>
        <v>8</v>
      </c>
      <c r="D376" t="s">
        <v>68</v>
      </c>
      <c r="E376" t="s">
        <v>10</v>
      </c>
      <c r="F376" t="s">
        <v>15</v>
      </c>
      <c r="G376" t="s">
        <v>41</v>
      </c>
      <c r="H376" t="s">
        <v>61</v>
      </c>
      <c r="I376" s="2">
        <v>3327</v>
      </c>
      <c r="J376" s="3">
        <v>5</v>
      </c>
      <c r="K376" s="2">
        <v>545.12</v>
      </c>
    </row>
    <row r="377" spans="1:11" x14ac:dyDescent="0.25">
      <c r="A377" s="4">
        <v>41857</v>
      </c>
      <c r="B377" s="3">
        <f>YEAR(SalesData[[#This Row],[Order Date]])</f>
        <v>2014</v>
      </c>
      <c r="C377" s="3">
        <f>MONTH(SalesData[[#This Row],[Order Date]])</f>
        <v>8</v>
      </c>
      <c r="D377" t="s">
        <v>18</v>
      </c>
      <c r="E377" t="s">
        <v>26</v>
      </c>
      <c r="F377" t="s">
        <v>11</v>
      </c>
      <c r="G377" t="s">
        <v>24</v>
      </c>
      <c r="H377" t="s">
        <v>54</v>
      </c>
      <c r="I377" s="2">
        <v>3220.99</v>
      </c>
      <c r="J377" s="3">
        <v>3</v>
      </c>
      <c r="K377" s="2">
        <v>504.22</v>
      </c>
    </row>
    <row r="378" spans="1:11" x14ac:dyDescent="0.25">
      <c r="A378" s="4">
        <v>41857</v>
      </c>
      <c r="B378" s="3">
        <f>YEAR(SalesData[[#This Row],[Order Date]])</f>
        <v>2014</v>
      </c>
      <c r="C378" s="3">
        <f>MONTH(SalesData[[#This Row],[Order Date]])</f>
        <v>8</v>
      </c>
      <c r="D378" t="s">
        <v>68</v>
      </c>
      <c r="E378" t="s">
        <v>31</v>
      </c>
      <c r="F378" t="s">
        <v>15</v>
      </c>
      <c r="G378" t="s">
        <v>41</v>
      </c>
      <c r="H378" t="s">
        <v>42</v>
      </c>
      <c r="I378" s="2">
        <v>3839.14</v>
      </c>
      <c r="J378" s="3">
        <v>1</v>
      </c>
      <c r="K378" s="2">
        <v>98.47</v>
      </c>
    </row>
    <row r="379" spans="1:11" x14ac:dyDescent="0.25">
      <c r="A379" s="4">
        <v>41857</v>
      </c>
      <c r="B379" s="3">
        <f>YEAR(SalesData[[#This Row],[Order Date]])</f>
        <v>2014</v>
      </c>
      <c r="C379" s="3">
        <f>MONTH(SalesData[[#This Row],[Order Date]])</f>
        <v>8</v>
      </c>
      <c r="D379" t="s">
        <v>20</v>
      </c>
      <c r="E379" t="s">
        <v>40</v>
      </c>
      <c r="F379" t="s">
        <v>15</v>
      </c>
      <c r="G379" t="s">
        <v>45</v>
      </c>
      <c r="H379" t="s">
        <v>59</v>
      </c>
      <c r="I379" s="2">
        <v>1915.67</v>
      </c>
      <c r="J379" s="3">
        <v>2</v>
      </c>
      <c r="K379" s="2">
        <v>155.61000000000001</v>
      </c>
    </row>
    <row r="380" spans="1:11" x14ac:dyDescent="0.25">
      <c r="A380" s="4">
        <v>41860</v>
      </c>
      <c r="B380" s="3">
        <f>YEAR(SalesData[[#This Row],[Order Date]])</f>
        <v>2014</v>
      </c>
      <c r="C380" s="3">
        <f>MONTH(SalesData[[#This Row],[Order Date]])</f>
        <v>8</v>
      </c>
      <c r="D380" t="s">
        <v>47</v>
      </c>
      <c r="E380" t="s">
        <v>52</v>
      </c>
      <c r="F380" t="s">
        <v>27</v>
      </c>
      <c r="G380" t="s">
        <v>32</v>
      </c>
      <c r="H380" t="s">
        <v>33</v>
      </c>
      <c r="I380" s="2">
        <v>1708.18</v>
      </c>
      <c r="J380" s="3">
        <v>10</v>
      </c>
      <c r="K380" s="2">
        <v>49.32</v>
      </c>
    </row>
    <row r="381" spans="1:11" x14ac:dyDescent="0.25">
      <c r="A381" s="4">
        <v>41860</v>
      </c>
      <c r="B381" s="3">
        <f>YEAR(SalesData[[#This Row],[Order Date]])</f>
        <v>2014</v>
      </c>
      <c r="C381" s="3">
        <f>MONTH(SalesData[[#This Row],[Order Date]])</f>
        <v>8</v>
      </c>
      <c r="D381" t="s">
        <v>47</v>
      </c>
      <c r="E381" t="s">
        <v>19</v>
      </c>
      <c r="F381" t="s">
        <v>15</v>
      </c>
      <c r="G381" t="s">
        <v>38</v>
      </c>
      <c r="H381" t="s">
        <v>56</v>
      </c>
      <c r="I381" s="2">
        <v>4552.29</v>
      </c>
      <c r="J381" s="3">
        <v>4</v>
      </c>
      <c r="K381" s="2">
        <v>1152.78</v>
      </c>
    </row>
    <row r="382" spans="1:11" x14ac:dyDescent="0.25">
      <c r="A382" s="4">
        <v>41861</v>
      </c>
      <c r="B382" s="3">
        <f>YEAR(SalesData[[#This Row],[Order Date]])</f>
        <v>2014</v>
      </c>
      <c r="C382" s="3">
        <f>MONTH(SalesData[[#This Row],[Order Date]])</f>
        <v>8</v>
      </c>
      <c r="D382" t="s">
        <v>18</v>
      </c>
      <c r="E382" t="s">
        <v>34</v>
      </c>
      <c r="F382" t="s">
        <v>27</v>
      </c>
      <c r="G382" t="s">
        <v>32</v>
      </c>
      <c r="H382" t="s">
        <v>33</v>
      </c>
      <c r="I382" s="2">
        <v>2670.02</v>
      </c>
      <c r="J382" s="3">
        <v>4</v>
      </c>
      <c r="K382" s="2">
        <v>44.26</v>
      </c>
    </row>
    <row r="383" spans="1:11" x14ac:dyDescent="0.25">
      <c r="A383" s="4">
        <v>41861</v>
      </c>
      <c r="B383" s="3">
        <f>YEAR(SalesData[[#This Row],[Order Date]])</f>
        <v>2014</v>
      </c>
      <c r="C383" s="3">
        <f>MONTH(SalesData[[#This Row],[Order Date]])</f>
        <v>8</v>
      </c>
      <c r="D383" t="s">
        <v>50</v>
      </c>
      <c r="E383" t="s">
        <v>10</v>
      </c>
      <c r="F383" t="s">
        <v>11</v>
      </c>
      <c r="G383" t="s">
        <v>12</v>
      </c>
      <c r="H383" t="s">
        <v>65</v>
      </c>
      <c r="I383" s="2">
        <v>324.08999999999997</v>
      </c>
      <c r="J383" s="3">
        <v>5</v>
      </c>
      <c r="K383" s="2">
        <v>70.599999999999994</v>
      </c>
    </row>
    <row r="384" spans="1:11" x14ac:dyDescent="0.25">
      <c r="A384" s="4">
        <v>41862</v>
      </c>
      <c r="B384" s="3">
        <f>YEAR(SalesData[[#This Row],[Order Date]])</f>
        <v>2014</v>
      </c>
      <c r="C384" s="3">
        <f>MONTH(SalesData[[#This Row],[Order Date]])</f>
        <v>8</v>
      </c>
      <c r="D384" t="s">
        <v>18</v>
      </c>
      <c r="E384" t="s">
        <v>60</v>
      </c>
      <c r="F384" t="s">
        <v>15</v>
      </c>
      <c r="G384" t="s">
        <v>16</v>
      </c>
      <c r="H384" t="s">
        <v>51</v>
      </c>
      <c r="I384" s="2">
        <v>4657.76</v>
      </c>
      <c r="J384" s="3">
        <v>5</v>
      </c>
      <c r="K384" s="2">
        <v>664.61</v>
      </c>
    </row>
    <row r="385" spans="1:11" x14ac:dyDescent="0.25">
      <c r="A385" s="4">
        <v>41862</v>
      </c>
      <c r="B385" s="3">
        <f>YEAR(SalesData[[#This Row],[Order Date]])</f>
        <v>2014</v>
      </c>
      <c r="C385" s="3">
        <f>MONTH(SalesData[[#This Row],[Order Date]])</f>
        <v>8</v>
      </c>
      <c r="D385" t="s">
        <v>9</v>
      </c>
      <c r="E385" t="s">
        <v>19</v>
      </c>
      <c r="F385" t="s">
        <v>15</v>
      </c>
      <c r="G385" t="s">
        <v>38</v>
      </c>
      <c r="H385" t="s">
        <v>56</v>
      </c>
      <c r="I385" s="2">
        <v>580.30999999999995</v>
      </c>
      <c r="J385" s="3">
        <v>4</v>
      </c>
      <c r="K385" s="2">
        <v>37.020000000000003</v>
      </c>
    </row>
    <row r="386" spans="1:11" x14ac:dyDescent="0.25">
      <c r="A386" s="4">
        <v>41863</v>
      </c>
      <c r="B386" s="3">
        <f>YEAR(SalesData[[#This Row],[Order Date]])</f>
        <v>2014</v>
      </c>
      <c r="C386" s="3">
        <f>MONTH(SalesData[[#This Row],[Order Date]])</f>
        <v>8</v>
      </c>
      <c r="D386" t="s">
        <v>43</v>
      </c>
      <c r="E386" t="s">
        <v>34</v>
      </c>
      <c r="F386" t="s">
        <v>11</v>
      </c>
      <c r="G386" t="s">
        <v>24</v>
      </c>
      <c r="H386" t="s">
        <v>25</v>
      </c>
      <c r="I386" s="2">
        <v>1783.03</v>
      </c>
      <c r="J386" s="3">
        <v>5</v>
      </c>
      <c r="K386" s="2">
        <v>481.85</v>
      </c>
    </row>
    <row r="387" spans="1:11" x14ac:dyDescent="0.25">
      <c r="A387" s="4">
        <v>41863</v>
      </c>
      <c r="B387" s="3">
        <f>YEAR(SalesData[[#This Row],[Order Date]])</f>
        <v>2014</v>
      </c>
      <c r="C387" s="3">
        <f>MONTH(SalesData[[#This Row],[Order Date]])</f>
        <v>8</v>
      </c>
      <c r="D387" t="s">
        <v>62</v>
      </c>
      <c r="E387" t="s">
        <v>10</v>
      </c>
      <c r="F387" t="s">
        <v>15</v>
      </c>
      <c r="G387" t="s">
        <v>63</v>
      </c>
      <c r="H387" t="s">
        <v>64</v>
      </c>
      <c r="I387" s="2">
        <v>3683.74</v>
      </c>
      <c r="J387" s="3">
        <v>3</v>
      </c>
      <c r="K387" s="2">
        <v>735.32</v>
      </c>
    </row>
    <row r="388" spans="1:11" x14ac:dyDescent="0.25">
      <c r="A388" s="4">
        <v>41864</v>
      </c>
      <c r="B388" s="3">
        <f>YEAR(SalesData[[#This Row],[Order Date]])</f>
        <v>2014</v>
      </c>
      <c r="C388" s="3">
        <f>MONTH(SalesData[[#This Row],[Order Date]])</f>
        <v>8</v>
      </c>
      <c r="D388" t="s">
        <v>18</v>
      </c>
      <c r="E388" t="s">
        <v>19</v>
      </c>
      <c r="F388" t="s">
        <v>11</v>
      </c>
      <c r="G388" t="s">
        <v>35</v>
      </c>
      <c r="H388" t="s">
        <v>71</v>
      </c>
      <c r="I388" s="2">
        <v>3242.73</v>
      </c>
      <c r="J388" s="3">
        <v>6</v>
      </c>
      <c r="K388" s="2">
        <v>889.91</v>
      </c>
    </row>
    <row r="389" spans="1:11" x14ac:dyDescent="0.25">
      <c r="A389" s="4">
        <v>41864</v>
      </c>
      <c r="B389" s="3">
        <f>YEAR(SalesData[[#This Row],[Order Date]])</f>
        <v>2014</v>
      </c>
      <c r="C389" s="3">
        <f>MONTH(SalesData[[#This Row],[Order Date]])</f>
        <v>8</v>
      </c>
      <c r="D389" t="s">
        <v>20</v>
      </c>
      <c r="E389" t="s">
        <v>26</v>
      </c>
      <c r="F389" t="s">
        <v>11</v>
      </c>
      <c r="G389" t="s">
        <v>24</v>
      </c>
      <c r="H389" t="s">
        <v>54</v>
      </c>
      <c r="I389" s="2">
        <v>707.94</v>
      </c>
      <c r="J389" s="3">
        <v>4</v>
      </c>
      <c r="K389" s="2">
        <v>174.6</v>
      </c>
    </row>
    <row r="390" spans="1:11" x14ac:dyDescent="0.25">
      <c r="A390" s="4">
        <v>41866</v>
      </c>
      <c r="B390" s="3">
        <f>YEAR(SalesData[[#This Row],[Order Date]])</f>
        <v>2014</v>
      </c>
      <c r="C390" s="3">
        <f>MONTH(SalesData[[#This Row],[Order Date]])</f>
        <v>8</v>
      </c>
      <c r="D390" t="s">
        <v>20</v>
      </c>
      <c r="E390" t="s">
        <v>34</v>
      </c>
      <c r="F390" t="s">
        <v>15</v>
      </c>
      <c r="G390" t="s">
        <v>41</v>
      </c>
      <c r="H390" t="s">
        <v>61</v>
      </c>
      <c r="I390" s="2">
        <v>3264.3</v>
      </c>
      <c r="J390" s="3">
        <v>7</v>
      </c>
      <c r="K390" s="2">
        <v>43.42</v>
      </c>
    </row>
    <row r="391" spans="1:11" x14ac:dyDescent="0.25">
      <c r="A391" s="4">
        <v>41867</v>
      </c>
      <c r="B391" s="3">
        <f>YEAR(SalesData[[#This Row],[Order Date]])</f>
        <v>2014</v>
      </c>
      <c r="C391" s="3">
        <f>MONTH(SalesData[[#This Row],[Order Date]])</f>
        <v>8</v>
      </c>
      <c r="D391" t="s">
        <v>47</v>
      </c>
      <c r="E391" t="s">
        <v>31</v>
      </c>
      <c r="F391" t="s">
        <v>11</v>
      </c>
      <c r="G391" t="s">
        <v>35</v>
      </c>
      <c r="H391" t="s">
        <v>36</v>
      </c>
      <c r="I391" s="2">
        <v>2986.43</v>
      </c>
      <c r="J391" s="3">
        <v>6</v>
      </c>
      <c r="K391" s="2">
        <v>98.62</v>
      </c>
    </row>
    <row r="392" spans="1:11" x14ac:dyDescent="0.25">
      <c r="A392" s="4">
        <v>41867</v>
      </c>
      <c r="B392" s="3">
        <f>YEAR(SalesData[[#This Row],[Order Date]])</f>
        <v>2014</v>
      </c>
      <c r="C392" s="3">
        <f>MONTH(SalesData[[#This Row],[Order Date]])</f>
        <v>8</v>
      </c>
      <c r="D392" t="s">
        <v>47</v>
      </c>
      <c r="E392" t="s">
        <v>60</v>
      </c>
      <c r="F392" t="s">
        <v>27</v>
      </c>
      <c r="G392" t="s">
        <v>32</v>
      </c>
      <c r="H392" t="s">
        <v>53</v>
      </c>
      <c r="I392" s="2">
        <v>4232.33</v>
      </c>
      <c r="J392" s="3">
        <v>7</v>
      </c>
      <c r="K392" s="2">
        <v>707.7</v>
      </c>
    </row>
    <row r="393" spans="1:11" x14ac:dyDescent="0.25">
      <c r="A393" s="4">
        <v>41867</v>
      </c>
      <c r="B393" s="3">
        <f>YEAR(SalesData[[#This Row],[Order Date]])</f>
        <v>2014</v>
      </c>
      <c r="C393" s="3">
        <f>MONTH(SalesData[[#This Row],[Order Date]])</f>
        <v>8</v>
      </c>
      <c r="D393" t="s">
        <v>23</v>
      </c>
      <c r="E393" t="s">
        <v>31</v>
      </c>
      <c r="F393" t="s">
        <v>11</v>
      </c>
      <c r="G393" t="s">
        <v>21</v>
      </c>
      <c r="H393" t="s">
        <v>22</v>
      </c>
      <c r="I393" s="2">
        <v>866.07</v>
      </c>
      <c r="J393" s="3">
        <v>3</v>
      </c>
      <c r="K393" s="2">
        <v>124.82</v>
      </c>
    </row>
    <row r="394" spans="1:11" x14ac:dyDescent="0.25">
      <c r="A394" s="4">
        <v>41867</v>
      </c>
      <c r="B394" s="3">
        <f>YEAR(SalesData[[#This Row],[Order Date]])</f>
        <v>2014</v>
      </c>
      <c r="C394" s="3">
        <f>MONTH(SalesData[[#This Row],[Order Date]])</f>
        <v>8</v>
      </c>
      <c r="D394" t="s">
        <v>23</v>
      </c>
      <c r="E394" t="s">
        <v>10</v>
      </c>
      <c r="F394" t="s">
        <v>15</v>
      </c>
      <c r="G394" t="s">
        <v>38</v>
      </c>
      <c r="H394" t="s">
        <v>39</v>
      </c>
      <c r="I394" s="2">
        <v>1273.29</v>
      </c>
      <c r="J394" s="3">
        <v>8</v>
      </c>
      <c r="K394" s="2">
        <v>357.04</v>
      </c>
    </row>
    <row r="395" spans="1:11" x14ac:dyDescent="0.25">
      <c r="A395" s="4">
        <v>41868</v>
      </c>
      <c r="B395" s="3">
        <f>YEAR(SalesData[[#This Row],[Order Date]])</f>
        <v>2014</v>
      </c>
      <c r="C395" s="3">
        <f>MONTH(SalesData[[#This Row],[Order Date]])</f>
        <v>8</v>
      </c>
      <c r="D395" t="s">
        <v>62</v>
      </c>
      <c r="E395" t="s">
        <v>52</v>
      </c>
      <c r="F395" t="s">
        <v>11</v>
      </c>
      <c r="G395" t="s">
        <v>21</v>
      </c>
      <c r="H395" t="s">
        <v>22</v>
      </c>
      <c r="I395" s="2">
        <v>318.49</v>
      </c>
      <c r="J395" s="3">
        <v>7</v>
      </c>
      <c r="K395" s="2">
        <v>68.7</v>
      </c>
    </row>
    <row r="396" spans="1:11" x14ac:dyDescent="0.25">
      <c r="A396" s="4">
        <v>41868</v>
      </c>
      <c r="B396" s="3">
        <f>YEAR(SalesData[[#This Row],[Order Date]])</f>
        <v>2014</v>
      </c>
      <c r="C396" s="3">
        <f>MONTH(SalesData[[#This Row],[Order Date]])</f>
        <v>8</v>
      </c>
      <c r="D396" t="s">
        <v>30</v>
      </c>
      <c r="E396" t="s">
        <v>31</v>
      </c>
      <c r="F396" t="s">
        <v>27</v>
      </c>
      <c r="G396" t="s">
        <v>48</v>
      </c>
      <c r="H396" t="s">
        <v>57</v>
      </c>
      <c r="I396" s="2">
        <v>4106.53</v>
      </c>
      <c r="J396" s="3">
        <v>1</v>
      </c>
      <c r="K396" s="2">
        <v>541.66999999999996</v>
      </c>
    </row>
    <row r="397" spans="1:11" x14ac:dyDescent="0.25">
      <c r="A397" s="4">
        <v>41868</v>
      </c>
      <c r="B397" s="3">
        <f>YEAR(SalesData[[#This Row],[Order Date]])</f>
        <v>2014</v>
      </c>
      <c r="C397" s="3">
        <f>MONTH(SalesData[[#This Row],[Order Date]])</f>
        <v>8</v>
      </c>
      <c r="D397" t="s">
        <v>9</v>
      </c>
      <c r="E397" t="s">
        <v>40</v>
      </c>
      <c r="F397" t="s">
        <v>15</v>
      </c>
      <c r="G397" t="s">
        <v>63</v>
      </c>
      <c r="H397" t="s">
        <v>64</v>
      </c>
      <c r="I397" s="2">
        <v>3942.67</v>
      </c>
      <c r="J397" s="3">
        <v>7</v>
      </c>
      <c r="K397" s="2">
        <v>1159.49</v>
      </c>
    </row>
    <row r="398" spans="1:11" x14ac:dyDescent="0.25">
      <c r="A398" s="4">
        <v>41869</v>
      </c>
      <c r="B398" s="3">
        <f>YEAR(SalesData[[#This Row],[Order Date]])</f>
        <v>2014</v>
      </c>
      <c r="C398" s="3">
        <f>MONTH(SalesData[[#This Row],[Order Date]])</f>
        <v>8</v>
      </c>
      <c r="D398" t="s">
        <v>68</v>
      </c>
      <c r="E398" t="s">
        <v>26</v>
      </c>
      <c r="F398" t="s">
        <v>15</v>
      </c>
      <c r="G398" t="s">
        <v>16</v>
      </c>
      <c r="H398" t="s">
        <v>17</v>
      </c>
      <c r="I398" s="2">
        <v>2615.0300000000002</v>
      </c>
      <c r="J398" s="3">
        <v>7</v>
      </c>
      <c r="K398" s="2">
        <v>161.76</v>
      </c>
    </row>
    <row r="399" spans="1:11" x14ac:dyDescent="0.25">
      <c r="A399" s="4">
        <v>41869</v>
      </c>
      <c r="B399" s="3">
        <f>YEAR(SalesData[[#This Row],[Order Date]])</f>
        <v>2014</v>
      </c>
      <c r="C399" s="3">
        <f>MONTH(SalesData[[#This Row],[Order Date]])</f>
        <v>8</v>
      </c>
      <c r="D399" t="s">
        <v>23</v>
      </c>
      <c r="E399" t="s">
        <v>60</v>
      </c>
      <c r="F399" t="s">
        <v>15</v>
      </c>
      <c r="G399" t="s">
        <v>41</v>
      </c>
      <c r="H399" t="s">
        <v>61</v>
      </c>
      <c r="I399" s="2">
        <v>2840.15</v>
      </c>
      <c r="J399" s="3">
        <v>4</v>
      </c>
      <c r="K399" s="2">
        <v>244</v>
      </c>
    </row>
    <row r="400" spans="1:11" x14ac:dyDescent="0.25">
      <c r="A400" s="4">
        <v>41869</v>
      </c>
      <c r="B400" s="3">
        <f>YEAR(SalesData[[#This Row],[Order Date]])</f>
        <v>2014</v>
      </c>
      <c r="C400" s="3">
        <f>MONTH(SalesData[[#This Row],[Order Date]])</f>
        <v>8</v>
      </c>
      <c r="D400" t="s">
        <v>43</v>
      </c>
      <c r="E400" t="s">
        <v>52</v>
      </c>
      <c r="F400" t="s">
        <v>11</v>
      </c>
      <c r="G400" t="s">
        <v>12</v>
      </c>
      <c r="H400" t="s">
        <v>65</v>
      </c>
      <c r="I400" s="2">
        <v>4249.83</v>
      </c>
      <c r="J400" s="3">
        <v>6</v>
      </c>
      <c r="K400" s="2">
        <v>445.5</v>
      </c>
    </row>
    <row r="401" spans="1:11" x14ac:dyDescent="0.25">
      <c r="A401" s="4">
        <v>41870</v>
      </c>
      <c r="B401" s="3">
        <f>YEAR(SalesData[[#This Row],[Order Date]])</f>
        <v>2014</v>
      </c>
      <c r="C401" s="3">
        <f>MONTH(SalesData[[#This Row],[Order Date]])</f>
        <v>8</v>
      </c>
      <c r="D401" t="s">
        <v>68</v>
      </c>
      <c r="E401" t="s">
        <v>26</v>
      </c>
      <c r="F401" t="s">
        <v>11</v>
      </c>
      <c r="G401" t="s">
        <v>24</v>
      </c>
      <c r="H401" t="s">
        <v>54</v>
      </c>
      <c r="I401" s="2">
        <v>2224.96</v>
      </c>
      <c r="J401" s="3">
        <v>6</v>
      </c>
      <c r="K401" s="2">
        <v>115.55</v>
      </c>
    </row>
    <row r="402" spans="1:11" x14ac:dyDescent="0.25">
      <c r="A402" s="4">
        <v>41870</v>
      </c>
      <c r="B402" s="3">
        <f>YEAR(SalesData[[#This Row],[Order Date]])</f>
        <v>2014</v>
      </c>
      <c r="C402" s="3">
        <f>MONTH(SalesData[[#This Row],[Order Date]])</f>
        <v>8</v>
      </c>
      <c r="D402" t="s">
        <v>23</v>
      </c>
      <c r="E402" t="s">
        <v>34</v>
      </c>
      <c r="F402" t="s">
        <v>11</v>
      </c>
      <c r="G402" t="s">
        <v>12</v>
      </c>
      <c r="H402" t="s">
        <v>13</v>
      </c>
      <c r="I402" s="2">
        <v>1000.24</v>
      </c>
      <c r="J402" s="3">
        <v>2</v>
      </c>
      <c r="K402" s="2">
        <v>252.57</v>
      </c>
    </row>
    <row r="403" spans="1:11" x14ac:dyDescent="0.25">
      <c r="A403" s="4">
        <v>41871</v>
      </c>
      <c r="B403" s="3">
        <f>YEAR(SalesData[[#This Row],[Order Date]])</f>
        <v>2014</v>
      </c>
      <c r="C403" s="3">
        <f>MONTH(SalesData[[#This Row],[Order Date]])</f>
        <v>8</v>
      </c>
      <c r="D403" t="s">
        <v>50</v>
      </c>
      <c r="E403" t="s">
        <v>34</v>
      </c>
      <c r="F403" t="s">
        <v>15</v>
      </c>
      <c r="G403" t="s">
        <v>41</v>
      </c>
      <c r="H403" t="s">
        <v>61</v>
      </c>
      <c r="I403" s="2">
        <v>2440.25</v>
      </c>
      <c r="J403" s="3">
        <v>8</v>
      </c>
      <c r="K403" s="2">
        <v>293.62</v>
      </c>
    </row>
    <row r="404" spans="1:11" x14ac:dyDescent="0.25">
      <c r="A404" s="4">
        <v>41871</v>
      </c>
      <c r="B404" s="3">
        <f>YEAR(SalesData[[#This Row],[Order Date]])</f>
        <v>2014</v>
      </c>
      <c r="C404" s="3">
        <f>MONTH(SalesData[[#This Row],[Order Date]])</f>
        <v>8</v>
      </c>
      <c r="D404" t="s">
        <v>50</v>
      </c>
      <c r="E404" t="s">
        <v>52</v>
      </c>
      <c r="F404" t="s">
        <v>11</v>
      </c>
      <c r="G404" t="s">
        <v>35</v>
      </c>
      <c r="H404" t="s">
        <v>36</v>
      </c>
      <c r="I404" s="2">
        <v>230.66</v>
      </c>
      <c r="J404" s="3">
        <v>7</v>
      </c>
      <c r="K404" s="2">
        <v>54.63</v>
      </c>
    </row>
    <row r="405" spans="1:11" x14ac:dyDescent="0.25">
      <c r="A405" s="4">
        <v>41871</v>
      </c>
      <c r="B405" s="3">
        <f>YEAR(SalesData[[#This Row],[Order Date]])</f>
        <v>2014</v>
      </c>
      <c r="C405" s="3">
        <f>MONTH(SalesData[[#This Row],[Order Date]])</f>
        <v>8</v>
      </c>
      <c r="D405" t="s">
        <v>20</v>
      </c>
      <c r="E405" t="s">
        <v>37</v>
      </c>
      <c r="F405" t="s">
        <v>11</v>
      </c>
      <c r="G405" t="s">
        <v>24</v>
      </c>
      <c r="H405" t="s">
        <v>25</v>
      </c>
      <c r="I405" s="2">
        <v>2585.89</v>
      </c>
      <c r="J405" s="3">
        <v>6</v>
      </c>
      <c r="K405" s="2">
        <v>527.14</v>
      </c>
    </row>
    <row r="406" spans="1:11" x14ac:dyDescent="0.25">
      <c r="A406" s="4">
        <v>41871</v>
      </c>
      <c r="B406" s="3">
        <f>YEAR(SalesData[[#This Row],[Order Date]])</f>
        <v>2014</v>
      </c>
      <c r="C406" s="3">
        <f>MONTH(SalesData[[#This Row],[Order Date]])</f>
        <v>8</v>
      </c>
      <c r="D406" t="s">
        <v>23</v>
      </c>
      <c r="E406" t="s">
        <v>10</v>
      </c>
      <c r="F406" t="s">
        <v>11</v>
      </c>
      <c r="G406" t="s">
        <v>35</v>
      </c>
      <c r="H406" t="s">
        <v>70</v>
      </c>
      <c r="I406" s="2">
        <v>4743.68</v>
      </c>
      <c r="J406" s="3">
        <v>8</v>
      </c>
      <c r="K406" s="2">
        <v>690.48</v>
      </c>
    </row>
    <row r="407" spans="1:11" x14ac:dyDescent="0.25">
      <c r="A407" s="4">
        <v>41872</v>
      </c>
      <c r="B407" s="3">
        <f>YEAR(SalesData[[#This Row],[Order Date]])</f>
        <v>2014</v>
      </c>
      <c r="C407" s="3">
        <f>MONTH(SalesData[[#This Row],[Order Date]])</f>
        <v>8</v>
      </c>
      <c r="D407" t="s">
        <v>23</v>
      </c>
      <c r="E407" t="s">
        <v>19</v>
      </c>
      <c r="F407" t="s">
        <v>27</v>
      </c>
      <c r="G407" t="s">
        <v>32</v>
      </c>
      <c r="H407" t="s">
        <v>33</v>
      </c>
      <c r="I407" s="2">
        <v>1435.26</v>
      </c>
      <c r="J407" s="3">
        <v>4</v>
      </c>
      <c r="K407" s="2">
        <v>311.75</v>
      </c>
    </row>
    <row r="408" spans="1:11" x14ac:dyDescent="0.25">
      <c r="A408" s="4">
        <v>41872</v>
      </c>
      <c r="B408" s="3">
        <f>YEAR(SalesData[[#This Row],[Order Date]])</f>
        <v>2014</v>
      </c>
      <c r="C408" s="3">
        <f>MONTH(SalesData[[#This Row],[Order Date]])</f>
        <v>8</v>
      </c>
      <c r="D408" t="s">
        <v>18</v>
      </c>
      <c r="E408" t="s">
        <v>10</v>
      </c>
      <c r="F408" t="s">
        <v>11</v>
      </c>
      <c r="G408" t="s">
        <v>35</v>
      </c>
      <c r="H408" t="s">
        <v>70</v>
      </c>
      <c r="I408" s="2">
        <v>3479.77</v>
      </c>
      <c r="J408" s="3">
        <v>10</v>
      </c>
      <c r="K408" s="2">
        <v>768</v>
      </c>
    </row>
    <row r="409" spans="1:11" x14ac:dyDescent="0.25">
      <c r="A409" s="4">
        <v>41875</v>
      </c>
      <c r="B409" s="3">
        <f>YEAR(SalesData[[#This Row],[Order Date]])</f>
        <v>2014</v>
      </c>
      <c r="C409" s="3">
        <f>MONTH(SalesData[[#This Row],[Order Date]])</f>
        <v>8</v>
      </c>
      <c r="D409" t="s">
        <v>30</v>
      </c>
      <c r="E409" t="s">
        <v>19</v>
      </c>
      <c r="F409" t="s">
        <v>15</v>
      </c>
      <c r="G409" t="s">
        <v>38</v>
      </c>
      <c r="H409" t="s">
        <v>56</v>
      </c>
      <c r="I409" s="2">
        <v>1297.04</v>
      </c>
      <c r="J409" s="3">
        <v>8</v>
      </c>
      <c r="K409" s="2">
        <v>145.33000000000001</v>
      </c>
    </row>
    <row r="410" spans="1:11" x14ac:dyDescent="0.25">
      <c r="A410" s="4">
        <v>41875</v>
      </c>
      <c r="B410" s="3">
        <f>YEAR(SalesData[[#This Row],[Order Date]])</f>
        <v>2014</v>
      </c>
      <c r="C410" s="3">
        <f>MONTH(SalesData[[#This Row],[Order Date]])</f>
        <v>8</v>
      </c>
      <c r="D410" t="s">
        <v>62</v>
      </c>
      <c r="E410" t="s">
        <v>40</v>
      </c>
      <c r="F410" t="s">
        <v>11</v>
      </c>
      <c r="G410" t="s">
        <v>12</v>
      </c>
      <c r="H410" t="s">
        <v>65</v>
      </c>
      <c r="I410" s="2">
        <v>3710.92</v>
      </c>
      <c r="J410" s="3">
        <v>1</v>
      </c>
      <c r="K410" s="2">
        <v>212.56</v>
      </c>
    </row>
    <row r="411" spans="1:11" x14ac:dyDescent="0.25">
      <c r="A411" s="4">
        <v>41876</v>
      </c>
      <c r="B411" s="3">
        <f>YEAR(SalesData[[#This Row],[Order Date]])</f>
        <v>2014</v>
      </c>
      <c r="C411" s="3">
        <f>MONTH(SalesData[[#This Row],[Order Date]])</f>
        <v>8</v>
      </c>
      <c r="D411" t="s">
        <v>14</v>
      </c>
      <c r="E411" t="s">
        <v>60</v>
      </c>
      <c r="F411" t="s">
        <v>15</v>
      </c>
      <c r="G411" t="s">
        <v>16</v>
      </c>
      <c r="H411" t="s">
        <v>51</v>
      </c>
      <c r="I411" s="2">
        <v>3651.88</v>
      </c>
      <c r="J411" s="3">
        <v>5</v>
      </c>
      <c r="K411" s="2">
        <v>924.96</v>
      </c>
    </row>
    <row r="412" spans="1:11" x14ac:dyDescent="0.25">
      <c r="A412" s="4">
        <v>41878</v>
      </c>
      <c r="B412" s="3">
        <f>YEAR(SalesData[[#This Row],[Order Date]])</f>
        <v>2014</v>
      </c>
      <c r="C412" s="3">
        <f>MONTH(SalesData[[#This Row],[Order Date]])</f>
        <v>8</v>
      </c>
      <c r="D412" t="s">
        <v>55</v>
      </c>
      <c r="E412" t="s">
        <v>60</v>
      </c>
      <c r="F412" t="s">
        <v>27</v>
      </c>
      <c r="G412" t="s">
        <v>28</v>
      </c>
      <c r="H412" t="s">
        <v>29</v>
      </c>
      <c r="I412" s="2">
        <v>4943.75</v>
      </c>
      <c r="J412" s="3">
        <v>8</v>
      </c>
      <c r="K412" s="2">
        <v>1293.32</v>
      </c>
    </row>
    <row r="413" spans="1:11" x14ac:dyDescent="0.25">
      <c r="A413" s="4">
        <v>41878</v>
      </c>
      <c r="B413" s="3">
        <f>YEAR(SalesData[[#This Row],[Order Date]])</f>
        <v>2014</v>
      </c>
      <c r="C413" s="3">
        <f>MONTH(SalesData[[#This Row],[Order Date]])</f>
        <v>8</v>
      </c>
      <c r="D413" t="s">
        <v>18</v>
      </c>
      <c r="E413" t="s">
        <v>60</v>
      </c>
      <c r="F413" t="s">
        <v>27</v>
      </c>
      <c r="G413" t="s">
        <v>32</v>
      </c>
      <c r="H413" t="s">
        <v>53</v>
      </c>
      <c r="I413" s="2">
        <v>3646.72</v>
      </c>
      <c r="J413" s="3">
        <v>5</v>
      </c>
      <c r="K413" s="2">
        <v>594.85</v>
      </c>
    </row>
    <row r="414" spans="1:11" x14ac:dyDescent="0.25">
      <c r="A414" s="4">
        <v>41879</v>
      </c>
      <c r="B414" s="3">
        <f>YEAR(SalesData[[#This Row],[Order Date]])</f>
        <v>2014</v>
      </c>
      <c r="C414" s="3">
        <f>MONTH(SalesData[[#This Row],[Order Date]])</f>
        <v>8</v>
      </c>
      <c r="D414" t="s">
        <v>55</v>
      </c>
      <c r="E414" t="s">
        <v>37</v>
      </c>
      <c r="F414" t="s">
        <v>27</v>
      </c>
      <c r="G414" t="s">
        <v>32</v>
      </c>
      <c r="H414" t="s">
        <v>33</v>
      </c>
      <c r="I414" s="2">
        <v>2437.7800000000002</v>
      </c>
      <c r="J414" s="3">
        <v>6</v>
      </c>
      <c r="K414" s="2">
        <v>150.78</v>
      </c>
    </row>
    <row r="415" spans="1:11" x14ac:dyDescent="0.25">
      <c r="A415" s="4">
        <v>41880</v>
      </c>
      <c r="B415" s="3">
        <f>YEAR(SalesData[[#This Row],[Order Date]])</f>
        <v>2014</v>
      </c>
      <c r="C415" s="3">
        <f>MONTH(SalesData[[#This Row],[Order Date]])</f>
        <v>8</v>
      </c>
      <c r="D415" t="s">
        <v>23</v>
      </c>
      <c r="E415" t="s">
        <v>52</v>
      </c>
      <c r="F415" t="s">
        <v>15</v>
      </c>
      <c r="G415" t="s">
        <v>45</v>
      </c>
      <c r="H415" t="s">
        <v>59</v>
      </c>
      <c r="I415" s="2">
        <v>678.61</v>
      </c>
      <c r="J415" s="3">
        <v>7</v>
      </c>
      <c r="K415" s="2">
        <v>54.37</v>
      </c>
    </row>
    <row r="416" spans="1:11" x14ac:dyDescent="0.25">
      <c r="A416" s="4">
        <v>41880</v>
      </c>
      <c r="B416" s="3">
        <f>YEAR(SalesData[[#This Row],[Order Date]])</f>
        <v>2014</v>
      </c>
      <c r="C416" s="3">
        <f>MONTH(SalesData[[#This Row],[Order Date]])</f>
        <v>8</v>
      </c>
      <c r="D416" t="s">
        <v>68</v>
      </c>
      <c r="E416" t="s">
        <v>26</v>
      </c>
      <c r="F416" t="s">
        <v>15</v>
      </c>
      <c r="G416" t="s">
        <v>16</v>
      </c>
      <c r="H416" t="s">
        <v>17</v>
      </c>
      <c r="I416" s="2">
        <v>3693</v>
      </c>
      <c r="J416" s="3">
        <v>8</v>
      </c>
      <c r="K416" s="2">
        <v>1098.77</v>
      </c>
    </row>
    <row r="417" spans="1:11" x14ac:dyDescent="0.25">
      <c r="A417" s="4">
        <v>41881</v>
      </c>
      <c r="B417" s="3">
        <f>YEAR(SalesData[[#This Row],[Order Date]])</f>
        <v>2014</v>
      </c>
      <c r="C417" s="3">
        <f>MONTH(SalesData[[#This Row],[Order Date]])</f>
        <v>8</v>
      </c>
      <c r="D417" t="s">
        <v>9</v>
      </c>
      <c r="E417" t="s">
        <v>10</v>
      </c>
      <c r="F417" t="s">
        <v>15</v>
      </c>
      <c r="G417" t="s">
        <v>63</v>
      </c>
      <c r="H417" t="s">
        <v>64</v>
      </c>
      <c r="I417" s="2">
        <v>4780.3900000000003</v>
      </c>
      <c r="J417" s="3">
        <v>3</v>
      </c>
      <c r="K417" s="2">
        <v>191.24</v>
      </c>
    </row>
    <row r="418" spans="1:11" x14ac:dyDescent="0.25">
      <c r="A418" s="4">
        <v>41881</v>
      </c>
      <c r="B418" s="3">
        <f>YEAR(SalesData[[#This Row],[Order Date]])</f>
        <v>2014</v>
      </c>
      <c r="C418" s="3">
        <f>MONTH(SalesData[[#This Row],[Order Date]])</f>
        <v>8</v>
      </c>
      <c r="D418" t="s">
        <v>18</v>
      </c>
      <c r="E418" t="s">
        <v>19</v>
      </c>
      <c r="F418" t="s">
        <v>15</v>
      </c>
      <c r="G418" t="s">
        <v>41</v>
      </c>
      <c r="H418" t="s">
        <v>61</v>
      </c>
      <c r="I418" s="2">
        <v>4596.92</v>
      </c>
      <c r="J418" s="3">
        <v>3</v>
      </c>
      <c r="K418" s="2">
        <v>590.51</v>
      </c>
    </row>
    <row r="419" spans="1:11" x14ac:dyDescent="0.25">
      <c r="A419" s="4">
        <v>41881</v>
      </c>
      <c r="B419" s="3">
        <f>YEAR(SalesData[[#This Row],[Order Date]])</f>
        <v>2014</v>
      </c>
      <c r="C419" s="3">
        <f>MONTH(SalesData[[#This Row],[Order Date]])</f>
        <v>8</v>
      </c>
      <c r="D419" t="s">
        <v>20</v>
      </c>
      <c r="E419" t="s">
        <v>19</v>
      </c>
      <c r="F419" t="s">
        <v>27</v>
      </c>
      <c r="G419" t="s">
        <v>28</v>
      </c>
      <c r="H419" t="s">
        <v>29</v>
      </c>
      <c r="I419" s="2">
        <v>530.79999999999995</v>
      </c>
      <c r="J419" s="3">
        <v>9</v>
      </c>
      <c r="K419" s="2">
        <v>83.63</v>
      </c>
    </row>
    <row r="420" spans="1:11" x14ac:dyDescent="0.25">
      <c r="A420" s="4">
        <v>41882</v>
      </c>
      <c r="B420" s="3">
        <f>YEAR(SalesData[[#This Row],[Order Date]])</f>
        <v>2014</v>
      </c>
      <c r="C420" s="3">
        <f>MONTH(SalesData[[#This Row],[Order Date]])</f>
        <v>8</v>
      </c>
      <c r="D420" t="s">
        <v>47</v>
      </c>
      <c r="E420" t="s">
        <v>37</v>
      </c>
      <c r="F420" t="s">
        <v>15</v>
      </c>
      <c r="G420" t="s">
        <v>63</v>
      </c>
      <c r="H420" t="s">
        <v>66</v>
      </c>
      <c r="I420" s="2">
        <v>4776.93</v>
      </c>
      <c r="J420" s="3">
        <v>8</v>
      </c>
      <c r="K420" s="2">
        <v>94.22</v>
      </c>
    </row>
    <row r="421" spans="1:11" x14ac:dyDescent="0.25">
      <c r="A421" s="4">
        <v>41882</v>
      </c>
      <c r="B421" s="3">
        <f>YEAR(SalesData[[#This Row],[Order Date]])</f>
        <v>2014</v>
      </c>
      <c r="C421" s="3">
        <f>MONTH(SalesData[[#This Row],[Order Date]])</f>
        <v>8</v>
      </c>
      <c r="D421" t="s">
        <v>62</v>
      </c>
      <c r="E421" t="s">
        <v>34</v>
      </c>
      <c r="F421" t="s">
        <v>15</v>
      </c>
      <c r="G421" t="s">
        <v>41</v>
      </c>
      <c r="H421" t="s">
        <v>61</v>
      </c>
      <c r="I421" s="2">
        <v>2880.44</v>
      </c>
      <c r="J421" s="3">
        <v>3</v>
      </c>
      <c r="K421" s="2">
        <v>38.909999999999997</v>
      </c>
    </row>
    <row r="422" spans="1:11" x14ac:dyDescent="0.25">
      <c r="A422" s="4">
        <v>41883</v>
      </c>
      <c r="B422" s="3">
        <f>YEAR(SalesData[[#This Row],[Order Date]])</f>
        <v>2014</v>
      </c>
      <c r="C422" s="3">
        <f>MONTH(SalesData[[#This Row],[Order Date]])</f>
        <v>9</v>
      </c>
      <c r="D422" t="s">
        <v>68</v>
      </c>
      <c r="E422" t="s">
        <v>52</v>
      </c>
      <c r="F422" t="s">
        <v>11</v>
      </c>
      <c r="G422" t="s">
        <v>35</v>
      </c>
      <c r="H422" t="s">
        <v>71</v>
      </c>
      <c r="I422" s="2">
        <v>4015.75</v>
      </c>
      <c r="J422" s="3">
        <v>4</v>
      </c>
      <c r="K422" s="2">
        <v>266.33999999999997</v>
      </c>
    </row>
    <row r="423" spans="1:11" x14ac:dyDescent="0.25">
      <c r="A423" s="4">
        <v>41883</v>
      </c>
      <c r="B423" s="3">
        <f>YEAR(SalesData[[#This Row],[Order Date]])</f>
        <v>2014</v>
      </c>
      <c r="C423" s="3">
        <f>MONTH(SalesData[[#This Row],[Order Date]])</f>
        <v>9</v>
      </c>
      <c r="D423" t="s">
        <v>50</v>
      </c>
      <c r="E423" t="s">
        <v>19</v>
      </c>
      <c r="F423" t="s">
        <v>15</v>
      </c>
      <c r="G423" t="s">
        <v>45</v>
      </c>
      <c r="H423" t="s">
        <v>46</v>
      </c>
      <c r="I423" s="2">
        <v>2947.27</v>
      </c>
      <c r="J423" s="3">
        <v>4</v>
      </c>
      <c r="K423" s="2">
        <v>262.05</v>
      </c>
    </row>
    <row r="424" spans="1:11" x14ac:dyDescent="0.25">
      <c r="A424" s="4">
        <v>41884</v>
      </c>
      <c r="B424" s="3">
        <f>YEAR(SalesData[[#This Row],[Order Date]])</f>
        <v>2014</v>
      </c>
      <c r="C424" s="3">
        <f>MONTH(SalesData[[#This Row],[Order Date]])</f>
        <v>9</v>
      </c>
      <c r="D424" t="s">
        <v>50</v>
      </c>
      <c r="E424" t="s">
        <v>26</v>
      </c>
      <c r="F424" t="s">
        <v>11</v>
      </c>
      <c r="G424" t="s">
        <v>24</v>
      </c>
      <c r="H424" t="s">
        <v>54</v>
      </c>
      <c r="I424" s="2">
        <v>4093.13</v>
      </c>
      <c r="J424" s="3">
        <v>7</v>
      </c>
      <c r="K424" s="2">
        <v>1123.55</v>
      </c>
    </row>
    <row r="425" spans="1:11" x14ac:dyDescent="0.25">
      <c r="A425" s="4">
        <v>41885</v>
      </c>
      <c r="B425" s="3">
        <f>YEAR(SalesData[[#This Row],[Order Date]])</f>
        <v>2014</v>
      </c>
      <c r="C425" s="3">
        <f>MONTH(SalesData[[#This Row],[Order Date]])</f>
        <v>9</v>
      </c>
      <c r="D425" t="s">
        <v>62</v>
      </c>
      <c r="E425" t="s">
        <v>52</v>
      </c>
      <c r="F425" t="s">
        <v>15</v>
      </c>
      <c r="G425" t="s">
        <v>41</v>
      </c>
      <c r="H425" t="s">
        <v>42</v>
      </c>
      <c r="I425" s="2">
        <v>3324.53</v>
      </c>
      <c r="J425" s="3">
        <v>10</v>
      </c>
      <c r="K425" s="2">
        <v>326.99</v>
      </c>
    </row>
    <row r="426" spans="1:11" x14ac:dyDescent="0.25">
      <c r="A426" s="4">
        <v>41885</v>
      </c>
      <c r="B426" s="3">
        <f>YEAR(SalesData[[#This Row],[Order Date]])</f>
        <v>2014</v>
      </c>
      <c r="C426" s="3">
        <f>MONTH(SalesData[[#This Row],[Order Date]])</f>
        <v>9</v>
      </c>
      <c r="D426" t="s">
        <v>47</v>
      </c>
      <c r="E426" t="s">
        <v>40</v>
      </c>
      <c r="F426" t="s">
        <v>27</v>
      </c>
      <c r="G426" t="s">
        <v>32</v>
      </c>
      <c r="H426" t="s">
        <v>33</v>
      </c>
      <c r="I426" s="2">
        <v>4892.1499999999996</v>
      </c>
      <c r="J426" s="3">
        <v>10</v>
      </c>
      <c r="K426" s="2">
        <v>819.32</v>
      </c>
    </row>
    <row r="427" spans="1:11" x14ac:dyDescent="0.25">
      <c r="A427" s="4">
        <v>41885</v>
      </c>
      <c r="B427" s="3">
        <f>YEAR(SalesData[[#This Row],[Order Date]])</f>
        <v>2014</v>
      </c>
      <c r="C427" s="3">
        <f>MONTH(SalesData[[#This Row],[Order Date]])</f>
        <v>9</v>
      </c>
      <c r="D427" t="s">
        <v>30</v>
      </c>
      <c r="E427" t="s">
        <v>31</v>
      </c>
      <c r="F427" t="s">
        <v>27</v>
      </c>
      <c r="G427" t="s">
        <v>28</v>
      </c>
      <c r="H427" t="s">
        <v>29</v>
      </c>
      <c r="I427" s="2">
        <v>71.05</v>
      </c>
      <c r="J427" s="3">
        <v>9</v>
      </c>
      <c r="K427" s="2">
        <v>14.2</v>
      </c>
    </row>
    <row r="428" spans="1:11" x14ac:dyDescent="0.25">
      <c r="A428" s="4">
        <v>41886</v>
      </c>
      <c r="B428" s="3">
        <f>YEAR(SalesData[[#This Row],[Order Date]])</f>
        <v>2014</v>
      </c>
      <c r="C428" s="3">
        <f>MONTH(SalesData[[#This Row],[Order Date]])</f>
        <v>9</v>
      </c>
      <c r="D428" t="s">
        <v>9</v>
      </c>
      <c r="E428" t="s">
        <v>19</v>
      </c>
      <c r="F428" t="s">
        <v>27</v>
      </c>
      <c r="G428" t="s">
        <v>32</v>
      </c>
      <c r="H428" t="s">
        <v>33</v>
      </c>
      <c r="I428" s="2">
        <v>4161.96</v>
      </c>
      <c r="J428" s="3">
        <v>4</v>
      </c>
      <c r="K428" s="2">
        <v>240.14</v>
      </c>
    </row>
    <row r="429" spans="1:11" x14ac:dyDescent="0.25">
      <c r="A429" s="4">
        <v>41886</v>
      </c>
      <c r="B429" s="3">
        <f>YEAR(SalesData[[#This Row],[Order Date]])</f>
        <v>2014</v>
      </c>
      <c r="C429" s="3">
        <f>MONTH(SalesData[[#This Row],[Order Date]])</f>
        <v>9</v>
      </c>
      <c r="D429" t="s">
        <v>14</v>
      </c>
      <c r="E429" t="s">
        <v>19</v>
      </c>
      <c r="F429" t="s">
        <v>15</v>
      </c>
      <c r="G429" t="s">
        <v>45</v>
      </c>
      <c r="H429" t="s">
        <v>46</v>
      </c>
      <c r="I429" s="2">
        <v>509.39</v>
      </c>
      <c r="J429" s="3">
        <v>5</v>
      </c>
      <c r="K429" s="2">
        <v>31.58</v>
      </c>
    </row>
    <row r="430" spans="1:11" x14ac:dyDescent="0.25">
      <c r="A430" s="4">
        <v>41886</v>
      </c>
      <c r="B430" s="3">
        <f>YEAR(SalesData[[#This Row],[Order Date]])</f>
        <v>2014</v>
      </c>
      <c r="C430" s="3">
        <f>MONTH(SalesData[[#This Row],[Order Date]])</f>
        <v>9</v>
      </c>
      <c r="D430" t="s">
        <v>68</v>
      </c>
      <c r="E430" t="s">
        <v>26</v>
      </c>
      <c r="F430" t="s">
        <v>27</v>
      </c>
      <c r="G430" t="s">
        <v>32</v>
      </c>
      <c r="H430" t="s">
        <v>53</v>
      </c>
      <c r="I430" s="2">
        <v>170.22</v>
      </c>
      <c r="J430" s="3">
        <v>6</v>
      </c>
      <c r="K430" s="2">
        <v>47.95</v>
      </c>
    </row>
    <row r="431" spans="1:11" x14ac:dyDescent="0.25">
      <c r="A431" s="4">
        <v>41886</v>
      </c>
      <c r="B431" s="3">
        <f>YEAR(SalesData[[#This Row],[Order Date]])</f>
        <v>2014</v>
      </c>
      <c r="C431" s="3">
        <f>MONTH(SalesData[[#This Row],[Order Date]])</f>
        <v>9</v>
      </c>
      <c r="D431" t="s">
        <v>18</v>
      </c>
      <c r="E431" t="s">
        <v>31</v>
      </c>
      <c r="F431" t="s">
        <v>15</v>
      </c>
      <c r="G431" t="s">
        <v>41</v>
      </c>
      <c r="H431" t="s">
        <v>42</v>
      </c>
      <c r="I431" s="2">
        <v>3403.33</v>
      </c>
      <c r="J431" s="3">
        <v>2</v>
      </c>
      <c r="K431" s="2">
        <v>306.91000000000003</v>
      </c>
    </row>
    <row r="432" spans="1:11" x14ac:dyDescent="0.25">
      <c r="A432" s="4">
        <v>41887</v>
      </c>
      <c r="B432" s="3">
        <f>YEAR(SalesData[[#This Row],[Order Date]])</f>
        <v>2014</v>
      </c>
      <c r="C432" s="3">
        <f>MONTH(SalesData[[#This Row],[Order Date]])</f>
        <v>9</v>
      </c>
      <c r="D432" t="s">
        <v>14</v>
      </c>
      <c r="E432" t="s">
        <v>10</v>
      </c>
      <c r="F432" t="s">
        <v>15</v>
      </c>
      <c r="G432" t="s">
        <v>38</v>
      </c>
      <c r="H432" t="s">
        <v>39</v>
      </c>
      <c r="I432" s="2">
        <v>3858.25</v>
      </c>
      <c r="J432" s="3">
        <v>1</v>
      </c>
      <c r="K432" s="2">
        <v>1120.83</v>
      </c>
    </row>
    <row r="433" spans="1:11" x14ac:dyDescent="0.25">
      <c r="A433" s="4">
        <v>41888</v>
      </c>
      <c r="B433" s="3">
        <f>YEAR(SalesData[[#This Row],[Order Date]])</f>
        <v>2014</v>
      </c>
      <c r="C433" s="3">
        <f>MONTH(SalesData[[#This Row],[Order Date]])</f>
        <v>9</v>
      </c>
      <c r="D433" t="s">
        <v>20</v>
      </c>
      <c r="E433" t="s">
        <v>52</v>
      </c>
      <c r="F433" t="s">
        <v>27</v>
      </c>
      <c r="G433" t="s">
        <v>28</v>
      </c>
      <c r="H433" t="s">
        <v>69</v>
      </c>
      <c r="I433" s="2">
        <v>3422.51</v>
      </c>
      <c r="J433" s="3">
        <v>3</v>
      </c>
      <c r="K433" s="2">
        <v>125.54</v>
      </c>
    </row>
    <row r="434" spans="1:11" x14ac:dyDescent="0.25">
      <c r="A434" s="4">
        <v>41888</v>
      </c>
      <c r="B434" s="3">
        <f>YEAR(SalesData[[#This Row],[Order Date]])</f>
        <v>2014</v>
      </c>
      <c r="C434" s="3">
        <f>MONTH(SalesData[[#This Row],[Order Date]])</f>
        <v>9</v>
      </c>
      <c r="D434" t="s">
        <v>68</v>
      </c>
      <c r="E434" t="s">
        <v>40</v>
      </c>
      <c r="F434" t="s">
        <v>27</v>
      </c>
      <c r="G434" t="s">
        <v>48</v>
      </c>
      <c r="H434" t="s">
        <v>49</v>
      </c>
      <c r="I434" s="2">
        <v>814.44</v>
      </c>
      <c r="J434" s="3">
        <v>10</v>
      </c>
      <c r="K434" s="2">
        <v>100.57</v>
      </c>
    </row>
    <row r="435" spans="1:11" x14ac:dyDescent="0.25">
      <c r="A435" s="4">
        <v>41889</v>
      </c>
      <c r="B435" s="3">
        <f>YEAR(SalesData[[#This Row],[Order Date]])</f>
        <v>2014</v>
      </c>
      <c r="C435" s="3">
        <f>MONTH(SalesData[[#This Row],[Order Date]])</f>
        <v>9</v>
      </c>
      <c r="D435" t="s">
        <v>55</v>
      </c>
      <c r="E435" t="s">
        <v>60</v>
      </c>
      <c r="F435" t="s">
        <v>27</v>
      </c>
      <c r="G435" t="s">
        <v>32</v>
      </c>
      <c r="H435" t="s">
        <v>33</v>
      </c>
      <c r="I435" s="2">
        <v>484.89</v>
      </c>
      <c r="J435" s="3">
        <v>3</v>
      </c>
      <c r="K435" s="2">
        <v>38.39</v>
      </c>
    </row>
    <row r="436" spans="1:11" x14ac:dyDescent="0.25">
      <c r="A436" s="4">
        <v>41890</v>
      </c>
      <c r="B436" s="3">
        <f>YEAR(SalesData[[#This Row],[Order Date]])</f>
        <v>2014</v>
      </c>
      <c r="C436" s="3">
        <f>MONTH(SalesData[[#This Row],[Order Date]])</f>
        <v>9</v>
      </c>
      <c r="D436" t="s">
        <v>18</v>
      </c>
      <c r="E436" t="s">
        <v>31</v>
      </c>
      <c r="F436" t="s">
        <v>27</v>
      </c>
      <c r="G436" t="s">
        <v>28</v>
      </c>
      <c r="H436" t="s">
        <v>69</v>
      </c>
      <c r="I436" s="2">
        <v>3608.53</v>
      </c>
      <c r="J436" s="3">
        <v>6</v>
      </c>
      <c r="K436" s="2">
        <v>194.43</v>
      </c>
    </row>
    <row r="437" spans="1:11" x14ac:dyDescent="0.25">
      <c r="A437" s="4">
        <v>41890</v>
      </c>
      <c r="B437" s="3">
        <f>YEAR(SalesData[[#This Row],[Order Date]])</f>
        <v>2014</v>
      </c>
      <c r="C437" s="3">
        <f>MONTH(SalesData[[#This Row],[Order Date]])</f>
        <v>9</v>
      </c>
      <c r="D437" t="s">
        <v>9</v>
      </c>
      <c r="E437" t="s">
        <v>37</v>
      </c>
      <c r="F437" t="s">
        <v>15</v>
      </c>
      <c r="G437" t="s">
        <v>16</v>
      </c>
      <c r="H437" t="s">
        <v>17</v>
      </c>
      <c r="I437" s="2">
        <v>56.49</v>
      </c>
      <c r="J437" s="3">
        <v>7</v>
      </c>
      <c r="K437" s="2">
        <v>6.3</v>
      </c>
    </row>
    <row r="438" spans="1:11" x14ac:dyDescent="0.25">
      <c r="A438" s="4">
        <v>41891</v>
      </c>
      <c r="B438" s="3">
        <f>YEAR(SalesData[[#This Row],[Order Date]])</f>
        <v>2014</v>
      </c>
      <c r="C438" s="3">
        <f>MONTH(SalesData[[#This Row],[Order Date]])</f>
        <v>9</v>
      </c>
      <c r="D438" t="s">
        <v>14</v>
      </c>
      <c r="E438" t="s">
        <v>37</v>
      </c>
      <c r="F438" t="s">
        <v>15</v>
      </c>
      <c r="G438" t="s">
        <v>45</v>
      </c>
      <c r="H438" t="s">
        <v>59</v>
      </c>
      <c r="I438" s="2">
        <v>3985.97</v>
      </c>
      <c r="J438" s="3">
        <v>2</v>
      </c>
      <c r="K438" s="2">
        <v>271.2</v>
      </c>
    </row>
    <row r="439" spans="1:11" x14ac:dyDescent="0.25">
      <c r="A439" s="4">
        <v>41891</v>
      </c>
      <c r="B439" s="3">
        <f>YEAR(SalesData[[#This Row],[Order Date]])</f>
        <v>2014</v>
      </c>
      <c r="C439" s="3">
        <f>MONTH(SalesData[[#This Row],[Order Date]])</f>
        <v>9</v>
      </c>
      <c r="D439" t="s">
        <v>55</v>
      </c>
      <c r="E439" t="s">
        <v>37</v>
      </c>
      <c r="F439" t="s">
        <v>15</v>
      </c>
      <c r="G439" t="s">
        <v>16</v>
      </c>
      <c r="H439" t="s">
        <v>17</v>
      </c>
      <c r="I439" s="2">
        <v>4959.8900000000003</v>
      </c>
      <c r="J439" s="3">
        <v>4</v>
      </c>
      <c r="K439" s="2">
        <v>446.78</v>
      </c>
    </row>
    <row r="440" spans="1:11" x14ac:dyDescent="0.25">
      <c r="A440" s="4">
        <v>41891</v>
      </c>
      <c r="B440" s="3">
        <f>YEAR(SalesData[[#This Row],[Order Date]])</f>
        <v>2014</v>
      </c>
      <c r="C440" s="3">
        <f>MONTH(SalesData[[#This Row],[Order Date]])</f>
        <v>9</v>
      </c>
      <c r="D440" t="s">
        <v>20</v>
      </c>
      <c r="E440" t="s">
        <v>60</v>
      </c>
      <c r="F440" t="s">
        <v>15</v>
      </c>
      <c r="G440" t="s">
        <v>41</v>
      </c>
      <c r="H440" t="s">
        <v>61</v>
      </c>
      <c r="I440" s="2">
        <v>2566.36</v>
      </c>
      <c r="J440" s="3">
        <v>9</v>
      </c>
      <c r="K440" s="2">
        <v>156.58000000000001</v>
      </c>
    </row>
    <row r="441" spans="1:11" x14ac:dyDescent="0.25">
      <c r="A441" s="4">
        <v>41892</v>
      </c>
      <c r="B441" s="3">
        <f>YEAR(SalesData[[#This Row],[Order Date]])</f>
        <v>2014</v>
      </c>
      <c r="C441" s="3">
        <f>MONTH(SalesData[[#This Row],[Order Date]])</f>
        <v>9</v>
      </c>
      <c r="D441" t="s">
        <v>18</v>
      </c>
      <c r="E441" t="s">
        <v>34</v>
      </c>
      <c r="F441" t="s">
        <v>11</v>
      </c>
      <c r="G441" t="s">
        <v>21</v>
      </c>
      <c r="H441" t="s">
        <v>67</v>
      </c>
      <c r="I441" s="2">
        <v>4275.88</v>
      </c>
      <c r="J441" s="3">
        <v>3</v>
      </c>
      <c r="K441" s="2">
        <v>410.59</v>
      </c>
    </row>
    <row r="442" spans="1:11" x14ac:dyDescent="0.25">
      <c r="A442" s="4">
        <v>41893</v>
      </c>
      <c r="B442" s="3">
        <f>YEAR(SalesData[[#This Row],[Order Date]])</f>
        <v>2014</v>
      </c>
      <c r="C442" s="3">
        <f>MONTH(SalesData[[#This Row],[Order Date]])</f>
        <v>9</v>
      </c>
      <c r="D442" t="s">
        <v>18</v>
      </c>
      <c r="E442" t="s">
        <v>10</v>
      </c>
      <c r="F442" t="s">
        <v>11</v>
      </c>
      <c r="G442" t="s">
        <v>35</v>
      </c>
      <c r="H442" t="s">
        <v>70</v>
      </c>
      <c r="I442" s="2">
        <v>4344.47</v>
      </c>
      <c r="J442" s="3">
        <v>3</v>
      </c>
      <c r="K442" s="2">
        <v>256.92</v>
      </c>
    </row>
    <row r="443" spans="1:11" x14ac:dyDescent="0.25">
      <c r="A443" s="4">
        <v>41893</v>
      </c>
      <c r="B443" s="3">
        <f>YEAR(SalesData[[#This Row],[Order Date]])</f>
        <v>2014</v>
      </c>
      <c r="C443" s="3">
        <f>MONTH(SalesData[[#This Row],[Order Date]])</f>
        <v>9</v>
      </c>
      <c r="D443" t="s">
        <v>50</v>
      </c>
      <c r="E443" t="s">
        <v>37</v>
      </c>
      <c r="F443" t="s">
        <v>15</v>
      </c>
      <c r="G443" t="s">
        <v>63</v>
      </c>
      <c r="H443" t="s">
        <v>66</v>
      </c>
      <c r="I443" s="2">
        <v>2130.23</v>
      </c>
      <c r="J443" s="3">
        <v>1</v>
      </c>
      <c r="K443" s="2">
        <v>211.67</v>
      </c>
    </row>
    <row r="444" spans="1:11" x14ac:dyDescent="0.25">
      <c r="A444" s="4">
        <v>41895</v>
      </c>
      <c r="B444" s="3">
        <f>YEAR(SalesData[[#This Row],[Order Date]])</f>
        <v>2014</v>
      </c>
      <c r="C444" s="3">
        <f>MONTH(SalesData[[#This Row],[Order Date]])</f>
        <v>9</v>
      </c>
      <c r="D444" t="s">
        <v>47</v>
      </c>
      <c r="E444" t="s">
        <v>10</v>
      </c>
      <c r="F444" t="s">
        <v>11</v>
      </c>
      <c r="G444" t="s">
        <v>21</v>
      </c>
      <c r="H444" t="s">
        <v>67</v>
      </c>
      <c r="I444" s="2">
        <v>236.45</v>
      </c>
      <c r="J444" s="3">
        <v>4</v>
      </c>
      <c r="K444" s="2">
        <v>1.95</v>
      </c>
    </row>
    <row r="445" spans="1:11" x14ac:dyDescent="0.25">
      <c r="A445" s="4">
        <v>41895</v>
      </c>
      <c r="B445" s="3">
        <f>YEAR(SalesData[[#This Row],[Order Date]])</f>
        <v>2014</v>
      </c>
      <c r="C445" s="3">
        <f>MONTH(SalesData[[#This Row],[Order Date]])</f>
        <v>9</v>
      </c>
      <c r="D445" t="s">
        <v>14</v>
      </c>
      <c r="E445" t="s">
        <v>60</v>
      </c>
      <c r="F445" t="s">
        <v>15</v>
      </c>
      <c r="G445" t="s">
        <v>16</v>
      </c>
      <c r="H445" t="s">
        <v>51</v>
      </c>
      <c r="I445" s="2">
        <v>4287.66</v>
      </c>
      <c r="J445" s="3">
        <v>10</v>
      </c>
      <c r="K445" s="2">
        <v>1223.98</v>
      </c>
    </row>
    <row r="446" spans="1:11" x14ac:dyDescent="0.25">
      <c r="A446" s="4">
        <v>41895</v>
      </c>
      <c r="B446" s="3">
        <f>YEAR(SalesData[[#This Row],[Order Date]])</f>
        <v>2014</v>
      </c>
      <c r="C446" s="3">
        <f>MONTH(SalesData[[#This Row],[Order Date]])</f>
        <v>9</v>
      </c>
      <c r="D446" t="s">
        <v>43</v>
      </c>
      <c r="E446" t="s">
        <v>34</v>
      </c>
      <c r="F446" t="s">
        <v>15</v>
      </c>
      <c r="G446" t="s">
        <v>63</v>
      </c>
      <c r="H446" t="s">
        <v>64</v>
      </c>
      <c r="I446" s="2">
        <v>4342.7299999999996</v>
      </c>
      <c r="J446" s="3">
        <v>4</v>
      </c>
      <c r="K446" s="2">
        <v>23.93</v>
      </c>
    </row>
    <row r="447" spans="1:11" x14ac:dyDescent="0.25">
      <c r="A447" s="4">
        <v>41896</v>
      </c>
      <c r="B447" s="3">
        <f>YEAR(SalesData[[#This Row],[Order Date]])</f>
        <v>2014</v>
      </c>
      <c r="C447" s="3">
        <f>MONTH(SalesData[[#This Row],[Order Date]])</f>
        <v>9</v>
      </c>
      <c r="D447" t="s">
        <v>9</v>
      </c>
      <c r="E447" t="s">
        <v>10</v>
      </c>
      <c r="F447" t="s">
        <v>27</v>
      </c>
      <c r="G447" t="s">
        <v>28</v>
      </c>
      <c r="H447" t="s">
        <v>29</v>
      </c>
      <c r="I447" s="2">
        <v>2203.4699999999998</v>
      </c>
      <c r="J447" s="3">
        <v>9</v>
      </c>
      <c r="K447" s="2">
        <v>141.03</v>
      </c>
    </row>
    <row r="448" spans="1:11" x14ac:dyDescent="0.25">
      <c r="A448" s="4">
        <v>41898</v>
      </c>
      <c r="B448" s="3">
        <f>YEAR(SalesData[[#This Row],[Order Date]])</f>
        <v>2014</v>
      </c>
      <c r="C448" s="3">
        <f>MONTH(SalesData[[#This Row],[Order Date]])</f>
        <v>9</v>
      </c>
      <c r="D448" t="s">
        <v>30</v>
      </c>
      <c r="E448" t="s">
        <v>19</v>
      </c>
      <c r="F448" t="s">
        <v>15</v>
      </c>
      <c r="G448" t="s">
        <v>38</v>
      </c>
      <c r="H448" t="s">
        <v>39</v>
      </c>
      <c r="I448" s="2">
        <v>1692.01</v>
      </c>
      <c r="J448" s="3">
        <v>9</v>
      </c>
      <c r="K448" s="2">
        <v>80.150000000000006</v>
      </c>
    </row>
    <row r="449" spans="1:11" x14ac:dyDescent="0.25">
      <c r="A449" s="4">
        <v>41898</v>
      </c>
      <c r="B449" s="3">
        <f>YEAR(SalesData[[#This Row],[Order Date]])</f>
        <v>2014</v>
      </c>
      <c r="C449" s="3">
        <f>MONTH(SalesData[[#This Row],[Order Date]])</f>
        <v>9</v>
      </c>
      <c r="D449" t="s">
        <v>43</v>
      </c>
      <c r="E449" t="s">
        <v>44</v>
      </c>
      <c r="F449" t="s">
        <v>15</v>
      </c>
      <c r="G449" t="s">
        <v>45</v>
      </c>
      <c r="H449" t="s">
        <v>46</v>
      </c>
      <c r="I449" s="2">
        <v>1608.68</v>
      </c>
      <c r="J449" s="3">
        <v>9</v>
      </c>
      <c r="K449" s="2">
        <v>107.02</v>
      </c>
    </row>
    <row r="450" spans="1:11" x14ac:dyDescent="0.25">
      <c r="A450" s="4">
        <v>41898</v>
      </c>
      <c r="B450" s="3">
        <f>YEAR(SalesData[[#This Row],[Order Date]])</f>
        <v>2014</v>
      </c>
      <c r="C450" s="3">
        <f>MONTH(SalesData[[#This Row],[Order Date]])</f>
        <v>9</v>
      </c>
      <c r="D450" t="s">
        <v>14</v>
      </c>
      <c r="E450" t="s">
        <v>26</v>
      </c>
      <c r="F450" t="s">
        <v>15</v>
      </c>
      <c r="G450" t="s">
        <v>41</v>
      </c>
      <c r="H450" t="s">
        <v>61</v>
      </c>
      <c r="I450" s="2">
        <v>2194.7199999999998</v>
      </c>
      <c r="J450" s="3">
        <v>4</v>
      </c>
      <c r="K450" s="2">
        <v>115.55</v>
      </c>
    </row>
    <row r="451" spans="1:11" x14ac:dyDescent="0.25">
      <c r="A451" s="4">
        <v>41898</v>
      </c>
      <c r="B451" s="3">
        <f>YEAR(SalesData[[#This Row],[Order Date]])</f>
        <v>2014</v>
      </c>
      <c r="C451" s="3">
        <f>MONTH(SalesData[[#This Row],[Order Date]])</f>
        <v>9</v>
      </c>
      <c r="D451" t="s">
        <v>23</v>
      </c>
      <c r="E451" t="s">
        <v>19</v>
      </c>
      <c r="F451" t="s">
        <v>11</v>
      </c>
      <c r="G451" t="s">
        <v>12</v>
      </c>
      <c r="H451" t="s">
        <v>65</v>
      </c>
      <c r="I451" s="2">
        <v>4794.59</v>
      </c>
      <c r="J451" s="3">
        <v>6</v>
      </c>
      <c r="K451" s="2">
        <v>1201.53</v>
      </c>
    </row>
    <row r="452" spans="1:11" x14ac:dyDescent="0.25">
      <c r="A452" s="4">
        <v>41899</v>
      </c>
      <c r="B452" s="3">
        <f>YEAR(SalesData[[#This Row],[Order Date]])</f>
        <v>2014</v>
      </c>
      <c r="C452" s="3">
        <f>MONTH(SalesData[[#This Row],[Order Date]])</f>
        <v>9</v>
      </c>
      <c r="D452" t="s">
        <v>47</v>
      </c>
      <c r="E452" t="s">
        <v>44</v>
      </c>
      <c r="F452" t="s">
        <v>15</v>
      </c>
      <c r="G452" t="s">
        <v>41</v>
      </c>
      <c r="H452" t="s">
        <v>61</v>
      </c>
      <c r="I452" s="2">
        <v>543.47</v>
      </c>
      <c r="J452" s="3">
        <v>2</v>
      </c>
      <c r="K452" s="2">
        <v>113.69</v>
      </c>
    </row>
    <row r="453" spans="1:11" x14ac:dyDescent="0.25">
      <c r="A453" s="4">
        <v>41899</v>
      </c>
      <c r="B453" s="3">
        <f>YEAR(SalesData[[#This Row],[Order Date]])</f>
        <v>2014</v>
      </c>
      <c r="C453" s="3">
        <f>MONTH(SalesData[[#This Row],[Order Date]])</f>
        <v>9</v>
      </c>
      <c r="D453" t="s">
        <v>55</v>
      </c>
      <c r="E453" t="s">
        <v>34</v>
      </c>
      <c r="F453" t="s">
        <v>27</v>
      </c>
      <c r="G453" t="s">
        <v>28</v>
      </c>
      <c r="H453" t="s">
        <v>58</v>
      </c>
      <c r="I453" s="2">
        <v>1328.38</v>
      </c>
      <c r="J453" s="3">
        <v>7</v>
      </c>
      <c r="K453" s="2">
        <v>91.29</v>
      </c>
    </row>
    <row r="454" spans="1:11" x14ac:dyDescent="0.25">
      <c r="A454" s="4">
        <v>41899</v>
      </c>
      <c r="B454" s="3">
        <f>YEAR(SalesData[[#This Row],[Order Date]])</f>
        <v>2014</v>
      </c>
      <c r="C454" s="3">
        <f>MONTH(SalesData[[#This Row],[Order Date]])</f>
        <v>9</v>
      </c>
      <c r="D454" t="s">
        <v>55</v>
      </c>
      <c r="E454" t="s">
        <v>31</v>
      </c>
      <c r="F454" t="s">
        <v>15</v>
      </c>
      <c r="G454" t="s">
        <v>41</v>
      </c>
      <c r="H454" t="s">
        <v>61</v>
      </c>
      <c r="I454" s="2">
        <v>3886.26</v>
      </c>
      <c r="J454" s="3">
        <v>1</v>
      </c>
      <c r="K454" s="2">
        <v>414.54</v>
      </c>
    </row>
    <row r="455" spans="1:11" x14ac:dyDescent="0.25">
      <c r="A455" s="4">
        <v>41899</v>
      </c>
      <c r="B455" s="3">
        <f>YEAR(SalesData[[#This Row],[Order Date]])</f>
        <v>2014</v>
      </c>
      <c r="C455" s="3">
        <f>MONTH(SalesData[[#This Row],[Order Date]])</f>
        <v>9</v>
      </c>
      <c r="D455" t="s">
        <v>14</v>
      </c>
      <c r="E455" t="s">
        <v>31</v>
      </c>
      <c r="F455" t="s">
        <v>15</v>
      </c>
      <c r="G455" t="s">
        <v>63</v>
      </c>
      <c r="H455" t="s">
        <v>66</v>
      </c>
      <c r="I455" s="2">
        <v>1295.81</v>
      </c>
      <c r="J455" s="3">
        <v>1</v>
      </c>
      <c r="K455" s="2">
        <v>170.79</v>
      </c>
    </row>
    <row r="456" spans="1:11" x14ac:dyDescent="0.25">
      <c r="A456" s="4">
        <v>41899</v>
      </c>
      <c r="B456" s="3">
        <f>YEAR(SalesData[[#This Row],[Order Date]])</f>
        <v>2014</v>
      </c>
      <c r="C456" s="3">
        <f>MONTH(SalesData[[#This Row],[Order Date]])</f>
        <v>9</v>
      </c>
      <c r="D456" t="s">
        <v>18</v>
      </c>
      <c r="E456" t="s">
        <v>31</v>
      </c>
      <c r="F456" t="s">
        <v>15</v>
      </c>
      <c r="G456" t="s">
        <v>16</v>
      </c>
      <c r="H456" t="s">
        <v>17</v>
      </c>
      <c r="I456" s="2">
        <v>737.38</v>
      </c>
      <c r="J456" s="3">
        <v>9</v>
      </c>
      <c r="K456" s="2">
        <v>160.4</v>
      </c>
    </row>
    <row r="457" spans="1:11" x14ac:dyDescent="0.25">
      <c r="A457" s="4">
        <v>41900</v>
      </c>
      <c r="B457" s="3">
        <f>YEAR(SalesData[[#This Row],[Order Date]])</f>
        <v>2014</v>
      </c>
      <c r="C457" s="3">
        <f>MONTH(SalesData[[#This Row],[Order Date]])</f>
        <v>9</v>
      </c>
      <c r="D457" t="s">
        <v>55</v>
      </c>
      <c r="E457" t="s">
        <v>40</v>
      </c>
      <c r="F457" t="s">
        <v>15</v>
      </c>
      <c r="G457" t="s">
        <v>63</v>
      </c>
      <c r="H457" t="s">
        <v>66</v>
      </c>
      <c r="I457" s="2">
        <v>293.89</v>
      </c>
      <c r="J457" s="3">
        <v>9</v>
      </c>
      <c r="K457" s="2">
        <v>87.96</v>
      </c>
    </row>
    <row r="458" spans="1:11" x14ac:dyDescent="0.25">
      <c r="A458" s="4">
        <v>41900</v>
      </c>
      <c r="B458" s="3">
        <f>YEAR(SalesData[[#This Row],[Order Date]])</f>
        <v>2014</v>
      </c>
      <c r="C458" s="3">
        <f>MONTH(SalesData[[#This Row],[Order Date]])</f>
        <v>9</v>
      </c>
      <c r="D458" t="s">
        <v>50</v>
      </c>
      <c r="E458" t="s">
        <v>40</v>
      </c>
      <c r="F458" t="s">
        <v>11</v>
      </c>
      <c r="G458" t="s">
        <v>21</v>
      </c>
      <c r="H458" t="s">
        <v>22</v>
      </c>
      <c r="I458" s="2">
        <v>300.98</v>
      </c>
      <c r="J458" s="3">
        <v>4</v>
      </c>
      <c r="K458" s="2">
        <v>2.52</v>
      </c>
    </row>
    <row r="459" spans="1:11" x14ac:dyDescent="0.25">
      <c r="A459" s="4">
        <v>41900</v>
      </c>
      <c r="B459" s="3">
        <f>YEAR(SalesData[[#This Row],[Order Date]])</f>
        <v>2014</v>
      </c>
      <c r="C459" s="3">
        <f>MONTH(SalesData[[#This Row],[Order Date]])</f>
        <v>9</v>
      </c>
      <c r="D459" t="s">
        <v>50</v>
      </c>
      <c r="E459" t="s">
        <v>40</v>
      </c>
      <c r="F459" t="s">
        <v>15</v>
      </c>
      <c r="G459" t="s">
        <v>38</v>
      </c>
      <c r="H459" t="s">
        <v>56</v>
      </c>
      <c r="I459" s="2">
        <v>27.68</v>
      </c>
      <c r="J459" s="3">
        <v>1</v>
      </c>
      <c r="K459" s="2">
        <v>4</v>
      </c>
    </row>
    <row r="460" spans="1:11" x14ac:dyDescent="0.25">
      <c r="A460" s="4">
        <v>41903</v>
      </c>
      <c r="B460" s="3">
        <f>YEAR(SalesData[[#This Row],[Order Date]])</f>
        <v>2014</v>
      </c>
      <c r="C460" s="3">
        <f>MONTH(SalesData[[#This Row],[Order Date]])</f>
        <v>9</v>
      </c>
      <c r="D460" t="s">
        <v>47</v>
      </c>
      <c r="E460" t="s">
        <v>44</v>
      </c>
      <c r="F460" t="s">
        <v>11</v>
      </c>
      <c r="G460" t="s">
        <v>12</v>
      </c>
      <c r="H460" t="s">
        <v>13</v>
      </c>
      <c r="I460" s="2">
        <v>2241.85</v>
      </c>
      <c r="J460" s="3">
        <v>3</v>
      </c>
      <c r="K460" s="2">
        <v>14.36</v>
      </c>
    </row>
    <row r="461" spans="1:11" x14ac:dyDescent="0.25">
      <c r="A461" s="4">
        <v>41904</v>
      </c>
      <c r="B461" s="3">
        <f>YEAR(SalesData[[#This Row],[Order Date]])</f>
        <v>2014</v>
      </c>
      <c r="C461" s="3">
        <f>MONTH(SalesData[[#This Row],[Order Date]])</f>
        <v>9</v>
      </c>
      <c r="D461" t="s">
        <v>14</v>
      </c>
      <c r="E461" t="s">
        <v>37</v>
      </c>
      <c r="F461" t="s">
        <v>27</v>
      </c>
      <c r="G461" t="s">
        <v>48</v>
      </c>
      <c r="H461" t="s">
        <v>49</v>
      </c>
      <c r="I461" s="2">
        <v>4606.13</v>
      </c>
      <c r="J461" s="3">
        <v>6</v>
      </c>
      <c r="K461" s="2">
        <v>1297.21</v>
      </c>
    </row>
    <row r="462" spans="1:11" x14ac:dyDescent="0.25">
      <c r="A462" s="4">
        <v>41905</v>
      </c>
      <c r="B462" s="3">
        <f>YEAR(SalesData[[#This Row],[Order Date]])</f>
        <v>2014</v>
      </c>
      <c r="C462" s="3">
        <f>MONTH(SalesData[[#This Row],[Order Date]])</f>
        <v>9</v>
      </c>
      <c r="D462" t="s">
        <v>18</v>
      </c>
      <c r="E462" t="s">
        <v>10</v>
      </c>
      <c r="F462" t="s">
        <v>27</v>
      </c>
      <c r="G462" t="s">
        <v>28</v>
      </c>
      <c r="H462" t="s">
        <v>58</v>
      </c>
      <c r="I462" s="2">
        <v>2699.81</v>
      </c>
      <c r="J462" s="3">
        <v>3</v>
      </c>
      <c r="K462" s="2">
        <v>264.61</v>
      </c>
    </row>
    <row r="463" spans="1:11" x14ac:dyDescent="0.25">
      <c r="A463" s="4">
        <v>41906</v>
      </c>
      <c r="B463" s="3">
        <f>YEAR(SalesData[[#This Row],[Order Date]])</f>
        <v>2014</v>
      </c>
      <c r="C463" s="3">
        <f>MONTH(SalesData[[#This Row],[Order Date]])</f>
        <v>9</v>
      </c>
      <c r="D463" t="s">
        <v>62</v>
      </c>
      <c r="E463" t="s">
        <v>40</v>
      </c>
      <c r="F463" t="s">
        <v>11</v>
      </c>
      <c r="G463" t="s">
        <v>35</v>
      </c>
      <c r="H463" t="s">
        <v>36</v>
      </c>
      <c r="I463" s="2">
        <v>3896.43</v>
      </c>
      <c r="J463" s="3">
        <v>7</v>
      </c>
      <c r="K463" s="2">
        <v>152.04</v>
      </c>
    </row>
    <row r="464" spans="1:11" x14ac:dyDescent="0.25">
      <c r="A464" s="4">
        <v>41906</v>
      </c>
      <c r="B464" s="3">
        <f>YEAR(SalesData[[#This Row],[Order Date]])</f>
        <v>2014</v>
      </c>
      <c r="C464" s="3">
        <f>MONTH(SalesData[[#This Row],[Order Date]])</f>
        <v>9</v>
      </c>
      <c r="D464" t="s">
        <v>43</v>
      </c>
      <c r="E464" t="s">
        <v>37</v>
      </c>
      <c r="F464" t="s">
        <v>15</v>
      </c>
      <c r="G464" t="s">
        <v>16</v>
      </c>
      <c r="H464" t="s">
        <v>51</v>
      </c>
      <c r="I464" s="2">
        <v>1465.4</v>
      </c>
      <c r="J464" s="3">
        <v>1</v>
      </c>
      <c r="K464" s="2">
        <v>232.81</v>
      </c>
    </row>
    <row r="465" spans="1:11" x14ac:dyDescent="0.25">
      <c r="A465" s="4">
        <v>41907</v>
      </c>
      <c r="B465" s="3">
        <f>YEAR(SalesData[[#This Row],[Order Date]])</f>
        <v>2014</v>
      </c>
      <c r="C465" s="3">
        <f>MONTH(SalesData[[#This Row],[Order Date]])</f>
        <v>9</v>
      </c>
      <c r="D465" t="s">
        <v>18</v>
      </c>
      <c r="E465" t="s">
        <v>34</v>
      </c>
      <c r="F465" t="s">
        <v>27</v>
      </c>
      <c r="G465" t="s">
        <v>32</v>
      </c>
      <c r="H465" t="s">
        <v>53</v>
      </c>
      <c r="I465" s="2">
        <v>1091.8</v>
      </c>
      <c r="J465" s="3">
        <v>3</v>
      </c>
      <c r="K465" s="2">
        <v>45.42</v>
      </c>
    </row>
    <row r="466" spans="1:11" x14ac:dyDescent="0.25">
      <c r="A466" s="4">
        <v>41907</v>
      </c>
      <c r="B466" s="3">
        <f>YEAR(SalesData[[#This Row],[Order Date]])</f>
        <v>2014</v>
      </c>
      <c r="C466" s="3">
        <f>MONTH(SalesData[[#This Row],[Order Date]])</f>
        <v>9</v>
      </c>
      <c r="D466" t="s">
        <v>20</v>
      </c>
      <c r="E466" t="s">
        <v>10</v>
      </c>
      <c r="F466" t="s">
        <v>11</v>
      </c>
      <c r="G466" t="s">
        <v>12</v>
      </c>
      <c r="H466" t="s">
        <v>13</v>
      </c>
      <c r="I466" s="2">
        <v>800.26</v>
      </c>
      <c r="J466" s="3">
        <v>4</v>
      </c>
      <c r="K466" s="2">
        <v>158.97</v>
      </c>
    </row>
    <row r="467" spans="1:11" x14ac:dyDescent="0.25">
      <c r="A467" s="4">
        <v>41908</v>
      </c>
      <c r="B467" s="3">
        <f>YEAR(SalesData[[#This Row],[Order Date]])</f>
        <v>2014</v>
      </c>
      <c r="C467" s="3">
        <f>MONTH(SalesData[[#This Row],[Order Date]])</f>
        <v>9</v>
      </c>
      <c r="D467" t="s">
        <v>47</v>
      </c>
      <c r="E467" t="s">
        <v>10</v>
      </c>
      <c r="F467" t="s">
        <v>27</v>
      </c>
      <c r="G467" t="s">
        <v>48</v>
      </c>
      <c r="H467" t="s">
        <v>49</v>
      </c>
      <c r="I467" s="2">
        <v>1234.1099999999999</v>
      </c>
      <c r="J467" s="3">
        <v>4</v>
      </c>
      <c r="K467" s="2">
        <v>219.59</v>
      </c>
    </row>
    <row r="468" spans="1:11" x14ac:dyDescent="0.25">
      <c r="A468" s="4">
        <v>41908</v>
      </c>
      <c r="B468" s="3">
        <f>YEAR(SalesData[[#This Row],[Order Date]])</f>
        <v>2014</v>
      </c>
      <c r="C468" s="3">
        <f>MONTH(SalesData[[#This Row],[Order Date]])</f>
        <v>9</v>
      </c>
      <c r="D468" t="s">
        <v>68</v>
      </c>
      <c r="E468" t="s">
        <v>19</v>
      </c>
      <c r="F468" t="s">
        <v>15</v>
      </c>
      <c r="G468" t="s">
        <v>38</v>
      </c>
      <c r="H468" t="s">
        <v>56</v>
      </c>
      <c r="I468" s="2">
        <v>2982.61</v>
      </c>
      <c r="J468" s="3">
        <v>2</v>
      </c>
      <c r="K468" s="2">
        <v>542.52</v>
      </c>
    </row>
    <row r="469" spans="1:11" x14ac:dyDescent="0.25">
      <c r="A469" s="4">
        <v>41908</v>
      </c>
      <c r="B469" s="3">
        <f>YEAR(SalesData[[#This Row],[Order Date]])</f>
        <v>2014</v>
      </c>
      <c r="C469" s="3">
        <f>MONTH(SalesData[[#This Row],[Order Date]])</f>
        <v>9</v>
      </c>
      <c r="D469" t="s">
        <v>18</v>
      </c>
      <c r="E469" t="s">
        <v>31</v>
      </c>
      <c r="F469" t="s">
        <v>27</v>
      </c>
      <c r="G469" t="s">
        <v>32</v>
      </c>
      <c r="H469" t="s">
        <v>53</v>
      </c>
      <c r="I469" s="2">
        <v>2524.25</v>
      </c>
      <c r="J469" s="3">
        <v>2</v>
      </c>
      <c r="K469" s="2">
        <v>239.77</v>
      </c>
    </row>
    <row r="470" spans="1:11" x14ac:dyDescent="0.25">
      <c r="A470" s="4">
        <v>41908</v>
      </c>
      <c r="B470" s="3">
        <f>YEAR(SalesData[[#This Row],[Order Date]])</f>
        <v>2014</v>
      </c>
      <c r="C470" s="3">
        <f>MONTH(SalesData[[#This Row],[Order Date]])</f>
        <v>9</v>
      </c>
      <c r="D470" t="s">
        <v>9</v>
      </c>
      <c r="E470" t="s">
        <v>52</v>
      </c>
      <c r="F470" t="s">
        <v>11</v>
      </c>
      <c r="G470" t="s">
        <v>21</v>
      </c>
      <c r="H470" t="s">
        <v>22</v>
      </c>
      <c r="I470" s="2">
        <v>1148.9000000000001</v>
      </c>
      <c r="J470" s="3">
        <v>2</v>
      </c>
      <c r="K470" s="2">
        <v>57.77</v>
      </c>
    </row>
    <row r="471" spans="1:11" x14ac:dyDescent="0.25">
      <c r="A471" s="4">
        <v>41908</v>
      </c>
      <c r="B471" s="3">
        <f>YEAR(SalesData[[#This Row],[Order Date]])</f>
        <v>2014</v>
      </c>
      <c r="C471" s="3">
        <f>MONTH(SalesData[[#This Row],[Order Date]])</f>
        <v>9</v>
      </c>
      <c r="D471" t="s">
        <v>18</v>
      </c>
      <c r="E471" t="s">
        <v>19</v>
      </c>
      <c r="F471" t="s">
        <v>11</v>
      </c>
      <c r="G471" t="s">
        <v>12</v>
      </c>
      <c r="H471" t="s">
        <v>13</v>
      </c>
      <c r="I471" s="2">
        <v>4754.08</v>
      </c>
      <c r="J471" s="3">
        <v>9</v>
      </c>
      <c r="K471" s="2">
        <v>319.27</v>
      </c>
    </row>
    <row r="472" spans="1:11" x14ac:dyDescent="0.25">
      <c r="A472" s="4">
        <v>41909</v>
      </c>
      <c r="B472" s="3">
        <f>YEAR(SalesData[[#This Row],[Order Date]])</f>
        <v>2014</v>
      </c>
      <c r="C472" s="3">
        <f>MONTH(SalesData[[#This Row],[Order Date]])</f>
        <v>9</v>
      </c>
      <c r="D472" t="s">
        <v>23</v>
      </c>
      <c r="E472" t="s">
        <v>26</v>
      </c>
      <c r="F472" t="s">
        <v>27</v>
      </c>
      <c r="G472" t="s">
        <v>28</v>
      </c>
      <c r="H472" t="s">
        <v>29</v>
      </c>
      <c r="I472" s="2">
        <v>4966.26</v>
      </c>
      <c r="J472" s="3">
        <v>10</v>
      </c>
      <c r="K472" s="2">
        <v>15.69</v>
      </c>
    </row>
    <row r="473" spans="1:11" x14ac:dyDescent="0.25">
      <c r="A473" s="4">
        <v>41909</v>
      </c>
      <c r="B473" s="3">
        <f>YEAR(SalesData[[#This Row],[Order Date]])</f>
        <v>2014</v>
      </c>
      <c r="C473" s="3">
        <f>MONTH(SalesData[[#This Row],[Order Date]])</f>
        <v>9</v>
      </c>
      <c r="D473" t="s">
        <v>62</v>
      </c>
      <c r="E473" t="s">
        <v>34</v>
      </c>
      <c r="F473" t="s">
        <v>15</v>
      </c>
      <c r="G473" t="s">
        <v>41</v>
      </c>
      <c r="H473" t="s">
        <v>61</v>
      </c>
      <c r="I473" s="2">
        <v>2856.32</v>
      </c>
      <c r="J473" s="3">
        <v>2</v>
      </c>
      <c r="K473" s="2">
        <v>698.84</v>
      </c>
    </row>
    <row r="474" spans="1:11" x14ac:dyDescent="0.25">
      <c r="A474" s="4">
        <v>41909</v>
      </c>
      <c r="B474" s="3">
        <f>YEAR(SalesData[[#This Row],[Order Date]])</f>
        <v>2014</v>
      </c>
      <c r="C474" s="3">
        <f>MONTH(SalesData[[#This Row],[Order Date]])</f>
        <v>9</v>
      </c>
      <c r="D474" t="s">
        <v>43</v>
      </c>
      <c r="E474" t="s">
        <v>60</v>
      </c>
      <c r="F474" t="s">
        <v>27</v>
      </c>
      <c r="G474" t="s">
        <v>28</v>
      </c>
      <c r="H474" t="s">
        <v>58</v>
      </c>
      <c r="I474" s="2">
        <v>1186.01</v>
      </c>
      <c r="J474" s="3">
        <v>7</v>
      </c>
      <c r="K474" s="2">
        <v>6.72</v>
      </c>
    </row>
    <row r="475" spans="1:11" x14ac:dyDescent="0.25">
      <c r="A475" s="4">
        <v>41910</v>
      </c>
      <c r="B475" s="3">
        <f>YEAR(SalesData[[#This Row],[Order Date]])</f>
        <v>2014</v>
      </c>
      <c r="C475" s="3">
        <f>MONTH(SalesData[[#This Row],[Order Date]])</f>
        <v>9</v>
      </c>
      <c r="D475" t="s">
        <v>14</v>
      </c>
      <c r="E475" t="s">
        <v>19</v>
      </c>
      <c r="F475" t="s">
        <v>27</v>
      </c>
      <c r="G475" t="s">
        <v>48</v>
      </c>
      <c r="H475" t="s">
        <v>49</v>
      </c>
      <c r="I475" s="2">
        <v>1312.62</v>
      </c>
      <c r="J475" s="3">
        <v>7</v>
      </c>
      <c r="K475" s="2">
        <v>9.32</v>
      </c>
    </row>
    <row r="476" spans="1:11" x14ac:dyDescent="0.25">
      <c r="A476" s="4">
        <v>41910</v>
      </c>
      <c r="B476" s="3">
        <f>YEAR(SalesData[[#This Row],[Order Date]])</f>
        <v>2014</v>
      </c>
      <c r="C476" s="3">
        <f>MONTH(SalesData[[#This Row],[Order Date]])</f>
        <v>9</v>
      </c>
      <c r="D476" t="s">
        <v>62</v>
      </c>
      <c r="E476" t="s">
        <v>34</v>
      </c>
      <c r="F476" t="s">
        <v>11</v>
      </c>
      <c r="G476" t="s">
        <v>24</v>
      </c>
      <c r="H476" t="s">
        <v>54</v>
      </c>
      <c r="I476" s="2">
        <v>3068.62</v>
      </c>
      <c r="J476" s="3">
        <v>6</v>
      </c>
      <c r="K476" s="2">
        <v>913.45</v>
      </c>
    </row>
    <row r="477" spans="1:11" x14ac:dyDescent="0.25">
      <c r="A477" s="4">
        <v>41910</v>
      </c>
      <c r="B477" s="3">
        <f>YEAR(SalesData[[#This Row],[Order Date]])</f>
        <v>2014</v>
      </c>
      <c r="C477" s="3">
        <f>MONTH(SalesData[[#This Row],[Order Date]])</f>
        <v>9</v>
      </c>
      <c r="D477" t="s">
        <v>43</v>
      </c>
      <c r="E477" t="s">
        <v>52</v>
      </c>
      <c r="F477" t="s">
        <v>15</v>
      </c>
      <c r="G477" t="s">
        <v>45</v>
      </c>
      <c r="H477" t="s">
        <v>46</v>
      </c>
      <c r="I477" s="2">
        <v>4532.8900000000003</v>
      </c>
      <c r="J477" s="3">
        <v>5</v>
      </c>
      <c r="K477" s="2">
        <v>397.58</v>
      </c>
    </row>
    <row r="478" spans="1:11" x14ac:dyDescent="0.25">
      <c r="A478" s="4">
        <v>41911</v>
      </c>
      <c r="B478" s="3">
        <f>YEAR(SalesData[[#This Row],[Order Date]])</f>
        <v>2014</v>
      </c>
      <c r="C478" s="3">
        <f>MONTH(SalesData[[#This Row],[Order Date]])</f>
        <v>9</v>
      </c>
      <c r="D478" t="s">
        <v>62</v>
      </c>
      <c r="E478" t="s">
        <v>34</v>
      </c>
      <c r="F478" t="s">
        <v>15</v>
      </c>
      <c r="G478" t="s">
        <v>38</v>
      </c>
      <c r="H478" t="s">
        <v>56</v>
      </c>
      <c r="I478" s="2">
        <v>4380.51</v>
      </c>
      <c r="J478" s="3">
        <v>9</v>
      </c>
      <c r="K478" s="2">
        <v>546.52</v>
      </c>
    </row>
    <row r="479" spans="1:11" x14ac:dyDescent="0.25">
      <c r="A479" s="4">
        <v>41912</v>
      </c>
      <c r="B479" s="3">
        <f>YEAR(SalesData[[#This Row],[Order Date]])</f>
        <v>2014</v>
      </c>
      <c r="C479" s="3">
        <f>MONTH(SalesData[[#This Row],[Order Date]])</f>
        <v>9</v>
      </c>
      <c r="D479" t="s">
        <v>20</v>
      </c>
      <c r="E479" t="s">
        <v>10</v>
      </c>
      <c r="F479" t="s">
        <v>11</v>
      </c>
      <c r="G479" t="s">
        <v>12</v>
      </c>
      <c r="H479" t="s">
        <v>65</v>
      </c>
      <c r="I479" s="2">
        <v>961.94</v>
      </c>
      <c r="J479" s="3">
        <v>10</v>
      </c>
      <c r="K479" s="2">
        <v>227.64</v>
      </c>
    </row>
    <row r="480" spans="1:11" x14ac:dyDescent="0.25">
      <c r="A480" s="4">
        <v>41913</v>
      </c>
      <c r="B480" s="3">
        <f>YEAR(SalesData[[#This Row],[Order Date]])</f>
        <v>2014</v>
      </c>
      <c r="C480" s="3">
        <f>MONTH(SalesData[[#This Row],[Order Date]])</f>
        <v>10</v>
      </c>
      <c r="D480" t="s">
        <v>23</v>
      </c>
      <c r="E480" t="s">
        <v>31</v>
      </c>
      <c r="F480" t="s">
        <v>11</v>
      </c>
      <c r="G480" t="s">
        <v>21</v>
      </c>
      <c r="H480" t="s">
        <v>22</v>
      </c>
      <c r="I480" s="2">
        <v>1145.1099999999999</v>
      </c>
      <c r="J480" s="3">
        <v>8</v>
      </c>
      <c r="K480" s="2">
        <v>335.05</v>
      </c>
    </row>
    <row r="481" spans="1:11" x14ac:dyDescent="0.25">
      <c r="A481" s="4">
        <v>41914</v>
      </c>
      <c r="B481" s="3">
        <f>YEAR(SalesData[[#This Row],[Order Date]])</f>
        <v>2014</v>
      </c>
      <c r="C481" s="3">
        <f>MONTH(SalesData[[#This Row],[Order Date]])</f>
        <v>10</v>
      </c>
      <c r="D481" t="s">
        <v>68</v>
      </c>
      <c r="E481" t="s">
        <v>31</v>
      </c>
      <c r="F481" t="s">
        <v>27</v>
      </c>
      <c r="G481" t="s">
        <v>32</v>
      </c>
      <c r="H481" t="s">
        <v>33</v>
      </c>
      <c r="I481" s="2">
        <v>1969.16</v>
      </c>
      <c r="J481" s="3">
        <v>9</v>
      </c>
      <c r="K481" s="2">
        <v>169.8</v>
      </c>
    </row>
    <row r="482" spans="1:11" x14ac:dyDescent="0.25">
      <c r="A482" s="4">
        <v>41914</v>
      </c>
      <c r="B482" s="3">
        <f>YEAR(SalesData[[#This Row],[Order Date]])</f>
        <v>2014</v>
      </c>
      <c r="C482" s="3">
        <f>MONTH(SalesData[[#This Row],[Order Date]])</f>
        <v>10</v>
      </c>
      <c r="D482" t="s">
        <v>23</v>
      </c>
      <c r="E482" t="s">
        <v>31</v>
      </c>
      <c r="F482" t="s">
        <v>27</v>
      </c>
      <c r="G482" t="s">
        <v>32</v>
      </c>
      <c r="H482" t="s">
        <v>53</v>
      </c>
      <c r="I482" s="2">
        <v>1240.49</v>
      </c>
      <c r="J482" s="3">
        <v>3</v>
      </c>
      <c r="K482" s="2">
        <v>92.64</v>
      </c>
    </row>
    <row r="483" spans="1:11" x14ac:dyDescent="0.25">
      <c r="A483" s="4">
        <v>41915</v>
      </c>
      <c r="B483" s="3">
        <f>YEAR(SalesData[[#This Row],[Order Date]])</f>
        <v>2014</v>
      </c>
      <c r="C483" s="3">
        <f>MONTH(SalesData[[#This Row],[Order Date]])</f>
        <v>10</v>
      </c>
      <c r="D483" t="s">
        <v>30</v>
      </c>
      <c r="E483" t="s">
        <v>40</v>
      </c>
      <c r="F483" t="s">
        <v>11</v>
      </c>
      <c r="G483" t="s">
        <v>35</v>
      </c>
      <c r="H483" t="s">
        <v>36</v>
      </c>
      <c r="I483" s="2">
        <v>2440.2800000000002</v>
      </c>
      <c r="J483" s="3">
        <v>4</v>
      </c>
      <c r="K483" s="2">
        <v>601.66</v>
      </c>
    </row>
    <row r="484" spans="1:11" x14ac:dyDescent="0.25">
      <c r="A484" s="4">
        <v>41916</v>
      </c>
      <c r="B484" s="3">
        <f>YEAR(SalesData[[#This Row],[Order Date]])</f>
        <v>2014</v>
      </c>
      <c r="C484" s="3">
        <f>MONTH(SalesData[[#This Row],[Order Date]])</f>
        <v>10</v>
      </c>
      <c r="D484" t="s">
        <v>14</v>
      </c>
      <c r="E484" t="s">
        <v>37</v>
      </c>
      <c r="F484" t="s">
        <v>15</v>
      </c>
      <c r="G484" t="s">
        <v>41</v>
      </c>
      <c r="H484" t="s">
        <v>61</v>
      </c>
      <c r="I484" s="2">
        <v>2470.73</v>
      </c>
      <c r="J484" s="3">
        <v>6</v>
      </c>
      <c r="K484" s="2">
        <v>149.75</v>
      </c>
    </row>
    <row r="485" spans="1:11" x14ac:dyDescent="0.25">
      <c r="A485" s="4">
        <v>41916</v>
      </c>
      <c r="B485" s="3">
        <f>YEAR(SalesData[[#This Row],[Order Date]])</f>
        <v>2014</v>
      </c>
      <c r="C485" s="3">
        <f>MONTH(SalesData[[#This Row],[Order Date]])</f>
        <v>10</v>
      </c>
      <c r="D485" t="s">
        <v>43</v>
      </c>
      <c r="E485" t="s">
        <v>34</v>
      </c>
      <c r="F485" t="s">
        <v>11</v>
      </c>
      <c r="G485" t="s">
        <v>24</v>
      </c>
      <c r="H485" t="s">
        <v>25</v>
      </c>
      <c r="I485" s="2">
        <v>1698.46</v>
      </c>
      <c r="J485" s="3">
        <v>2</v>
      </c>
      <c r="K485" s="2">
        <v>98.35</v>
      </c>
    </row>
    <row r="486" spans="1:11" x14ac:dyDescent="0.25">
      <c r="A486" s="4">
        <v>41917</v>
      </c>
      <c r="B486" s="3">
        <f>YEAR(SalesData[[#This Row],[Order Date]])</f>
        <v>2014</v>
      </c>
      <c r="C486" s="3">
        <f>MONTH(SalesData[[#This Row],[Order Date]])</f>
        <v>10</v>
      </c>
      <c r="D486" t="s">
        <v>18</v>
      </c>
      <c r="E486" t="s">
        <v>19</v>
      </c>
      <c r="F486" t="s">
        <v>27</v>
      </c>
      <c r="G486" t="s">
        <v>48</v>
      </c>
      <c r="H486" t="s">
        <v>49</v>
      </c>
      <c r="I486" s="2">
        <v>2164.31</v>
      </c>
      <c r="J486" s="3">
        <v>8</v>
      </c>
      <c r="K486" s="2">
        <v>292.44</v>
      </c>
    </row>
    <row r="487" spans="1:11" x14ac:dyDescent="0.25">
      <c r="A487" s="4">
        <v>41917</v>
      </c>
      <c r="B487" s="3">
        <f>YEAR(SalesData[[#This Row],[Order Date]])</f>
        <v>2014</v>
      </c>
      <c r="C487" s="3">
        <f>MONTH(SalesData[[#This Row],[Order Date]])</f>
        <v>10</v>
      </c>
      <c r="D487" t="s">
        <v>9</v>
      </c>
      <c r="E487" t="s">
        <v>34</v>
      </c>
      <c r="F487" t="s">
        <v>15</v>
      </c>
      <c r="G487" t="s">
        <v>41</v>
      </c>
      <c r="H487" t="s">
        <v>42</v>
      </c>
      <c r="I487" s="2">
        <v>2569.46</v>
      </c>
      <c r="J487" s="3">
        <v>3</v>
      </c>
      <c r="K487" s="2">
        <v>114.7</v>
      </c>
    </row>
    <row r="488" spans="1:11" x14ac:dyDescent="0.25">
      <c r="A488" s="4">
        <v>41917</v>
      </c>
      <c r="B488" s="3">
        <f>YEAR(SalesData[[#This Row],[Order Date]])</f>
        <v>2014</v>
      </c>
      <c r="C488" s="3">
        <f>MONTH(SalesData[[#This Row],[Order Date]])</f>
        <v>10</v>
      </c>
      <c r="D488" t="s">
        <v>14</v>
      </c>
      <c r="E488" t="s">
        <v>19</v>
      </c>
      <c r="F488" t="s">
        <v>11</v>
      </c>
      <c r="G488" t="s">
        <v>21</v>
      </c>
      <c r="H488" t="s">
        <v>67</v>
      </c>
      <c r="I488" s="2">
        <v>1885.19</v>
      </c>
      <c r="J488" s="3">
        <v>9</v>
      </c>
      <c r="K488" s="2">
        <v>469.37</v>
      </c>
    </row>
    <row r="489" spans="1:11" x14ac:dyDescent="0.25">
      <c r="A489" s="4">
        <v>41918</v>
      </c>
      <c r="B489" s="3">
        <f>YEAR(SalesData[[#This Row],[Order Date]])</f>
        <v>2014</v>
      </c>
      <c r="C489" s="3">
        <f>MONTH(SalesData[[#This Row],[Order Date]])</f>
        <v>10</v>
      </c>
      <c r="D489" t="s">
        <v>47</v>
      </c>
      <c r="E489" t="s">
        <v>10</v>
      </c>
      <c r="F489" t="s">
        <v>27</v>
      </c>
      <c r="G489" t="s">
        <v>48</v>
      </c>
      <c r="H489" t="s">
        <v>57</v>
      </c>
      <c r="I489" s="2">
        <v>554.1</v>
      </c>
      <c r="J489" s="3">
        <v>8</v>
      </c>
      <c r="K489" s="2">
        <v>51.13</v>
      </c>
    </row>
    <row r="490" spans="1:11" x14ac:dyDescent="0.25">
      <c r="A490" s="4">
        <v>41919</v>
      </c>
      <c r="B490" s="3">
        <f>YEAR(SalesData[[#This Row],[Order Date]])</f>
        <v>2014</v>
      </c>
      <c r="C490" s="3">
        <f>MONTH(SalesData[[#This Row],[Order Date]])</f>
        <v>10</v>
      </c>
      <c r="D490" t="s">
        <v>14</v>
      </c>
      <c r="E490" t="s">
        <v>52</v>
      </c>
      <c r="F490" t="s">
        <v>15</v>
      </c>
      <c r="G490" t="s">
        <v>63</v>
      </c>
      <c r="H490" t="s">
        <v>66</v>
      </c>
      <c r="I490" s="2">
        <v>3186.92</v>
      </c>
      <c r="J490" s="3">
        <v>6</v>
      </c>
      <c r="K490" s="2">
        <v>708.86</v>
      </c>
    </row>
    <row r="491" spans="1:11" x14ac:dyDescent="0.25">
      <c r="A491" s="4">
        <v>41920</v>
      </c>
      <c r="B491" s="3">
        <f>YEAR(SalesData[[#This Row],[Order Date]])</f>
        <v>2014</v>
      </c>
      <c r="C491" s="3">
        <f>MONTH(SalesData[[#This Row],[Order Date]])</f>
        <v>10</v>
      </c>
      <c r="D491" t="s">
        <v>9</v>
      </c>
      <c r="E491" t="s">
        <v>52</v>
      </c>
      <c r="F491" t="s">
        <v>27</v>
      </c>
      <c r="G491" t="s">
        <v>48</v>
      </c>
      <c r="H491" t="s">
        <v>57</v>
      </c>
      <c r="I491" s="2">
        <v>3517.33</v>
      </c>
      <c r="J491" s="3">
        <v>1</v>
      </c>
      <c r="K491" s="2">
        <v>928.16</v>
      </c>
    </row>
    <row r="492" spans="1:11" x14ac:dyDescent="0.25">
      <c r="A492" s="4">
        <v>41922</v>
      </c>
      <c r="B492" s="3">
        <f>YEAR(SalesData[[#This Row],[Order Date]])</f>
        <v>2014</v>
      </c>
      <c r="C492" s="3">
        <f>MONTH(SalesData[[#This Row],[Order Date]])</f>
        <v>10</v>
      </c>
      <c r="D492" t="s">
        <v>55</v>
      </c>
      <c r="E492" t="s">
        <v>52</v>
      </c>
      <c r="F492" t="s">
        <v>15</v>
      </c>
      <c r="G492" t="s">
        <v>45</v>
      </c>
      <c r="H492" t="s">
        <v>59</v>
      </c>
      <c r="I492" s="2">
        <v>503.49</v>
      </c>
      <c r="J492" s="3">
        <v>9</v>
      </c>
      <c r="K492" s="2">
        <v>122.83</v>
      </c>
    </row>
    <row r="493" spans="1:11" x14ac:dyDescent="0.25">
      <c r="A493" s="4">
        <v>41922</v>
      </c>
      <c r="B493" s="3">
        <f>YEAR(SalesData[[#This Row],[Order Date]])</f>
        <v>2014</v>
      </c>
      <c r="C493" s="3">
        <f>MONTH(SalesData[[#This Row],[Order Date]])</f>
        <v>10</v>
      </c>
      <c r="D493" t="s">
        <v>43</v>
      </c>
      <c r="E493" t="s">
        <v>10</v>
      </c>
      <c r="F493" t="s">
        <v>11</v>
      </c>
      <c r="G493" t="s">
        <v>24</v>
      </c>
      <c r="H493" t="s">
        <v>54</v>
      </c>
      <c r="I493" s="2">
        <v>3137.43</v>
      </c>
      <c r="J493" s="3">
        <v>9</v>
      </c>
      <c r="K493" s="2">
        <v>19.989999999999998</v>
      </c>
    </row>
    <row r="494" spans="1:11" x14ac:dyDescent="0.25">
      <c r="A494" s="4">
        <v>41922</v>
      </c>
      <c r="B494" s="3">
        <f>YEAR(SalesData[[#This Row],[Order Date]])</f>
        <v>2014</v>
      </c>
      <c r="C494" s="3">
        <f>MONTH(SalesData[[#This Row],[Order Date]])</f>
        <v>10</v>
      </c>
      <c r="D494" t="s">
        <v>50</v>
      </c>
      <c r="E494" t="s">
        <v>44</v>
      </c>
      <c r="F494" t="s">
        <v>27</v>
      </c>
      <c r="G494" t="s">
        <v>28</v>
      </c>
      <c r="H494" t="s">
        <v>58</v>
      </c>
      <c r="I494" s="2">
        <v>2885.21</v>
      </c>
      <c r="J494" s="3">
        <v>8</v>
      </c>
      <c r="K494" s="2">
        <v>464.1</v>
      </c>
    </row>
    <row r="495" spans="1:11" x14ac:dyDescent="0.25">
      <c r="A495" s="4">
        <v>41923</v>
      </c>
      <c r="B495" s="3">
        <f>YEAR(SalesData[[#This Row],[Order Date]])</f>
        <v>2014</v>
      </c>
      <c r="C495" s="3">
        <f>MONTH(SalesData[[#This Row],[Order Date]])</f>
        <v>10</v>
      </c>
      <c r="D495" t="s">
        <v>50</v>
      </c>
      <c r="E495" t="s">
        <v>40</v>
      </c>
      <c r="F495" t="s">
        <v>15</v>
      </c>
      <c r="G495" t="s">
        <v>38</v>
      </c>
      <c r="H495" t="s">
        <v>39</v>
      </c>
      <c r="I495" s="2">
        <v>217.89</v>
      </c>
      <c r="J495" s="3">
        <v>10</v>
      </c>
      <c r="K495" s="2">
        <v>38.880000000000003</v>
      </c>
    </row>
    <row r="496" spans="1:11" x14ac:dyDescent="0.25">
      <c r="A496" s="4">
        <v>41924</v>
      </c>
      <c r="B496" s="3">
        <f>YEAR(SalesData[[#This Row],[Order Date]])</f>
        <v>2014</v>
      </c>
      <c r="C496" s="3">
        <f>MONTH(SalesData[[#This Row],[Order Date]])</f>
        <v>10</v>
      </c>
      <c r="D496" t="s">
        <v>62</v>
      </c>
      <c r="E496" t="s">
        <v>31</v>
      </c>
      <c r="F496" t="s">
        <v>11</v>
      </c>
      <c r="G496" t="s">
        <v>35</v>
      </c>
      <c r="H496" t="s">
        <v>70</v>
      </c>
      <c r="I496" s="2">
        <v>64.63</v>
      </c>
      <c r="J496" s="3">
        <v>5</v>
      </c>
      <c r="K496" s="2">
        <v>10.3</v>
      </c>
    </row>
    <row r="497" spans="1:11" x14ac:dyDescent="0.25">
      <c r="A497" s="4">
        <v>41924</v>
      </c>
      <c r="B497" s="3">
        <f>YEAR(SalesData[[#This Row],[Order Date]])</f>
        <v>2014</v>
      </c>
      <c r="C497" s="3">
        <f>MONTH(SalesData[[#This Row],[Order Date]])</f>
        <v>10</v>
      </c>
      <c r="D497" t="s">
        <v>55</v>
      </c>
      <c r="E497" t="s">
        <v>10</v>
      </c>
      <c r="F497" t="s">
        <v>15</v>
      </c>
      <c r="G497" t="s">
        <v>38</v>
      </c>
      <c r="H497" t="s">
        <v>56</v>
      </c>
      <c r="I497" s="2">
        <v>4614.3900000000003</v>
      </c>
      <c r="J497" s="3">
        <v>2</v>
      </c>
      <c r="K497" s="2">
        <v>232.52</v>
      </c>
    </row>
    <row r="498" spans="1:11" x14ac:dyDescent="0.25">
      <c r="A498" s="4">
        <v>41924</v>
      </c>
      <c r="B498" s="3">
        <f>YEAR(SalesData[[#This Row],[Order Date]])</f>
        <v>2014</v>
      </c>
      <c r="C498" s="3">
        <f>MONTH(SalesData[[#This Row],[Order Date]])</f>
        <v>10</v>
      </c>
      <c r="D498" t="s">
        <v>20</v>
      </c>
      <c r="E498" t="s">
        <v>26</v>
      </c>
      <c r="F498" t="s">
        <v>15</v>
      </c>
      <c r="G498" t="s">
        <v>63</v>
      </c>
      <c r="H498" t="s">
        <v>66</v>
      </c>
      <c r="I498" s="2">
        <v>3128.46</v>
      </c>
      <c r="J498" s="3">
        <v>7</v>
      </c>
      <c r="K498" s="2">
        <v>197.85</v>
      </c>
    </row>
    <row r="499" spans="1:11" x14ac:dyDescent="0.25">
      <c r="A499" s="4">
        <v>41925</v>
      </c>
      <c r="B499" s="3">
        <f>YEAR(SalesData[[#This Row],[Order Date]])</f>
        <v>2014</v>
      </c>
      <c r="C499" s="3">
        <f>MONTH(SalesData[[#This Row],[Order Date]])</f>
        <v>10</v>
      </c>
      <c r="D499" t="s">
        <v>20</v>
      </c>
      <c r="E499" t="s">
        <v>26</v>
      </c>
      <c r="F499" t="s">
        <v>15</v>
      </c>
      <c r="G499" t="s">
        <v>38</v>
      </c>
      <c r="H499" t="s">
        <v>56</v>
      </c>
      <c r="I499" s="2">
        <v>3658.07</v>
      </c>
      <c r="J499" s="3">
        <v>1</v>
      </c>
      <c r="K499" s="2">
        <v>988.19</v>
      </c>
    </row>
    <row r="500" spans="1:11" x14ac:dyDescent="0.25">
      <c r="A500" s="4">
        <v>41925</v>
      </c>
      <c r="B500" s="3">
        <f>YEAR(SalesData[[#This Row],[Order Date]])</f>
        <v>2014</v>
      </c>
      <c r="C500" s="3">
        <f>MONTH(SalesData[[#This Row],[Order Date]])</f>
        <v>10</v>
      </c>
      <c r="D500" t="s">
        <v>62</v>
      </c>
      <c r="E500" t="s">
        <v>10</v>
      </c>
      <c r="F500" t="s">
        <v>27</v>
      </c>
      <c r="G500" t="s">
        <v>48</v>
      </c>
      <c r="H500" t="s">
        <v>49</v>
      </c>
      <c r="I500" s="2">
        <v>4383.5200000000004</v>
      </c>
      <c r="J500" s="3">
        <v>2</v>
      </c>
      <c r="K500" s="2">
        <v>133.46</v>
      </c>
    </row>
    <row r="501" spans="1:11" x14ac:dyDescent="0.25">
      <c r="A501" s="4">
        <v>41925</v>
      </c>
      <c r="B501" s="3">
        <f>YEAR(SalesData[[#This Row],[Order Date]])</f>
        <v>2014</v>
      </c>
      <c r="C501" s="3">
        <f>MONTH(SalesData[[#This Row],[Order Date]])</f>
        <v>10</v>
      </c>
      <c r="D501" t="s">
        <v>68</v>
      </c>
      <c r="E501" t="s">
        <v>37</v>
      </c>
      <c r="F501" t="s">
        <v>27</v>
      </c>
      <c r="G501" t="s">
        <v>32</v>
      </c>
      <c r="H501" t="s">
        <v>33</v>
      </c>
      <c r="I501" s="2">
        <v>4158.53</v>
      </c>
      <c r="J501" s="3">
        <v>2</v>
      </c>
      <c r="K501" s="2">
        <v>740.3</v>
      </c>
    </row>
    <row r="502" spans="1:11" x14ac:dyDescent="0.25">
      <c r="A502" s="4">
        <v>41926</v>
      </c>
      <c r="B502" s="3">
        <f>YEAR(SalesData[[#This Row],[Order Date]])</f>
        <v>2014</v>
      </c>
      <c r="C502" s="3">
        <f>MONTH(SalesData[[#This Row],[Order Date]])</f>
        <v>10</v>
      </c>
      <c r="D502" t="s">
        <v>68</v>
      </c>
      <c r="E502" t="s">
        <v>60</v>
      </c>
      <c r="F502" t="s">
        <v>27</v>
      </c>
      <c r="G502" t="s">
        <v>32</v>
      </c>
      <c r="H502" t="s">
        <v>53</v>
      </c>
      <c r="I502" s="2">
        <v>1456.24</v>
      </c>
      <c r="J502" s="3">
        <v>6</v>
      </c>
      <c r="K502" s="2">
        <v>344.06</v>
      </c>
    </row>
    <row r="503" spans="1:11" x14ac:dyDescent="0.25">
      <c r="A503" s="4">
        <v>41926</v>
      </c>
      <c r="B503" s="3">
        <f>YEAR(SalesData[[#This Row],[Order Date]])</f>
        <v>2014</v>
      </c>
      <c r="C503" s="3">
        <f>MONTH(SalesData[[#This Row],[Order Date]])</f>
        <v>10</v>
      </c>
      <c r="D503" t="s">
        <v>23</v>
      </c>
      <c r="E503" t="s">
        <v>52</v>
      </c>
      <c r="F503" t="s">
        <v>11</v>
      </c>
      <c r="G503" t="s">
        <v>24</v>
      </c>
      <c r="H503" t="s">
        <v>54</v>
      </c>
      <c r="I503" s="2">
        <v>668.61</v>
      </c>
      <c r="J503" s="3">
        <v>6</v>
      </c>
      <c r="K503" s="2">
        <v>60.43</v>
      </c>
    </row>
    <row r="504" spans="1:11" x14ac:dyDescent="0.25">
      <c r="A504" s="4">
        <v>41927</v>
      </c>
      <c r="B504" s="3">
        <f>YEAR(SalesData[[#This Row],[Order Date]])</f>
        <v>2014</v>
      </c>
      <c r="C504" s="3">
        <f>MONTH(SalesData[[#This Row],[Order Date]])</f>
        <v>10</v>
      </c>
      <c r="D504" t="s">
        <v>68</v>
      </c>
      <c r="E504" t="s">
        <v>40</v>
      </c>
      <c r="F504" t="s">
        <v>11</v>
      </c>
      <c r="G504" t="s">
        <v>35</v>
      </c>
      <c r="H504" t="s">
        <v>71</v>
      </c>
      <c r="I504" s="2">
        <v>1407.99</v>
      </c>
      <c r="J504" s="3">
        <v>3</v>
      </c>
      <c r="K504" s="2">
        <v>262.39</v>
      </c>
    </row>
    <row r="505" spans="1:11" x14ac:dyDescent="0.25">
      <c r="A505" s="4">
        <v>41927</v>
      </c>
      <c r="B505" s="3">
        <f>YEAR(SalesData[[#This Row],[Order Date]])</f>
        <v>2014</v>
      </c>
      <c r="C505" s="3">
        <f>MONTH(SalesData[[#This Row],[Order Date]])</f>
        <v>10</v>
      </c>
      <c r="D505" t="s">
        <v>9</v>
      </c>
      <c r="E505" t="s">
        <v>60</v>
      </c>
      <c r="F505" t="s">
        <v>11</v>
      </c>
      <c r="G505" t="s">
        <v>21</v>
      </c>
      <c r="H505" t="s">
        <v>22</v>
      </c>
      <c r="I505" s="2">
        <v>45.84</v>
      </c>
      <c r="J505" s="3">
        <v>9</v>
      </c>
      <c r="K505" s="2">
        <v>10.99</v>
      </c>
    </row>
    <row r="506" spans="1:11" x14ac:dyDescent="0.25">
      <c r="A506" s="4">
        <v>41928</v>
      </c>
      <c r="B506" s="3">
        <f>YEAR(SalesData[[#This Row],[Order Date]])</f>
        <v>2014</v>
      </c>
      <c r="C506" s="3">
        <f>MONTH(SalesData[[#This Row],[Order Date]])</f>
        <v>10</v>
      </c>
      <c r="D506" t="s">
        <v>43</v>
      </c>
      <c r="E506" t="s">
        <v>40</v>
      </c>
      <c r="F506" t="s">
        <v>15</v>
      </c>
      <c r="G506" t="s">
        <v>45</v>
      </c>
      <c r="H506" t="s">
        <v>59</v>
      </c>
      <c r="I506" s="2">
        <v>4745.9799999999996</v>
      </c>
      <c r="J506" s="3">
        <v>4</v>
      </c>
      <c r="K506" s="2">
        <v>386.03</v>
      </c>
    </row>
    <row r="507" spans="1:11" x14ac:dyDescent="0.25">
      <c r="A507" s="4">
        <v>41928</v>
      </c>
      <c r="B507" s="3">
        <f>YEAR(SalesData[[#This Row],[Order Date]])</f>
        <v>2014</v>
      </c>
      <c r="C507" s="3">
        <f>MONTH(SalesData[[#This Row],[Order Date]])</f>
        <v>10</v>
      </c>
      <c r="D507" t="s">
        <v>47</v>
      </c>
      <c r="E507" t="s">
        <v>19</v>
      </c>
      <c r="F507" t="s">
        <v>15</v>
      </c>
      <c r="G507" t="s">
        <v>38</v>
      </c>
      <c r="H507" t="s">
        <v>56</v>
      </c>
      <c r="I507" s="2">
        <v>1272.01</v>
      </c>
      <c r="J507" s="3">
        <v>2</v>
      </c>
      <c r="K507" s="2">
        <v>362.35</v>
      </c>
    </row>
    <row r="508" spans="1:11" x14ac:dyDescent="0.25">
      <c r="A508" s="4">
        <v>41929</v>
      </c>
      <c r="B508" s="3">
        <f>YEAR(SalesData[[#This Row],[Order Date]])</f>
        <v>2014</v>
      </c>
      <c r="C508" s="3">
        <f>MONTH(SalesData[[#This Row],[Order Date]])</f>
        <v>10</v>
      </c>
      <c r="D508" t="s">
        <v>50</v>
      </c>
      <c r="E508" t="s">
        <v>37</v>
      </c>
      <c r="F508" t="s">
        <v>11</v>
      </c>
      <c r="G508" t="s">
        <v>24</v>
      </c>
      <c r="H508" t="s">
        <v>54</v>
      </c>
      <c r="I508" s="2">
        <v>3762.22</v>
      </c>
      <c r="J508" s="3">
        <v>2</v>
      </c>
      <c r="K508" s="2">
        <v>792.54</v>
      </c>
    </row>
    <row r="509" spans="1:11" x14ac:dyDescent="0.25">
      <c r="A509" s="4">
        <v>41930</v>
      </c>
      <c r="B509" s="3">
        <f>YEAR(SalesData[[#This Row],[Order Date]])</f>
        <v>2014</v>
      </c>
      <c r="C509" s="3">
        <f>MONTH(SalesData[[#This Row],[Order Date]])</f>
        <v>10</v>
      </c>
      <c r="D509" t="s">
        <v>23</v>
      </c>
      <c r="E509" t="s">
        <v>31</v>
      </c>
      <c r="F509" t="s">
        <v>15</v>
      </c>
      <c r="G509" t="s">
        <v>41</v>
      </c>
      <c r="H509" t="s">
        <v>61</v>
      </c>
      <c r="I509" s="2">
        <v>1510.24</v>
      </c>
      <c r="J509" s="3">
        <v>7</v>
      </c>
      <c r="K509" s="2">
        <v>279.08999999999997</v>
      </c>
    </row>
    <row r="510" spans="1:11" x14ac:dyDescent="0.25">
      <c r="A510" s="4">
        <v>41931</v>
      </c>
      <c r="B510" s="3">
        <f>YEAR(SalesData[[#This Row],[Order Date]])</f>
        <v>2014</v>
      </c>
      <c r="C510" s="3">
        <f>MONTH(SalesData[[#This Row],[Order Date]])</f>
        <v>10</v>
      </c>
      <c r="D510" t="s">
        <v>68</v>
      </c>
      <c r="E510" t="s">
        <v>40</v>
      </c>
      <c r="F510" t="s">
        <v>15</v>
      </c>
      <c r="G510" t="s">
        <v>38</v>
      </c>
      <c r="H510" t="s">
        <v>39</v>
      </c>
      <c r="I510" s="2">
        <v>4429.55</v>
      </c>
      <c r="J510" s="3">
        <v>1</v>
      </c>
      <c r="K510" s="2">
        <v>534.1</v>
      </c>
    </row>
    <row r="511" spans="1:11" x14ac:dyDescent="0.25">
      <c r="A511" s="4">
        <v>41932</v>
      </c>
      <c r="B511" s="3">
        <f>YEAR(SalesData[[#This Row],[Order Date]])</f>
        <v>2014</v>
      </c>
      <c r="C511" s="3">
        <f>MONTH(SalesData[[#This Row],[Order Date]])</f>
        <v>10</v>
      </c>
      <c r="D511" t="s">
        <v>18</v>
      </c>
      <c r="E511" t="s">
        <v>26</v>
      </c>
      <c r="F511" t="s">
        <v>27</v>
      </c>
      <c r="G511" t="s">
        <v>28</v>
      </c>
      <c r="H511" t="s">
        <v>69</v>
      </c>
      <c r="I511" s="2">
        <v>4299.55</v>
      </c>
      <c r="J511" s="3">
        <v>8</v>
      </c>
      <c r="K511" s="2">
        <v>833.3</v>
      </c>
    </row>
    <row r="512" spans="1:11" x14ac:dyDescent="0.25">
      <c r="A512" s="4">
        <v>41932</v>
      </c>
      <c r="B512" s="3">
        <f>YEAR(SalesData[[#This Row],[Order Date]])</f>
        <v>2014</v>
      </c>
      <c r="C512" s="3">
        <f>MONTH(SalesData[[#This Row],[Order Date]])</f>
        <v>10</v>
      </c>
      <c r="D512" t="s">
        <v>68</v>
      </c>
      <c r="E512" t="s">
        <v>10</v>
      </c>
      <c r="F512" t="s">
        <v>11</v>
      </c>
      <c r="G512" t="s">
        <v>21</v>
      </c>
      <c r="H512" t="s">
        <v>67</v>
      </c>
      <c r="I512" s="2">
        <v>2878.51</v>
      </c>
      <c r="J512" s="3">
        <v>8</v>
      </c>
      <c r="K512" s="2">
        <v>532.04999999999995</v>
      </c>
    </row>
    <row r="513" spans="1:11" x14ac:dyDescent="0.25">
      <c r="A513" s="4">
        <v>41933</v>
      </c>
      <c r="B513" s="3">
        <f>YEAR(SalesData[[#This Row],[Order Date]])</f>
        <v>2014</v>
      </c>
      <c r="C513" s="3">
        <f>MONTH(SalesData[[#This Row],[Order Date]])</f>
        <v>10</v>
      </c>
      <c r="D513" t="s">
        <v>50</v>
      </c>
      <c r="E513" t="s">
        <v>40</v>
      </c>
      <c r="F513" t="s">
        <v>11</v>
      </c>
      <c r="G513" t="s">
        <v>12</v>
      </c>
      <c r="H513" t="s">
        <v>65</v>
      </c>
      <c r="I513" s="2">
        <v>3617.54</v>
      </c>
      <c r="J513" s="3">
        <v>6</v>
      </c>
      <c r="K513" s="2">
        <v>729.35</v>
      </c>
    </row>
    <row r="514" spans="1:11" x14ac:dyDescent="0.25">
      <c r="A514" s="4">
        <v>41933</v>
      </c>
      <c r="B514" s="3">
        <f>YEAR(SalesData[[#This Row],[Order Date]])</f>
        <v>2014</v>
      </c>
      <c r="C514" s="3">
        <f>MONTH(SalesData[[#This Row],[Order Date]])</f>
        <v>10</v>
      </c>
      <c r="D514" t="s">
        <v>55</v>
      </c>
      <c r="E514" t="s">
        <v>31</v>
      </c>
      <c r="F514" t="s">
        <v>27</v>
      </c>
      <c r="G514" t="s">
        <v>32</v>
      </c>
      <c r="H514" t="s">
        <v>53</v>
      </c>
      <c r="I514" s="2">
        <v>2980.05</v>
      </c>
      <c r="J514" s="3">
        <v>9</v>
      </c>
      <c r="K514" s="2">
        <v>845.74</v>
      </c>
    </row>
    <row r="515" spans="1:11" x14ac:dyDescent="0.25">
      <c r="A515" s="4">
        <v>41934</v>
      </c>
      <c r="B515" s="3">
        <f>YEAR(SalesData[[#This Row],[Order Date]])</f>
        <v>2014</v>
      </c>
      <c r="C515" s="3">
        <f>MONTH(SalesData[[#This Row],[Order Date]])</f>
        <v>10</v>
      </c>
      <c r="D515" t="s">
        <v>30</v>
      </c>
      <c r="E515" t="s">
        <v>44</v>
      </c>
      <c r="F515" t="s">
        <v>11</v>
      </c>
      <c r="G515" t="s">
        <v>35</v>
      </c>
      <c r="H515" t="s">
        <v>71</v>
      </c>
      <c r="I515" s="2">
        <v>2474.3000000000002</v>
      </c>
      <c r="J515" s="3">
        <v>5</v>
      </c>
      <c r="K515" s="2">
        <v>641.85</v>
      </c>
    </row>
    <row r="516" spans="1:11" x14ac:dyDescent="0.25">
      <c r="A516" s="4">
        <v>41935</v>
      </c>
      <c r="B516" s="3">
        <f>YEAR(SalesData[[#This Row],[Order Date]])</f>
        <v>2014</v>
      </c>
      <c r="C516" s="3">
        <f>MONTH(SalesData[[#This Row],[Order Date]])</f>
        <v>10</v>
      </c>
      <c r="D516" t="s">
        <v>47</v>
      </c>
      <c r="E516" t="s">
        <v>40</v>
      </c>
      <c r="F516" t="s">
        <v>11</v>
      </c>
      <c r="G516" t="s">
        <v>21</v>
      </c>
      <c r="H516" t="s">
        <v>22</v>
      </c>
      <c r="I516" s="2">
        <v>462.9</v>
      </c>
      <c r="J516" s="3">
        <v>9</v>
      </c>
      <c r="K516" s="2">
        <v>107.22</v>
      </c>
    </row>
    <row r="517" spans="1:11" x14ac:dyDescent="0.25">
      <c r="A517" s="4">
        <v>41936</v>
      </c>
      <c r="B517" s="3">
        <f>YEAR(SalesData[[#This Row],[Order Date]])</f>
        <v>2014</v>
      </c>
      <c r="C517" s="3">
        <f>MONTH(SalesData[[#This Row],[Order Date]])</f>
        <v>10</v>
      </c>
      <c r="D517" t="s">
        <v>68</v>
      </c>
      <c r="E517" t="s">
        <v>19</v>
      </c>
      <c r="F517" t="s">
        <v>11</v>
      </c>
      <c r="G517" t="s">
        <v>21</v>
      </c>
      <c r="H517" t="s">
        <v>67</v>
      </c>
      <c r="I517" s="2">
        <v>2300.94</v>
      </c>
      <c r="J517" s="3">
        <v>8</v>
      </c>
      <c r="K517" s="2">
        <v>662.67</v>
      </c>
    </row>
    <row r="518" spans="1:11" x14ac:dyDescent="0.25">
      <c r="A518" s="4">
        <v>41936</v>
      </c>
      <c r="B518" s="3">
        <f>YEAR(SalesData[[#This Row],[Order Date]])</f>
        <v>2014</v>
      </c>
      <c r="C518" s="3">
        <f>MONTH(SalesData[[#This Row],[Order Date]])</f>
        <v>10</v>
      </c>
      <c r="D518" t="s">
        <v>23</v>
      </c>
      <c r="E518" t="s">
        <v>34</v>
      </c>
      <c r="F518" t="s">
        <v>15</v>
      </c>
      <c r="G518" t="s">
        <v>41</v>
      </c>
      <c r="H518" t="s">
        <v>42</v>
      </c>
      <c r="I518" s="2">
        <v>3037.98</v>
      </c>
      <c r="J518" s="3">
        <v>5</v>
      </c>
      <c r="K518" s="2">
        <v>499.04</v>
      </c>
    </row>
    <row r="519" spans="1:11" x14ac:dyDescent="0.25">
      <c r="A519" s="4">
        <v>41937</v>
      </c>
      <c r="B519" s="3">
        <f>YEAR(SalesData[[#This Row],[Order Date]])</f>
        <v>2014</v>
      </c>
      <c r="C519" s="3">
        <f>MONTH(SalesData[[#This Row],[Order Date]])</f>
        <v>10</v>
      </c>
      <c r="D519" t="s">
        <v>55</v>
      </c>
      <c r="E519" t="s">
        <v>10</v>
      </c>
      <c r="F519" t="s">
        <v>27</v>
      </c>
      <c r="G519" t="s">
        <v>28</v>
      </c>
      <c r="H519" t="s">
        <v>29</v>
      </c>
      <c r="I519" s="2">
        <v>2124.33</v>
      </c>
      <c r="J519" s="3">
        <v>10</v>
      </c>
      <c r="K519" s="2">
        <v>628.20000000000005</v>
      </c>
    </row>
    <row r="520" spans="1:11" x14ac:dyDescent="0.25">
      <c r="A520" s="4">
        <v>41937</v>
      </c>
      <c r="B520" s="3">
        <f>YEAR(SalesData[[#This Row],[Order Date]])</f>
        <v>2014</v>
      </c>
      <c r="C520" s="3">
        <f>MONTH(SalesData[[#This Row],[Order Date]])</f>
        <v>10</v>
      </c>
      <c r="D520" t="s">
        <v>47</v>
      </c>
      <c r="E520" t="s">
        <v>37</v>
      </c>
      <c r="F520" t="s">
        <v>27</v>
      </c>
      <c r="G520" t="s">
        <v>32</v>
      </c>
      <c r="H520" t="s">
        <v>33</v>
      </c>
      <c r="I520" s="2">
        <v>3738.59</v>
      </c>
      <c r="J520" s="3">
        <v>4</v>
      </c>
      <c r="K520" s="2">
        <v>891.05</v>
      </c>
    </row>
    <row r="521" spans="1:11" x14ac:dyDescent="0.25">
      <c r="A521" s="4">
        <v>41937</v>
      </c>
      <c r="B521" s="3">
        <f>YEAR(SalesData[[#This Row],[Order Date]])</f>
        <v>2014</v>
      </c>
      <c r="C521" s="3">
        <f>MONTH(SalesData[[#This Row],[Order Date]])</f>
        <v>10</v>
      </c>
      <c r="D521" t="s">
        <v>50</v>
      </c>
      <c r="E521" t="s">
        <v>19</v>
      </c>
      <c r="F521" t="s">
        <v>15</v>
      </c>
      <c r="G521" t="s">
        <v>16</v>
      </c>
      <c r="H521" t="s">
        <v>51</v>
      </c>
      <c r="I521" s="2">
        <v>3073.37</v>
      </c>
      <c r="J521" s="3">
        <v>10</v>
      </c>
      <c r="K521" s="2">
        <v>875.06</v>
      </c>
    </row>
    <row r="522" spans="1:11" x14ac:dyDescent="0.25">
      <c r="A522" s="4">
        <v>41938</v>
      </c>
      <c r="B522" s="3">
        <f>YEAR(SalesData[[#This Row],[Order Date]])</f>
        <v>2014</v>
      </c>
      <c r="C522" s="3">
        <f>MONTH(SalesData[[#This Row],[Order Date]])</f>
        <v>10</v>
      </c>
      <c r="D522" t="s">
        <v>20</v>
      </c>
      <c r="E522" t="s">
        <v>40</v>
      </c>
      <c r="F522" t="s">
        <v>11</v>
      </c>
      <c r="G522" t="s">
        <v>35</v>
      </c>
      <c r="H522" t="s">
        <v>36</v>
      </c>
      <c r="I522" s="2">
        <v>3629.3</v>
      </c>
      <c r="J522" s="3">
        <v>1</v>
      </c>
      <c r="K522" s="2">
        <v>464.42</v>
      </c>
    </row>
    <row r="523" spans="1:11" x14ac:dyDescent="0.25">
      <c r="A523" s="4">
        <v>41939</v>
      </c>
      <c r="B523" s="3">
        <f>YEAR(SalesData[[#This Row],[Order Date]])</f>
        <v>2014</v>
      </c>
      <c r="C523" s="3">
        <f>MONTH(SalesData[[#This Row],[Order Date]])</f>
        <v>10</v>
      </c>
      <c r="D523" t="s">
        <v>55</v>
      </c>
      <c r="E523" t="s">
        <v>34</v>
      </c>
      <c r="F523" t="s">
        <v>11</v>
      </c>
      <c r="G523" t="s">
        <v>24</v>
      </c>
      <c r="H523" t="s">
        <v>25</v>
      </c>
      <c r="I523" s="2">
        <v>4278.74</v>
      </c>
      <c r="J523" s="3">
        <v>6</v>
      </c>
      <c r="K523" s="2">
        <v>965.76</v>
      </c>
    </row>
    <row r="524" spans="1:11" x14ac:dyDescent="0.25">
      <c r="A524" s="4">
        <v>41939</v>
      </c>
      <c r="B524" s="3">
        <f>YEAR(SalesData[[#This Row],[Order Date]])</f>
        <v>2014</v>
      </c>
      <c r="C524" s="3">
        <f>MONTH(SalesData[[#This Row],[Order Date]])</f>
        <v>10</v>
      </c>
      <c r="D524" t="s">
        <v>47</v>
      </c>
      <c r="E524" t="s">
        <v>19</v>
      </c>
      <c r="F524" t="s">
        <v>27</v>
      </c>
      <c r="G524" t="s">
        <v>48</v>
      </c>
      <c r="H524" t="s">
        <v>49</v>
      </c>
      <c r="I524" s="2">
        <v>3520.19</v>
      </c>
      <c r="J524" s="3">
        <v>4</v>
      </c>
      <c r="K524" s="2">
        <v>546.89</v>
      </c>
    </row>
    <row r="525" spans="1:11" x14ac:dyDescent="0.25">
      <c r="A525" s="4">
        <v>41939</v>
      </c>
      <c r="B525" s="3">
        <f>YEAR(SalesData[[#This Row],[Order Date]])</f>
        <v>2014</v>
      </c>
      <c r="C525" s="3">
        <f>MONTH(SalesData[[#This Row],[Order Date]])</f>
        <v>10</v>
      </c>
      <c r="D525" t="s">
        <v>55</v>
      </c>
      <c r="E525" t="s">
        <v>44</v>
      </c>
      <c r="F525" t="s">
        <v>15</v>
      </c>
      <c r="G525" t="s">
        <v>63</v>
      </c>
      <c r="H525" t="s">
        <v>66</v>
      </c>
      <c r="I525" s="2">
        <v>2768.49</v>
      </c>
      <c r="J525" s="3">
        <v>3</v>
      </c>
      <c r="K525" s="2">
        <v>62.03</v>
      </c>
    </row>
    <row r="526" spans="1:11" x14ac:dyDescent="0.25">
      <c r="A526" s="4">
        <v>41939</v>
      </c>
      <c r="B526" s="3">
        <f>YEAR(SalesData[[#This Row],[Order Date]])</f>
        <v>2014</v>
      </c>
      <c r="C526" s="3">
        <f>MONTH(SalesData[[#This Row],[Order Date]])</f>
        <v>10</v>
      </c>
      <c r="D526" t="s">
        <v>14</v>
      </c>
      <c r="E526" t="s">
        <v>10</v>
      </c>
      <c r="F526" t="s">
        <v>27</v>
      </c>
      <c r="G526" t="s">
        <v>48</v>
      </c>
      <c r="H526" t="s">
        <v>57</v>
      </c>
      <c r="I526" s="2">
        <v>4768.1400000000003</v>
      </c>
      <c r="J526" s="3">
        <v>9</v>
      </c>
      <c r="K526" s="2">
        <v>1344.99</v>
      </c>
    </row>
    <row r="527" spans="1:11" x14ac:dyDescent="0.25">
      <c r="A527" s="4">
        <v>41939</v>
      </c>
      <c r="B527" s="3">
        <f>YEAR(SalesData[[#This Row],[Order Date]])</f>
        <v>2014</v>
      </c>
      <c r="C527" s="3">
        <f>MONTH(SalesData[[#This Row],[Order Date]])</f>
        <v>10</v>
      </c>
      <c r="D527" t="s">
        <v>50</v>
      </c>
      <c r="E527" t="s">
        <v>44</v>
      </c>
      <c r="F527" t="s">
        <v>27</v>
      </c>
      <c r="G527" t="s">
        <v>28</v>
      </c>
      <c r="H527" t="s">
        <v>69</v>
      </c>
      <c r="I527" s="2">
        <v>1010.75</v>
      </c>
      <c r="J527" s="3">
        <v>1</v>
      </c>
      <c r="K527" s="2">
        <v>158.02000000000001</v>
      </c>
    </row>
    <row r="528" spans="1:11" x14ac:dyDescent="0.25">
      <c r="A528" s="4">
        <v>41939</v>
      </c>
      <c r="B528" s="3">
        <f>YEAR(SalesData[[#This Row],[Order Date]])</f>
        <v>2014</v>
      </c>
      <c r="C528" s="3">
        <f>MONTH(SalesData[[#This Row],[Order Date]])</f>
        <v>10</v>
      </c>
      <c r="D528" t="s">
        <v>9</v>
      </c>
      <c r="E528" t="s">
        <v>40</v>
      </c>
      <c r="F528" t="s">
        <v>15</v>
      </c>
      <c r="G528" t="s">
        <v>45</v>
      </c>
      <c r="H528" t="s">
        <v>46</v>
      </c>
      <c r="I528" s="2">
        <v>3265.81</v>
      </c>
      <c r="J528" s="3">
        <v>6</v>
      </c>
      <c r="K528" s="2">
        <v>175.67</v>
      </c>
    </row>
    <row r="529" spans="1:11" x14ac:dyDescent="0.25">
      <c r="A529" s="4">
        <v>41940</v>
      </c>
      <c r="B529" s="3">
        <f>YEAR(SalesData[[#This Row],[Order Date]])</f>
        <v>2014</v>
      </c>
      <c r="C529" s="3">
        <f>MONTH(SalesData[[#This Row],[Order Date]])</f>
        <v>10</v>
      </c>
      <c r="D529" t="s">
        <v>55</v>
      </c>
      <c r="E529" t="s">
        <v>60</v>
      </c>
      <c r="F529" t="s">
        <v>15</v>
      </c>
      <c r="G529" t="s">
        <v>41</v>
      </c>
      <c r="H529" t="s">
        <v>42</v>
      </c>
      <c r="I529" s="2">
        <v>4817.8999999999996</v>
      </c>
      <c r="J529" s="3">
        <v>2</v>
      </c>
      <c r="K529" s="2">
        <v>956.37</v>
      </c>
    </row>
    <row r="530" spans="1:11" x14ac:dyDescent="0.25">
      <c r="A530" s="4">
        <v>41940</v>
      </c>
      <c r="B530" s="3">
        <f>YEAR(SalesData[[#This Row],[Order Date]])</f>
        <v>2014</v>
      </c>
      <c r="C530" s="3">
        <f>MONTH(SalesData[[#This Row],[Order Date]])</f>
        <v>10</v>
      </c>
      <c r="D530" t="s">
        <v>62</v>
      </c>
      <c r="E530" t="s">
        <v>19</v>
      </c>
      <c r="F530" t="s">
        <v>11</v>
      </c>
      <c r="G530" t="s">
        <v>35</v>
      </c>
      <c r="H530" t="s">
        <v>36</v>
      </c>
      <c r="I530" s="2">
        <v>1673.48</v>
      </c>
      <c r="J530" s="3">
        <v>7</v>
      </c>
      <c r="K530" s="2">
        <v>275.52</v>
      </c>
    </row>
    <row r="531" spans="1:11" x14ac:dyDescent="0.25">
      <c r="A531" s="4">
        <v>41943</v>
      </c>
      <c r="B531" s="3">
        <f>YEAR(SalesData[[#This Row],[Order Date]])</f>
        <v>2014</v>
      </c>
      <c r="C531" s="3">
        <f>MONTH(SalesData[[#This Row],[Order Date]])</f>
        <v>10</v>
      </c>
      <c r="D531" t="s">
        <v>62</v>
      </c>
      <c r="E531" t="s">
        <v>40</v>
      </c>
      <c r="F531" t="s">
        <v>11</v>
      </c>
      <c r="G531" t="s">
        <v>35</v>
      </c>
      <c r="H531" t="s">
        <v>36</v>
      </c>
      <c r="I531" s="2">
        <v>3844.85</v>
      </c>
      <c r="J531" s="3">
        <v>5</v>
      </c>
      <c r="K531" s="2">
        <v>337.62</v>
      </c>
    </row>
    <row r="532" spans="1:11" x14ac:dyDescent="0.25">
      <c r="A532" s="4">
        <v>41944</v>
      </c>
      <c r="B532" s="3">
        <f>YEAR(SalesData[[#This Row],[Order Date]])</f>
        <v>2014</v>
      </c>
      <c r="C532" s="3">
        <f>MONTH(SalesData[[#This Row],[Order Date]])</f>
        <v>11</v>
      </c>
      <c r="D532" t="s">
        <v>9</v>
      </c>
      <c r="E532" t="s">
        <v>26</v>
      </c>
      <c r="F532" t="s">
        <v>27</v>
      </c>
      <c r="G532" t="s">
        <v>32</v>
      </c>
      <c r="H532" t="s">
        <v>33</v>
      </c>
      <c r="I532" s="2">
        <v>431.47</v>
      </c>
      <c r="J532" s="3">
        <v>9</v>
      </c>
      <c r="K532" s="2">
        <v>71.290000000000006</v>
      </c>
    </row>
    <row r="533" spans="1:11" x14ac:dyDescent="0.25">
      <c r="A533" s="4">
        <v>41944</v>
      </c>
      <c r="B533" s="3">
        <f>YEAR(SalesData[[#This Row],[Order Date]])</f>
        <v>2014</v>
      </c>
      <c r="C533" s="3">
        <f>MONTH(SalesData[[#This Row],[Order Date]])</f>
        <v>11</v>
      </c>
      <c r="D533" t="s">
        <v>9</v>
      </c>
      <c r="E533" t="s">
        <v>19</v>
      </c>
      <c r="F533" t="s">
        <v>27</v>
      </c>
      <c r="G533" t="s">
        <v>48</v>
      </c>
      <c r="H533" t="s">
        <v>57</v>
      </c>
      <c r="I533" s="2">
        <v>3759.12</v>
      </c>
      <c r="J533" s="3">
        <v>7</v>
      </c>
      <c r="K533" s="2">
        <v>500.67</v>
      </c>
    </row>
    <row r="534" spans="1:11" x14ac:dyDescent="0.25">
      <c r="A534" s="4">
        <v>41945</v>
      </c>
      <c r="B534" s="3">
        <f>YEAR(SalesData[[#This Row],[Order Date]])</f>
        <v>2014</v>
      </c>
      <c r="C534" s="3">
        <f>MONTH(SalesData[[#This Row],[Order Date]])</f>
        <v>11</v>
      </c>
      <c r="D534" t="s">
        <v>9</v>
      </c>
      <c r="E534" t="s">
        <v>10</v>
      </c>
      <c r="F534" t="s">
        <v>11</v>
      </c>
      <c r="G534" t="s">
        <v>21</v>
      </c>
      <c r="H534" t="s">
        <v>67</v>
      </c>
      <c r="I534" s="2">
        <v>4322.01</v>
      </c>
      <c r="J534" s="3">
        <v>10</v>
      </c>
      <c r="K534" s="2">
        <v>23.14</v>
      </c>
    </row>
    <row r="535" spans="1:11" x14ac:dyDescent="0.25">
      <c r="A535" s="4">
        <v>41945</v>
      </c>
      <c r="B535" s="3">
        <f>YEAR(SalesData[[#This Row],[Order Date]])</f>
        <v>2014</v>
      </c>
      <c r="C535" s="3">
        <f>MONTH(SalesData[[#This Row],[Order Date]])</f>
        <v>11</v>
      </c>
      <c r="D535" t="s">
        <v>68</v>
      </c>
      <c r="E535" t="s">
        <v>34</v>
      </c>
      <c r="F535" t="s">
        <v>15</v>
      </c>
      <c r="G535" t="s">
        <v>41</v>
      </c>
      <c r="H535" t="s">
        <v>61</v>
      </c>
      <c r="I535" s="2">
        <v>1563.23</v>
      </c>
      <c r="J535" s="3">
        <v>9</v>
      </c>
      <c r="K535" s="2">
        <v>239.4</v>
      </c>
    </row>
    <row r="536" spans="1:11" x14ac:dyDescent="0.25">
      <c r="A536" s="4">
        <v>41946</v>
      </c>
      <c r="B536" s="3">
        <f>YEAR(SalesData[[#This Row],[Order Date]])</f>
        <v>2014</v>
      </c>
      <c r="C536" s="3">
        <f>MONTH(SalesData[[#This Row],[Order Date]])</f>
        <v>11</v>
      </c>
      <c r="D536" t="s">
        <v>50</v>
      </c>
      <c r="E536" t="s">
        <v>10</v>
      </c>
      <c r="F536" t="s">
        <v>27</v>
      </c>
      <c r="G536" t="s">
        <v>48</v>
      </c>
      <c r="H536" t="s">
        <v>49</v>
      </c>
      <c r="I536" s="2">
        <v>3838.29</v>
      </c>
      <c r="J536" s="3">
        <v>2</v>
      </c>
      <c r="K536" s="2">
        <v>657.04</v>
      </c>
    </row>
    <row r="537" spans="1:11" x14ac:dyDescent="0.25">
      <c r="A537" s="4">
        <v>41946</v>
      </c>
      <c r="B537" s="3">
        <f>YEAR(SalesData[[#This Row],[Order Date]])</f>
        <v>2014</v>
      </c>
      <c r="C537" s="3">
        <f>MONTH(SalesData[[#This Row],[Order Date]])</f>
        <v>11</v>
      </c>
      <c r="D537" t="s">
        <v>30</v>
      </c>
      <c r="E537" t="s">
        <v>26</v>
      </c>
      <c r="F537" t="s">
        <v>15</v>
      </c>
      <c r="G537" t="s">
        <v>16</v>
      </c>
      <c r="H537" t="s">
        <v>17</v>
      </c>
      <c r="I537" s="2">
        <v>4085.38</v>
      </c>
      <c r="J537" s="3">
        <v>8</v>
      </c>
      <c r="K537" s="2">
        <v>195.39</v>
      </c>
    </row>
    <row r="538" spans="1:11" x14ac:dyDescent="0.25">
      <c r="A538" s="4">
        <v>41946</v>
      </c>
      <c r="B538" s="3">
        <f>YEAR(SalesData[[#This Row],[Order Date]])</f>
        <v>2014</v>
      </c>
      <c r="C538" s="3">
        <f>MONTH(SalesData[[#This Row],[Order Date]])</f>
        <v>11</v>
      </c>
      <c r="D538" t="s">
        <v>23</v>
      </c>
      <c r="E538" t="s">
        <v>26</v>
      </c>
      <c r="F538" t="s">
        <v>11</v>
      </c>
      <c r="G538" t="s">
        <v>12</v>
      </c>
      <c r="H538" t="s">
        <v>65</v>
      </c>
      <c r="I538" s="2">
        <v>4772.8100000000004</v>
      </c>
      <c r="J538" s="3">
        <v>6</v>
      </c>
      <c r="K538" s="2">
        <v>672.85</v>
      </c>
    </row>
    <row r="539" spans="1:11" x14ac:dyDescent="0.25">
      <c r="A539" s="4">
        <v>41946</v>
      </c>
      <c r="B539" s="3">
        <f>YEAR(SalesData[[#This Row],[Order Date]])</f>
        <v>2014</v>
      </c>
      <c r="C539" s="3">
        <f>MONTH(SalesData[[#This Row],[Order Date]])</f>
        <v>11</v>
      </c>
      <c r="D539" t="s">
        <v>14</v>
      </c>
      <c r="E539" t="s">
        <v>19</v>
      </c>
      <c r="F539" t="s">
        <v>11</v>
      </c>
      <c r="G539" t="s">
        <v>35</v>
      </c>
      <c r="H539" t="s">
        <v>70</v>
      </c>
      <c r="I539" s="2">
        <v>1989.74</v>
      </c>
      <c r="J539" s="3">
        <v>3</v>
      </c>
      <c r="K539" s="2">
        <v>199.13</v>
      </c>
    </row>
    <row r="540" spans="1:11" x14ac:dyDescent="0.25">
      <c r="A540" s="4">
        <v>41947</v>
      </c>
      <c r="B540" s="3">
        <f>YEAR(SalesData[[#This Row],[Order Date]])</f>
        <v>2014</v>
      </c>
      <c r="C540" s="3">
        <f>MONTH(SalesData[[#This Row],[Order Date]])</f>
        <v>11</v>
      </c>
      <c r="D540" t="s">
        <v>43</v>
      </c>
      <c r="E540" t="s">
        <v>52</v>
      </c>
      <c r="F540" t="s">
        <v>15</v>
      </c>
      <c r="G540" t="s">
        <v>63</v>
      </c>
      <c r="H540" t="s">
        <v>66</v>
      </c>
      <c r="I540" s="2">
        <v>4106.49</v>
      </c>
      <c r="J540" s="3">
        <v>10</v>
      </c>
      <c r="K540" s="2">
        <v>1192.52</v>
      </c>
    </row>
    <row r="541" spans="1:11" x14ac:dyDescent="0.25">
      <c r="A541" s="4">
        <v>41947</v>
      </c>
      <c r="B541" s="3">
        <f>YEAR(SalesData[[#This Row],[Order Date]])</f>
        <v>2014</v>
      </c>
      <c r="C541" s="3">
        <f>MONTH(SalesData[[#This Row],[Order Date]])</f>
        <v>11</v>
      </c>
      <c r="D541" t="s">
        <v>20</v>
      </c>
      <c r="E541" t="s">
        <v>19</v>
      </c>
      <c r="F541" t="s">
        <v>15</v>
      </c>
      <c r="G541" t="s">
        <v>16</v>
      </c>
      <c r="H541" t="s">
        <v>17</v>
      </c>
      <c r="I541" s="2">
        <v>3030.74</v>
      </c>
      <c r="J541" s="3">
        <v>6</v>
      </c>
      <c r="K541" s="2">
        <v>642.29999999999995</v>
      </c>
    </row>
    <row r="542" spans="1:11" x14ac:dyDescent="0.25">
      <c r="A542" s="4">
        <v>41948</v>
      </c>
      <c r="B542" s="3">
        <f>YEAR(SalesData[[#This Row],[Order Date]])</f>
        <v>2014</v>
      </c>
      <c r="C542" s="3">
        <f>MONTH(SalesData[[#This Row],[Order Date]])</f>
        <v>11</v>
      </c>
      <c r="D542" t="s">
        <v>55</v>
      </c>
      <c r="E542" t="s">
        <v>19</v>
      </c>
      <c r="F542" t="s">
        <v>27</v>
      </c>
      <c r="G542" t="s">
        <v>32</v>
      </c>
      <c r="H542" t="s">
        <v>53</v>
      </c>
      <c r="I542" s="2">
        <v>2355.16</v>
      </c>
      <c r="J542" s="3">
        <v>1</v>
      </c>
      <c r="K542" s="2">
        <v>704.32</v>
      </c>
    </row>
    <row r="543" spans="1:11" x14ac:dyDescent="0.25">
      <c r="A543" s="4">
        <v>41950</v>
      </c>
      <c r="B543" s="3">
        <f>YEAR(SalesData[[#This Row],[Order Date]])</f>
        <v>2014</v>
      </c>
      <c r="C543" s="3">
        <f>MONTH(SalesData[[#This Row],[Order Date]])</f>
        <v>11</v>
      </c>
      <c r="D543" t="s">
        <v>68</v>
      </c>
      <c r="E543" t="s">
        <v>44</v>
      </c>
      <c r="F543" t="s">
        <v>11</v>
      </c>
      <c r="G543" t="s">
        <v>12</v>
      </c>
      <c r="H543" t="s">
        <v>65</v>
      </c>
      <c r="I543" s="2">
        <v>3575.97</v>
      </c>
      <c r="J543" s="3">
        <v>4</v>
      </c>
      <c r="K543" s="2">
        <v>356.12</v>
      </c>
    </row>
    <row r="544" spans="1:11" x14ac:dyDescent="0.25">
      <c r="A544" s="4">
        <v>41950</v>
      </c>
      <c r="B544" s="3">
        <f>YEAR(SalesData[[#This Row],[Order Date]])</f>
        <v>2014</v>
      </c>
      <c r="C544" s="3">
        <f>MONTH(SalesData[[#This Row],[Order Date]])</f>
        <v>11</v>
      </c>
      <c r="D544" t="s">
        <v>9</v>
      </c>
      <c r="E544" t="s">
        <v>34</v>
      </c>
      <c r="F544" t="s">
        <v>27</v>
      </c>
      <c r="G544" t="s">
        <v>48</v>
      </c>
      <c r="H544" t="s">
        <v>49</v>
      </c>
      <c r="I544" s="2">
        <v>3833.62</v>
      </c>
      <c r="J544" s="3">
        <v>9</v>
      </c>
      <c r="K544" s="2">
        <v>399.88</v>
      </c>
    </row>
    <row r="545" spans="1:11" x14ac:dyDescent="0.25">
      <c r="A545" s="4">
        <v>41950</v>
      </c>
      <c r="B545" s="3">
        <f>YEAR(SalesData[[#This Row],[Order Date]])</f>
        <v>2014</v>
      </c>
      <c r="C545" s="3">
        <f>MONTH(SalesData[[#This Row],[Order Date]])</f>
        <v>11</v>
      </c>
      <c r="D545" t="s">
        <v>18</v>
      </c>
      <c r="E545" t="s">
        <v>52</v>
      </c>
      <c r="F545" t="s">
        <v>11</v>
      </c>
      <c r="G545" t="s">
        <v>12</v>
      </c>
      <c r="H545" t="s">
        <v>13</v>
      </c>
      <c r="I545" s="2">
        <v>4139.32</v>
      </c>
      <c r="J545" s="3">
        <v>3</v>
      </c>
      <c r="K545" s="2">
        <v>798.52</v>
      </c>
    </row>
    <row r="546" spans="1:11" x14ac:dyDescent="0.25">
      <c r="A546" s="4">
        <v>41952</v>
      </c>
      <c r="B546" s="3">
        <f>YEAR(SalesData[[#This Row],[Order Date]])</f>
        <v>2014</v>
      </c>
      <c r="C546" s="3">
        <f>MONTH(SalesData[[#This Row],[Order Date]])</f>
        <v>11</v>
      </c>
      <c r="D546" t="s">
        <v>43</v>
      </c>
      <c r="E546" t="s">
        <v>52</v>
      </c>
      <c r="F546" t="s">
        <v>15</v>
      </c>
      <c r="G546" t="s">
        <v>16</v>
      </c>
      <c r="H546" t="s">
        <v>17</v>
      </c>
      <c r="I546" s="2">
        <v>2707.03</v>
      </c>
      <c r="J546" s="3">
        <v>9</v>
      </c>
      <c r="K546" s="2">
        <v>211.54</v>
      </c>
    </row>
    <row r="547" spans="1:11" x14ac:dyDescent="0.25">
      <c r="A547" s="4">
        <v>41954</v>
      </c>
      <c r="B547" s="3">
        <f>YEAR(SalesData[[#This Row],[Order Date]])</f>
        <v>2014</v>
      </c>
      <c r="C547" s="3">
        <f>MONTH(SalesData[[#This Row],[Order Date]])</f>
        <v>11</v>
      </c>
      <c r="D547" t="s">
        <v>20</v>
      </c>
      <c r="E547" t="s">
        <v>26</v>
      </c>
      <c r="F547" t="s">
        <v>27</v>
      </c>
      <c r="G547" t="s">
        <v>32</v>
      </c>
      <c r="H547" t="s">
        <v>33</v>
      </c>
      <c r="I547" s="2">
        <v>2042.74</v>
      </c>
      <c r="J547" s="3">
        <v>1</v>
      </c>
      <c r="K547" s="2">
        <v>375.74</v>
      </c>
    </row>
    <row r="548" spans="1:11" x14ac:dyDescent="0.25">
      <c r="A548" s="4">
        <v>41955</v>
      </c>
      <c r="B548" s="3">
        <f>YEAR(SalesData[[#This Row],[Order Date]])</f>
        <v>2014</v>
      </c>
      <c r="C548" s="3">
        <f>MONTH(SalesData[[#This Row],[Order Date]])</f>
        <v>11</v>
      </c>
      <c r="D548" t="s">
        <v>9</v>
      </c>
      <c r="E548" t="s">
        <v>10</v>
      </c>
      <c r="F548" t="s">
        <v>15</v>
      </c>
      <c r="G548" t="s">
        <v>45</v>
      </c>
      <c r="H548" t="s">
        <v>59</v>
      </c>
      <c r="I548" s="2">
        <v>1535.71</v>
      </c>
      <c r="J548" s="3">
        <v>8</v>
      </c>
      <c r="K548" s="2">
        <v>19.309999999999999</v>
      </c>
    </row>
    <row r="549" spans="1:11" x14ac:dyDescent="0.25">
      <c r="A549" s="4">
        <v>41955</v>
      </c>
      <c r="B549" s="3">
        <f>YEAR(SalesData[[#This Row],[Order Date]])</f>
        <v>2014</v>
      </c>
      <c r="C549" s="3">
        <f>MONTH(SalesData[[#This Row],[Order Date]])</f>
        <v>11</v>
      </c>
      <c r="D549" t="s">
        <v>30</v>
      </c>
      <c r="E549" t="s">
        <v>10</v>
      </c>
      <c r="F549" t="s">
        <v>11</v>
      </c>
      <c r="G549" t="s">
        <v>24</v>
      </c>
      <c r="H549" t="s">
        <v>25</v>
      </c>
      <c r="I549" s="2">
        <v>3858.02</v>
      </c>
      <c r="J549" s="3">
        <v>6</v>
      </c>
      <c r="K549" s="2">
        <v>600.14</v>
      </c>
    </row>
    <row r="550" spans="1:11" x14ac:dyDescent="0.25">
      <c r="A550" s="4">
        <v>41955</v>
      </c>
      <c r="B550" s="3">
        <f>YEAR(SalesData[[#This Row],[Order Date]])</f>
        <v>2014</v>
      </c>
      <c r="C550" s="3">
        <f>MONTH(SalesData[[#This Row],[Order Date]])</f>
        <v>11</v>
      </c>
      <c r="D550" t="s">
        <v>20</v>
      </c>
      <c r="E550" t="s">
        <v>26</v>
      </c>
      <c r="F550" t="s">
        <v>27</v>
      </c>
      <c r="G550" t="s">
        <v>32</v>
      </c>
      <c r="H550" t="s">
        <v>53</v>
      </c>
      <c r="I550" s="2">
        <v>4924.9799999999996</v>
      </c>
      <c r="J550" s="3">
        <v>4</v>
      </c>
      <c r="K550" s="2">
        <v>542.91999999999996</v>
      </c>
    </row>
    <row r="551" spans="1:11" x14ac:dyDescent="0.25">
      <c r="A551" s="4">
        <v>41955</v>
      </c>
      <c r="B551" s="3">
        <f>YEAR(SalesData[[#This Row],[Order Date]])</f>
        <v>2014</v>
      </c>
      <c r="C551" s="3">
        <f>MONTH(SalesData[[#This Row],[Order Date]])</f>
        <v>11</v>
      </c>
      <c r="D551" t="s">
        <v>43</v>
      </c>
      <c r="E551" t="s">
        <v>19</v>
      </c>
      <c r="F551" t="s">
        <v>11</v>
      </c>
      <c r="G551" t="s">
        <v>35</v>
      </c>
      <c r="H551" t="s">
        <v>36</v>
      </c>
      <c r="I551" s="2">
        <v>3117.22</v>
      </c>
      <c r="J551" s="3">
        <v>4</v>
      </c>
      <c r="K551" s="2">
        <v>289.10000000000002</v>
      </c>
    </row>
    <row r="552" spans="1:11" x14ac:dyDescent="0.25">
      <c r="A552" s="4">
        <v>41956</v>
      </c>
      <c r="B552" s="3">
        <f>YEAR(SalesData[[#This Row],[Order Date]])</f>
        <v>2014</v>
      </c>
      <c r="C552" s="3">
        <f>MONTH(SalesData[[#This Row],[Order Date]])</f>
        <v>11</v>
      </c>
      <c r="D552" t="s">
        <v>47</v>
      </c>
      <c r="E552" t="s">
        <v>26</v>
      </c>
      <c r="F552" t="s">
        <v>15</v>
      </c>
      <c r="G552" t="s">
        <v>41</v>
      </c>
      <c r="H552" t="s">
        <v>61</v>
      </c>
      <c r="I552" s="2">
        <v>192.14</v>
      </c>
      <c r="J552" s="3">
        <v>2</v>
      </c>
      <c r="K552" s="2">
        <v>4.0599999999999996</v>
      </c>
    </row>
    <row r="553" spans="1:11" x14ac:dyDescent="0.25">
      <c r="A553" s="4">
        <v>41957</v>
      </c>
      <c r="B553" s="3">
        <f>YEAR(SalesData[[#This Row],[Order Date]])</f>
        <v>2014</v>
      </c>
      <c r="C553" s="3">
        <f>MONTH(SalesData[[#This Row],[Order Date]])</f>
        <v>11</v>
      </c>
      <c r="D553" t="s">
        <v>18</v>
      </c>
      <c r="E553" t="s">
        <v>44</v>
      </c>
      <c r="F553" t="s">
        <v>27</v>
      </c>
      <c r="G553" t="s">
        <v>32</v>
      </c>
      <c r="H553" t="s">
        <v>53</v>
      </c>
      <c r="I553" s="2">
        <v>4251.92</v>
      </c>
      <c r="J553" s="3">
        <v>1</v>
      </c>
      <c r="K553" s="2">
        <v>466.57</v>
      </c>
    </row>
    <row r="554" spans="1:11" x14ac:dyDescent="0.25">
      <c r="A554" s="4">
        <v>41958</v>
      </c>
      <c r="B554" s="3">
        <f>YEAR(SalesData[[#This Row],[Order Date]])</f>
        <v>2014</v>
      </c>
      <c r="C554" s="3">
        <f>MONTH(SalesData[[#This Row],[Order Date]])</f>
        <v>11</v>
      </c>
      <c r="D554" t="s">
        <v>23</v>
      </c>
      <c r="E554" t="s">
        <v>44</v>
      </c>
      <c r="F554" t="s">
        <v>11</v>
      </c>
      <c r="G554" t="s">
        <v>35</v>
      </c>
      <c r="H554" t="s">
        <v>70</v>
      </c>
      <c r="I554" s="2">
        <v>351.11</v>
      </c>
      <c r="J554" s="3">
        <v>4</v>
      </c>
      <c r="K554" s="2">
        <v>14.36</v>
      </c>
    </row>
    <row r="555" spans="1:11" x14ac:dyDescent="0.25">
      <c r="A555" s="4">
        <v>41959</v>
      </c>
      <c r="B555" s="3">
        <f>YEAR(SalesData[[#This Row],[Order Date]])</f>
        <v>2014</v>
      </c>
      <c r="C555" s="3">
        <f>MONTH(SalesData[[#This Row],[Order Date]])</f>
        <v>11</v>
      </c>
      <c r="D555" t="s">
        <v>23</v>
      </c>
      <c r="E555" t="s">
        <v>34</v>
      </c>
      <c r="F555" t="s">
        <v>15</v>
      </c>
      <c r="G555" t="s">
        <v>45</v>
      </c>
      <c r="H555" t="s">
        <v>59</v>
      </c>
      <c r="I555" s="2">
        <v>3147.67</v>
      </c>
      <c r="J555" s="3">
        <v>8</v>
      </c>
      <c r="K555" s="2">
        <v>705.64</v>
      </c>
    </row>
    <row r="556" spans="1:11" x14ac:dyDescent="0.25">
      <c r="A556" s="4">
        <v>41959</v>
      </c>
      <c r="B556" s="3">
        <f>YEAR(SalesData[[#This Row],[Order Date]])</f>
        <v>2014</v>
      </c>
      <c r="C556" s="3">
        <f>MONTH(SalesData[[#This Row],[Order Date]])</f>
        <v>11</v>
      </c>
      <c r="D556" t="s">
        <v>23</v>
      </c>
      <c r="E556" t="s">
        <v>37</v>
      </c>
      <c r="F556" t="s">
        <v>11</v>
      </c>
      <c r="G556" t="s">
        <v>21</v>
      </c>
      <c r="H556" t="s">
        <v>22</v>
      </c>
      <c r="I556" s="2">
        <v>4614.2</v>
      </c>
      <c r="J556" s="3">
        <v>3</v>
      </c>
      <c r="K556" s="2">
        <v>745.3</v>
      </c>
    </row>
    <row r="557" spans="1:11" x14ac:dyDescent="0.25">
      <c r="A557" s="4">
        <v>41959</v>
      </c>
      <c r="B557" s="3">
        <f>YEAR(SalesData[[#This Row],[Order Date]])</f>
        <v>2014</v>
      </c>
      <c r="C557" s="3">
        <f>MONTH(SalesData[[#This Row],[Order Date]])</f>
        <v>11</v>
      </c>
      <c r="D557" t="s">
        <v>23</v>
      </c>
      <c r="E557" t="s">
        <v>19</v>
      </c>
      <c r="F557" t="s">
        <v>27</v>
      </c>
      <c r="G557" t="s">
        <v>48</v>
      </c>
      <c r="H557" t="s">
        <v>57</v>
      </c>
      <c r="I557" s="2">
        <v>4835.8100000000004</v>
      </c>
      <c r="J557" s="3">
        <v>3</v>
      </c>
      <c r="K557" s="2">
        <v>1262.82</v>
      </c>
    </row>
    <row r="558" spans="1:11" x14ac:dyDescent="0.25">
      <c r="A558" s="4">
        <v>41961</v>
      </c>
      <c r="B558" s="3">
        <f>YEAR(SalesData[[#This Row],[Order Date]])</f>
        <v>2014</v>
      </c>
      <c r="C558" s="3">
        <f>MONTH(SalesData[[#This Row],[Order Date]])</f>
        <v>11</v>
      </c>
      <c r="D558" t="s">
        <v>30</v>
      </c>
      <c r="E558" t="s">
        <v>31</v>
      </c>
      <c r="F558" t="s">
        <v>27</v>
      </c>
      <c r="G558" t="s">
        <v>28</v>
      </c>
      <c r="H558" t="s">
        <v>58</v>
      </c>
      <c r="I558" s="2">
        <v>3049.17</v>
      </c>
      <c r="J558" s="3">
        <v>10</v>
      </c>
      <c r="K558" s="2">
        <v>39.5</v>
      </c>
    </row>
    <row r="559" spans="1:11" x14ac:dyDescent="0.25">
      <c r="A559" s="4">
        <v>41961</v>
      </c>
      <c r="B559" s="3">
        <f>YEAR(SalesData[[#This Row],[Order Date]])</f>
        <v>2014</v>
      </c>
      <c r="C559" s="3">
        <f>MONTH(SalesData[[#This Row],[Order Date]])</f>
        <v>11</v>
      </c>
      <c r="D559" t="s">
        <v>50</v>
      </c>
      <c r="E559" t="s">
        <v>60</v>
      </c>
      <c r="F559" t="s">
        <v>27</v>
      </c>
      <c r="G559" t="s">
        <v>32</v>
      </c>
      <c r="H559" t="s">
        <v>33</v>
      </c>
      <c r="I559" s="2">
        <v>1372.25</v>
      </c>
      <c r="J559" s="3">
        <v>5</v>
      </c>
      <c r="K559" s="2">
        <v>352.12</v>
      </c>
    </row>
    <row r="560" spans="1:11" x14ac:dyDescent="0.25">
      <c r="A560" s="4">
        <v>41962</v>
      </c>
      <c r="B560" s="3">
        <f>YEAR(SalesData[[#This Row],[Order Date]])</f>
        <v>2014</v>
      </c>
      <c r="C560" s="3">
        <f>MONTH(SalesData[[#This Row],[Order Date]])</f>
        <v>11</v>
      </c>
      <c r="D560" t="s">
        <v>30</v>
      </c>
      <c r="E560" t="s">
        <v>19</v>
      </c>
      <c r="F560" t="s">
        <v>27</v>
      </c>
      <c r="G560" t="s">
        <v>32</v>
      </c>
      <c r="H560" t="s">
        <v>33</v>
      </c>
      <c r="I560" s="2">
        <v>401.85</v>
      </c>
      <c r="J560" s="3">
        <v>1</v>
      </c>
      <c r="K560" s="2">
        <v>85.81</v>
      </c>
    </row>
    <row r="561" spans="1:11" x14ac:dyDescent="0.25">
      <c r="A561" s="4">
        <v>41962</v>
      </c>
      <c r="B561" s="3">
        <f>YEAR(SalesData[[#This Row],[Order Date]])</f>
        <v>2014</v>
      </c>
      <c r="C561" s="3">
        <f>MONTH(SalesData[[#This Row],[Order Date]])</f>
        <v>11</v>
      </c>
      <c r="D561" t="s">
        <v>55</v>
      </c>
      <c r="E561" t="s">
        <v>26</v>
      </c>
      <c r="F561" t="s">
        <v>15</v>
      </c>
      <c r="G561" t="s">
        <v>16</v>
      </c>
      <c r="H561" t="s">
        <v>51</v>
      </c>
      <c r="I561" s="2">
        <v>3987.19</v>
      </c>
      <c r="J561" s="3">
        <v>7</v>
      </c>
      <c r="K561" s="2">
        <v>190.91</v>
      </c>
    </row>
    <row r="562" spans="1:11" x14ac:dyDescent="0.25">
      <c r="A562" s="4">
        <v>41963</v>
      </c>
      <c r="B562" s="3">
        <f>YEAR(SalesData[[#This Row],[Order Date]])</f>
        <v>2014</v>
      </c>
      <c r="C562" s="3">
        <f>MONTH(SalesData[[#This Row],[Order Date]])</f>
        <v>11</v>
      </c>
      <c r="D562" t="s">
        <v>9</v>
      </c>
      <c r="E562" t="s">
        <v>26</v>
      </c>
      <c r="F562" t="s">
        <v>15</v>
      </c>
      <c r="G562" t="s">
        <v>45</v>
      </c>
      <c r="H562" t="s">
        <v>59</v>
      </c>
      <c r="I562" s="2">
        <v>4374.7299999999996</v>
      </c>
      <c r="J562" s="3">
        <v>9</v>
      </c>
      <c r="K562" s="2">
        <v>42.09</v>
      </c>
    </row>
    <row r="563" spans="1:11" x14ac:dyDescent="0.25">
      <c r="A563" s="4">
        <v>41963</v>
      </c>
      <c r="B563" s="3">
        <f>YEAR(SalesData[[#This Row],[Order Date]])</f>
        <v>2014</v>
      </c>
      <c r="C563" s="3">
        <f>MONTH(SalesData[[#This Row],[Order Date]])</f>
        <v>11</v>
      </c>
      <c r="D563" t="s">
        <v>30</v>
      </c>
      <c r="E563" t="s">
        <v>60</v>
      </c>
      <c r="F563" t="s">
        <v>15</v>
      </c>
      <c r="G563" t="s">
        <v>16</v>
      </c>
      <c r="H563" t="s">
        <v>17</v>
      </c>
      <c r="I563" s="2">
        <v>75.58</v>
      </c>
      <c r="J563" s="3">
        <v>7</v>
      </c>
      <c r="K563" s="2">
        <v>11.28</v>
      </c>
    </row>
    <row r="564" spans="1:11" x14ac:dyDescent="0.25">
      <c r="A564" s="4">
        <v>41963</v>
      </c>
      <c r="B564" s="3">
        <f>YEAR(SalesData[[#This Row],[Order Date]])</f>
        <v>2014</v>
      </c>
      <c r="C564" s="3">
        <f>MONTH(SalesData[[#This Row],[Order Date]])</f>
        <v>11</v>
      </c>
      <c r="D564" t="s">
        <v>62</v>
      </c>
      <c r="E564" t="s">
        <v>44</v>
      </c>
      <c r="F564" t="s">
        <v>11</v>
      </c>
      <c r="G564" t="s">
        <v>35</v>
      </c>
      <c r="H564" t="s">
        <v>71</v>
      </c>
      <c r="I564" s="2">
        <v>1903.3</v>
      </c>
      <c r="J564" s="3">
        <v>4</v>
      </c>
      <c r="K564" s="2">
        <v>488.32</v>
      </c>
    </row>
    <row r="565" spans="1:11" x14ac:dyDescent="0.25">
      <c r="A565" s="4">
        <v>41964</v>
      </c>
      <c r="B565" s="3">
        <f>YEAR(SalesData[[#This Row],[Order Date]])</f>
        <v>2014</v>
      </c>
      <c r="C565" s="3">
        <f>MONTH(SalesData[[#This Row],[Order Date]])</f>
        <v>11</v>
      </c>
      <c r="D565" t="s">
        <v>47</v>
      </c>
      <c r="E565" t="s">
        <v>19</v>
      </c>
      <c r="F565" t="s">
        <v>15</v>
      </c>
      <c r="G565" t="s">
        <v>41</v>
      </c>
      <c r="H565" t="s">
        <v>42</v>
      </c>
      <c r="I565" s="2">
        <v>3901.99</v>
      </c>
      <c r="J565" s="3">
        <v>8</v>
      </c>
      <c r="K565" s="2">
        <v>870.89</v>
      </c>
    </row>
    <row r="566" spans="1:11" x14ac:dyDescent="0.25">
      <c r="A566" s="4">
        <v>41964</v>
      </c>
      <c r="B566" s="3">
        <f>YEAR(SalesData[[#This Row],[Order Date]])</f>
        <v>2014</v>
      </c>
      <c r="C566" s="3">
        <f>MONTH(SalesData[[#This Row],[Order Date]])</f>
        <v>11</v>
      </c>
      <c r="D566" t="s">
        <v>47</v>
      </c>
      <c r="E566" t="s">
        <v>19</v>
      </c>
      <c r="F566" t="s">
        <v>27</v>
      </c>
      <c r="G566" t="s">
        <v>28</v>
      </c>
      <c r="H566" t="s">
        <v>69</v>
      </c>
      <c r="I566" s="2">
        <v>1882.87</v>
      </c>
      <c r="J566" s="3">
        <v>6</v>
      </c>
      <c r="K566" s="2">
        <v>211.95</v>
      </c>
    </row>
    <row r="567" spans="1:11" x14ac:dyDescent="0.25">
      <c r="A567" s="4">
        <v>41964</v>
      </c>
      <c r="B567" s="3">
        <f>YEAR(SalesData[[#This Row],[Order Date]])</f>
        <v>2014</v>
      </c>
      <c r="C567" s="3">
        <f>MONTH(SalesData[[#This Row],[Order Date]])</f>
        <v>11</v>
      </c>
      <c r="D567" t="s">
        <v>14</v>
      </c>
      <c r="E567" t="s">
        <v>37</v>
      </c>
      <c r="F567" t="s">
        <v>15</v>
      </c>
      <c r="G567" t="s">
        <v>45</v>
      </c>
      <c r="H567" t="s">
        <v>59</v>
      </c>
      <c r="I567" s="2">
        <v>1261.08</v>
      </c>
      <c r="J567" s="3">
        <v>3</v>
      </c>
      <c r="K567" s="2">
        <v>268.73</v>
      </c>
    </row>
    <row r="568" spans="1:11" x14ac:dyDescent="0.25">
      <c r="A568" s="4">
        <v>41965</v>
      </c>
      <c r="B568" s="3">
        <f>YEAR(SalesData[[#This Row],[Order Date]])</f>
        <v>2014</v>
      </c>
      <c r="C568" s="3">
        <f>MONTH(SalesData[[#This Row],[Order Date]])</f>
        <v>11</v>
      </c>
      <c r="D568" t="s">
        <v>43</v>
      </c>
      <c r="E568" t="s">
        <v>19</v>
      </c>
      <c r="F568" t="s">
        <v>27</v>
      </c>
      <c r="G568" t="s">
        <v>48</v>
      </c>
      <c r="H568" t="s">
        <v>49</v>
      </c>
      <c r="I568" s="2">
        <v>3714.48</v>
      </c>
      <c r="J568" s="3">
        <v>10</v>
      </c>
      <c r="K568" s="2">
        <v>1015.85</v>
      </c>
    </row>
    <row r="569" spans="1:11" x14ac:dyDescent="0.25">
      <c r="A569" s="4">
        <v>41965</v>
      </c>
      <c r="B569" s="3">
        <f>YEAR(SalesData[[#This Row],[Order Date]])</f>
        <v>2014</v>
      </c>
      <c r="C569" s="3">
        <f>MONTH(SalesData[[#This Row],[Order Date]])</f>
        <v>11</v>
      </c>
      <c r="D569" t="s">
        <v>23</v>
      </c>
      <c r="E569" t="s">
        <v>31</v>
      </c>
      <c r="F569" t="s">
        <v>15</v>
      </c>
      <c r="G569" t="s">
        <v>16</v>
      </c>
      <c r="H569" t="s">
        <v>51</v>
      </c>
      <c r="I569" s="2">
        <v>3459.19</v>
      </c>
      <c r="J569" s="3">
        <v>8</v>
      </c>
      <c r="K569" s="2">
        <v>80.400000000000006</v>
      </c>
    </row>
    <row r="570" spans="1:11" x14ac:dyDescent="0.25">
      <c r="A570" s="4">
        <v>41965</v>
      </c>
      <c r="B570" s="3">
        <f>YEAR(SalesData[[#This Row],[Order Date]])</f>
        <v>2014</v>
      </c>
      <c r="C570" s="3">
        <f>MONTH(SalesData[[#This Row],[Order Date]])</f>
        <v>11</v>
      </c>
      <c r="D570" t="s">
        <v>9</v>
      </c>
      <c r="E570" t="s">
        <v>31</v>
      </c>
      <c r="F570" t="s">
        <v>15</v>
      </c>
      <c r="G570" t="s">
        <v>16</v>
      </c>
      <c r="H570" t="s">
        <v>51</v>
      </c>
      <c r="I570" s="2">
        <v>1953.31</v>
      </c>
      <c r="J570" s="3">
        <v>7</v>
      </c>
      <c r="K570" s="2">
        <v>393.63</v>
      </c>
    </row>
    <row r="571" spans="1:11" x14ac:dyDescent="0.25">
      <c r="A571" s="4">
        <v>41966</v>
      </c>
      <c r="B571" s="3">
        <f>YEAR(SalesData[[#This Row],[Order Date]])</f>
        <v>2014</v>
      </c>
      <c r="C571" s="3">
        <f>MONTH(SalesData[[#This Row],[Order Date]])</f>
        <v>11</v>
      </c>
      <c r="D571" t="s">
        <v>20</v>
      </c>
      <c r="E571" t="s">
        <v>44</v>
      </c>
      <c r="F571" t="s">
        <v>27</v>
      </c>
      <c r="G571" t="s">
        <v>32</v>
      </c>
      <c r="H571" t="s">
        <v>53</v>
      </c>
      <c r="I571" s="2">
        <v>900.8</v>
      </c>
      <c r="J571" s="3">
        <v>9</v>
      </c>
      <c r="K571" s="2">
        <v>121.85</v>
      </c>
    </row>
    <row r="572" spans="1:11" x14ac:dyDescent="0.25">
      <c r="A572" s="4">
        <v>41966</v>
      </c>
      <c r="B572" s="3">
        <f>YEAR(SalesData[[#This Row],[Order Date]])</f>
        <v>2014</v>
      </c>
      <c r="C572" s="3">
        <f>MONTH(SalesData[[#This Row],[Order Date]])</f>
        <v>11</v>
      </c>
      <c r="D572" t="s">
        <v>55</v>
      </c>
      <c r="E572" t="s">
        <v>37</v>
      </c>
      <c r="F572" t="s">
        <v>15</v>
      </c>
      <c r="G572" t="s">
        <v>63</v>
      </c>
      <c r="H572" t="s">
        <v>66</v>
      </c>
      <c r="I572" s="2">
        <v>1250.93</v>
      </c>
      <c r="J572" s="3">
        <v>9</v>
      </c>
      <c r="K572" s="2">
        <v>321.3</v>
      </c>
    </row>
    <row r="573" spans="1:11" x14ac:dyDescent="0.25">
      <c r="A573" s="4">
        <v>41967</v>
      </c>
      <c r="B573" s="3">
        <f>YEAR(SalesData[[#This Row],[Order Date]])</f>
        <v>2014</v>
      </c>
      <c r="C573" s="3">
        <f>MONTH(SalesData[[#This Row],[Order Date]])</f>
        <v>11</v>
      </c>
      <c r="D573" t="s">
        <v>9</v>
      </c>
      <c r="E573" t="s">
        <v>19</v>
      </c>
      <c r="F573" t="s">
        <v>27</v>
      </c>
      <c r="G573" t="s">
        <v>28</v>
      </c>
      <c r="H573" t="s">
        <v>29</v>
      </c>
      <c r="I573" s="2">
        <v>913.35</v>
      </c>
      <c r="J573" s="3">
        <v>4</v>
      </c>
      <c r="K573" s="2">
        <v>243.06</v>
      </c>
    </row>
    <row r="574" spans="1:11" x14ac:dyDescent="0.25">
      <c r="A574" s="4">
        <v>41967</v>
      </c>
      <c r="B574" s="3">
        <f>YEAR(SalesData[[#This Row],[Order Date]])</f>
        <v>2014</v>
      </c>
      <c r="C574" s="3">
        <f>MONTH(SalesData[[#This Row],[Order Date]])</f>
        <v>11</v>
      </c>
      <c r="D574" t="s">
        <v>50</v>
      </c>
      <c r="E574" t="s">
        <v>60</v>
      </c>
      <c r="F574" t="s">
        <v>11</v>
      </c>
      <c r="G574" t="s">
        <v>35</v>
      </c>
      <c r="H574" t="s">
        <v>36</v>
      </c>
      <c r="I574" s="2">
        <v>634.11</v>
      </c>
      <c r="J574" s="3">
        <v>6</v>
      </c>
      <c r="K574" s="2">
        <v>146.79</v>
      </c>
    </row>
    <row r="575" spans="1:11" x14ac:dyDescent="0.25">
      <c r="A575" s="4">
        <v>41968</v>
      </c>
      <c r="B575" s="3">
        <f>YEAR(SalesData[[#This Row],[Order Date]])</f>
        <v>2014</v>
      </c>
      <c r="C575" s="3">
        <f>MONTH(SalesData[[#This Row],[Order Date]])</f>
        <v>11</v>
      </c>
      <c r="D575" t="s">
        <v>20</v>
      </c>
      <c r="E575" t="s">
        <v>40</v>
      </c>
      <c r="F575" t="s">
        <v>15</v>
      </c>
      <c r="G575" t="s">
        <v>41</v>
      </c>
      <c r="H575" t="s">
        <v>61</v>
      </c>
      <c r="I575" s="2">
        <v>4048.33</v>
      </c>
      <c r="J575" s="3">
        <v>10</v>
      </c>
      <c r="K575" s="2">
        <v>1046.3699999999999</v>
      </c>
    </row>
    <row r="576" spans="1:11" x14ac:dyDescent="0.25">
      <c r="A576" s="4">
        <v>41968</v>
      </c>
      <c r="B576" s="3">
        <f>YEAR(SalesData[[#This Row],[Order Date]])</f>
        <v>2014</v>
      </c>
      <c r="C576" s="3">
        <f>MONTH(SalesData[[#This Row],[Order Date]])</f>
        <v>11</v>
      </c>
      <c r="D576" t="s">
        <v>68</v>
      </c>
      <c r="E576" t="s">
        <v>19</v>
      </c>
      <c r="F576" t="s">
        <v>27</v>
      </c>
      <c r="G576" t="s">
        <v>32</v>
      </c>
      <c r="H576" t="s">
        <v>53</v>
      </c>
      <c r="I576" s="2">
        <v>3909.84</v>
      </c>
      <c r="J576" s="3">
        <v>2</v>
      </c>
      <c r="K576" s="2">
        <v>596</v>
      </c>
    </row>
    <row r="577" spans="1:11" x14ac:dyDescent="0.25">
      <c r="A577" s="4">
        <v>41970</v>
      </c>
      <c r="B577" s="3">
        <f>YEAR(SalesData[[#This Row],[Order Date]])</f>
        <v>2014</v>
      </c>
      <c r="C577" s="3">
        <f>MONTH(SalesData[[#This Row],[Order Date]])</f>
        <v>11</v>
      </c>
      <c r="D577" t="s">
        <v>50</v>
      </c>
      <c r="E577" t="s">
        <v>37</v>
      </c>
      <c r="F577" t="s">
        <v>27</v>
      </c>
      <c r="G577" t="s">
        <v>32</v>
      </c>
      <c r="H577" t="s">
        <v>33</v>
      </c>
      <c r="I577" s="2">
        <v>519.36</v>
      </c>
      <c r="J577" s="3">
        <v>4</v>
      </c>
      <c r="K577" s="2">
        <v>16.29</v>
      </c>
    </row>
    <row r="578" spans="1:11" x14ac:dyDescent="0.25">
      <c r="A578" s="4">
        <v>41971</v>
      </c>
      <c r="B578" s="3">
        <f>YEAR(SalesData[[#This Row],[Order Date]])</f>
        <v>2014</v>
      </c>
      <c r="C578" s="3">
        <f>MONTH(SalesData[[#This Row],[Order Date]])</f>
        <v>11</v>
      </c>
      <c r="D578" t="s">
        <v>30</v>
      </c>
      <c r="E578" t="s">
        <v>26</v>
      </c>
      <c r="F578" t="s">
        <v>15</v>
      </c>
      <c r="G578" t="s">
        <v>38</v>
      </c>
      <c r="H578" t="s">
        <v>56</v>
      </c>
      <c r="I578" s="2">
        <v>1516.28</v>
      </c>
      <c r="J578" s="3">
        <v>8</v>
      </c>
      <c r="K578" s="2">
        <v>32.24</v>
      </c>
    </row>
    <row r="579" spans="1:11" x14ac:dyDescent="0.25">
      <c r="A579" s="4">
        <v>41971</v>
      </c>
      <c r="B579" s="3">
        <f>YEAR(SalesData[[#This Row],[Order Date]])</f>
        <v>2014</v>
      </c>
      <c r="C579" s="3">
        <f>MONTH(SalesData[[#This Row],[Order Date]])</f>
        <v>11</v>
      </c>
      <c r="D579" t="s">
        <v>23</v>
      </c>
      <c r="E579" t="s">
        <v>26</v>
      </c>
      <c r="F579" t="s">
        <v>15</v>
      </c>
      <c r="G579" t="s">
        <v>16</v>
      </c>
      <c r="H579" t="s">
        <v>51</v>
      </c>
      <c r="I579" s="2">
        <v>2663.58</v>
      </c>
      <c r="J579" s="3">
        <v>3</v>
      </c>
      <c r="K579" s="2">
        <v>469.1</v>
      </c>
    </row>
    <row r="580" spans="1:11" x14ac:dyDescent="0.25">
      <c r="A580" s="4">
        <v>41971</v>
      </c>
      <c r="B580" s="3">
        <f>YEAR(SalesData[[#This Row],[Order Date]])</f>
        <v>2014</v>
      </c>
      <c r="C580" s="3">
        <f>MONTH(SalesData[[#This Row],[Order Date]])</f>
        <v>11</v>
      </c>
      <c r="D580" t="s">
        <v>30</v>
      </c>
      <c r="E580" t="s">
        <v>31</v>
      </c>
      <c r="F580" t="s">
        <v>11</v>
      </c>
      <c r="G580" t="s">
        <v>24</v>
      </c>
      <c r="H580" t="s">
        <v>54</v>
      </c>
      <c r="I580" s="2">
        <v>3949.36</v>
      </c>
      <c r="J580" s="3">
        <v>9</v>
      </c>
      <c r="K580" s="2">
        <v>713.18</v>
      </c>
    </row>
    <row r="581" spans="1:11" x14ac:dyDescent="0.25">
      <c r="A581" s="4">
        <v>41971</v>
      </c>
      <c r="B581" s="3">
        <f>YEAR(SalesData[[#This Row],[Order Date]])</f>
        <v>2014</v>
      </c>
      <c r="C581" s="3">
        <f>MONTH(SalesData[[#This Row],[Order Date]])</f>
        <v>11</v>
      </c>
      <c r="D581" t="s">
        <v>55</v>
      </c>
      <c r="E581" t="s">
        <v>52</v>
      </c>
      <c r="F581" t="s">
        <v>27</v>
      </c>
      <c r="G581" t="s">
        <v>28</v>
      </c>
      <c r="H581" t="s">
        <v>29</v>
      </c>
      <c r="I581" s="2">
        <v>635.54999999999995</v>
      </c>
      <c r="J581" s="3">
        <v>5</v>
      </c>
      <c r="K581" s="2">
        <v>157.13</v>
      </c>
    </row>
    <row r="582" spans="1:11" x14ac:dyDescent="0.25">
      <c r="A582" s="4">
        <v>41972</v>
      </c>
      <c r="B582" s="3">
        <f>YEAR(SalesData[[#This Row],[Order Date]])</f>
        <v>2014</v>
      </c>
      <c r="C582" s="3">
        <f>MONTH(SalesData[[#This Row],[Order Date]])</f>
        <v>11</v>
      </c>
      <c r="D582" t="s">
        <v>20</v>
      </c>
      <c r="E582" t="s">
        <v>44</v>
      </c>
      <c r="F582" t="s">
        <v>11</v>
      </c>
      <c r="G582" t="s">
        <v>24</v>
      </c>
      <c r="H582" t="s">
        <v>54</v>
      </c>
      <c r="I582" s="2">
        <v>2231.0500000000002</v>
      </c>
      <c r="J582" s="3">
        <v>6</v>
      </c>
      <c r="K582" s="2">
        <v>180.15</v>
      </c>
    </row>
    <row r="583" spans="1:11" x14ac:dyDescent="0.25">
      <c r="A583" s="4">
        <v>41973</v>
      </c>
      <c r="B583" s="3">
        <f>YEAR(SalesData[[#This Row],[Order Date]])</f>
        <v>2014</v>
      </c>
      <c r="C583" s="3">
        <f>MONTH(SalesData[[#This Row],[Order Date]])</f>
        <v>11</v>
      </c>
      <c r="D583" t="s">
        <v>43</v>
      </c>
      <c r="E583" t="s">
        <v>34</v>
      </c>
      <c r="F583" t="s">
        <v>15</v>
      </c>
      <c r="G583" t="s">
        <v>16</v>
      </c>
      <c r="H583" t="s">
        <v>17</v>
      </c>
      <c r="I583" s="2">
        <v>3261.82</v>
      </c>
      <c r="J583" s="3">
        <v>9</v>
      </c>
      <c r="K583" s="2">
        <v>292.72000000000003</v>
      </c>
    </row>
    <row r="584" spans="1:11" x14ac:dyDescent="0.25">
      <c r="A584" s="4">
        <v>41973</v>
      </c>
      <c r="B584" s="3">
        <f>YEAR(SalesData[[#This Row],[Order Date]])</f>
        <v>2014</v>
      </c>
      <c r="C584" s="3">
        <f>MONTH(SalesData[[#This Row],[Order Date]])</f>
        <v>11</v>
      </c>
      <c r="D584" t="s">
        <v>9</v>
      </c>
      <c r="E584" t="s">
        <v>52</v>
      </c>
      <c r="F584" t="s">
        <v>27</v>
      </c>
      <c r="G584" t="s">
        <v>48</v>
      </c>
      <c r="H584" t="s">
        <v>49</v>
      </c>
      <c r="I584" s="2">
        <v>1331.83</v>
      </c>
      <c r="J584" s="3">
        <v>3</v>
      </c>
      <c r="K584" s="2">
        <v>344.17</v>
      </c>
    </row>
    <row r="585" spans="1:11" x14ac:dyDescent="0.25">
      <c r="A585" s="4">
        <v>41973</v>
      </c>
      <c r="B585" s="3">
        <f>YEAR(SalesData[[#This Row],[Order Date]])</f>
        <v>2014</v>
      </c>
      <c r="C585" s="3">
        <f>MONTH(SalesData[[#This Row],[Order Date]])</f>
        <v>11</v>
      </c>
      <c r="D585" t="s">
        <v>47</v>
      </c>
      <c r="E585" t="s">
        <v>26</v>
      </c>
      <c r="F585" t="s">
        <v>15</v>
      </c>
      <c r="G585" t="s">
        <v>41</v>
      </c>
      <c r="H585" t="s">
        <v>61</v>
      </c>
      <c r="I585" s="2">
        <v>4332.4399999999996</v>
      </c>
      <c r="J585" s="3">
        <v>5</v>
      </c>
      <c r="K585" s="2">
        <v>1293.81</v>
      </c>
    </row>
    <row r="586" spans="1:11" x14ac:dyDescent="0.25">
      <c r="A586" s="4">
        <v>41973</v>
      </c>
      <c r="B586" s="3">
        <f>YEAR(SalesData[[#This Row],[Order Date]])</f>
        <v>2014</v>
      </c>
      <c r="C586" s="3">
        <f>MONTH(SalesData[[#This Row],[Order Date]])</f>
        <v>11</v>
      </c>
      <c r="D586" t="s">
        <v>55</v>
      </c>
      <c r="E586" t="s">
        <v>52</v>
      </c>
      <c r="F586" t="s">
        <v>27</v>
      </c>
      <c r="G586" t="s">
        <v>32</v>
      </c>
      <c r="H586" t="s">
        <v>53</v>
      </c>
      <c r="I586" s="2">
        <v>4040.46</v>
      </c>
      <c r="J586" s="3">
        <v>7</v>
      </c>
      <c r="K586" s="2">
        <v>799.57</v>
      </c>
    </row>
    <row r="587" spans="1:11" x14ac:dyDescent="0.25">
      <c r="A587" s="4">
        <v>41974</v>
      </c>
      <c r="B587" s="3">
        <f>YEAR(SalesData[[#This Row],[Order Date]])</f>
        <v>2014</v>
      </c>
      <c r="C587" s="3">
        <f>MONTH(SalesData[[#This Row],[Order Date]])</f>
        <v>12</v>
      </c>
      <c r="D587" t="s">
        <v>9</v>
      </c>
      <c r="E587" t="s">
        <v>26</v>
      </c>
      <c r="F587" t="s">
        <v>27</v>
      </c>
      <c r="G587" t="s">
        <v>48</v>
      </c>
      <c r="H587" t="s">
        <v>49</v>
      </c>
      <c r="I587" s="2">
        <v>2061.7800000000002</v>
      </c>
      <c r="J587" s="3">
        <v>7</v>
      </c>
      <c r="K587" s="2">
        <v>218.3</v>
      </c>
    </row>
    <row r="588" spans="1:11" x14ac:dyDescent="0.25">
      <c r="A588" s="4">
        <v>41974</v>
      </c>
      <c r="B588" s="3">
        <f>YEAR(SalesData[[#This Row],[Order Date]])</f>
        <v>2014</v>
      </c>
      <c r="C588" s="3">
        <f>MONTH(SalesData[[#This Row],[Order Date]])</f>
        <v>12</v>
      </c>
      <c r="D588" t="s">
        <v>18</v>
      </c>
      <c r="E588" t="s">
        <v>10</v>
      </c>
      <c r="F588" t="s">
        <v>27</v>
      </c>
      <c r="G588" t="s">
        <v>28</v>
      </c>
      <c r="H588" t="s">
        <v>29</v>
      </c>
      <c r="I588" s="2">
        <v>764.06</v>
      </c>
      <c r="J588" s="3">
        <v>8</v>
      </c>
      <c r="K588" s="2">
        <v>117.61</v>
      </c>
    </row>
    <row r="589" spans="1:11" x14ac:dyDescent="0.25">
      <c r="A589" s="4">
        <v>41975</v>
      </c>
      <c r="B589" s="3">
        <f>YEAR(SalesData[[#This Row],[Order Date]])</f>
        <v>2014</v>
      </c>
      <c r="C589" s="3">
        <f>MONTH(SalesData[[#This Row],[Order Date]])</f>
        <v>12</v>
      </c>
      <c r="D589" t="s">
        <v>23</v>
      </c>
      <c r="E589" t="s">
        <v>10</v>
      </c>
      <c r="F589" t="s">
        <v>11</v>
      </c>
      <c r="G589" t="s">
        <v>21</v>
      </c>
      <c r="H589" t="s">
        <v>67</v>
      </c>
      <c r="I589" s="2">
        <v>1134.03</v>
      </c>
      <c r="J589" s="3">
        <v>5</v>
      </c>
      <c r="K589" s="2">
        <v>318.12</v>
      </c>
    </row>
    <row r="590" spans="1:11" x14ac:dyDescent="0.25">
      <c r="A590" s="4">
        <v>41975</v>
      </c>
      <c r="B590" s="3">
        <f>YEAR(SalesData[[#This Row],[Order Date]])</f>
        <v>2014</v>
      </c>
      <c r="C590" s="3">
        <f>MONTH(SalesData[[#This Row],[Order Date]])</f>
        <v>12</v>
      </c>
      <c r="D590" t="s">
        <v>50</v>
      </c>
      <c r="E590" t="s">
        <v>26</v>
      </c>
      <c r="F590" t="s">
        <v>11</v>
      </c>
      <c r="G590" t="s">
        <v>24</v>
      </c>
      <c r="H590" t="s">
        <v>54</v>
      </c>
      <c r="I590" s="2">
        <v>2805.13</v>
      </c>
      <c r="J590" s="3">
        <v>4</v>
      </c>
      <c r="K590" s="2">
        <v>630.11</v>
      </c>
    </row>
    <row r="591" spans="1:11" x14ac:dyDescent="0.25">
      <c r="A591" s="4">
        <v>41975</v>
      </c>
      <c r="B591" s="3">
        <f>YEAR(SalesData[[#This Row],[Order Date]])</f>
        <v>2014</v>
      </c>
      <c r="C591" s="3">
        <f>MONTH(SalesData[[#This Row],[Order Date]])</f>
        <v>12</v>
      </c>
      <c r="D591" t="s">
        <v>9</v>
      </c>
      <c r="E591" t="s">
        <v>31</v>
      </c>
      <c r="F591" t="s">
        <v>15</v>
      </c>
      <c r="G591" t="s">
        <v>45</v>
      </c>
      <c r="H591" t="s">
        <v>46</v>
      </c>
      <c r="I591" s="2">
        <v>3876.91</v>
      </c>
      <c r="J591" s="3">
        <v>10</v>
      </c>
      <c r="K591" s="2">
        <v>334.39</v>
      </c>
    </row>
    <row r="592" spans="1:11" x14ac:dyDescent="0.25">
      <c r="A592" s="4">
        <v>41975</v>
      </c>
      <c r="B592" s="3">
        <f>YEAR(SalesData[[#This Row],[Order Date]])</f>
        <v>2014</v>
      </c>
      <c r="C592" s="3">
        <f>MONTH(SalesData[[#This Row],[Order Date]])</f>
        <v>12</v>
      </c>
      <c r="D592" t="s">
        <v>55</v>
      </c>
      <c r="E592" t="s">
        <v>37</v>
      </c>
      <c r="F592" t="s">
        <v>27</v>
      </c>
      <c r="G592" t="s">
        <v>48</v>
      </c>
      <c r="H592" t="s">
        <v>57</v>
      </c>
      <c r="I592" s="2">
        <v>3439.71</v>
      </c>
      <c r="J592" s="3">
        <v>6</v>
      </c>
      <c r="K592" s="2">
        <v>568.64</v>
      </c>
    </row>
    <row r="593" spans="1:11" x14ac:dyDescent="0.25">
      <c r="A593" s="4">
        <v>41977</v>
      </c>
      <c r="B593" s="3">
        <f>YEAR(SalesData[[#This Row],[Order Date]])</f>
        <v>2014</v>
      </c>
      <c r="C593" s="3">
        <f>MONTH(SalesData[[#This Row],[Order Date]])</f>
        <v>12</v>
      </c>
      <c r="D593" t="s">
        <v>50</v>
      </c>
      <c r="E593" t="s">
        <v>31</v>
      </c>
      <c r="F593" t="s">
        <v>15</v>
      </c>
      <c r="G593" t="s">
        <v>45</v>
      </c>
      <c r="H593" t="s">
        <v>46</v>
      </c>
      <c r="I593" s="2">
        <v>3120.19</v>
      </c>
      <c r="J593" s="3">
        <v>5</v>
      </c>
      <c r="K593" s="2">
        <v>521.49</v>
      </c>
    </row>
    <row r="594" spans="1:11" x14ac:dyDescent="0.25">
      <c r="A594" s="4">
        <v>41977</v>
      </c>
      <c r="B594" s="3">
        <f>YEAR(SalesData[[#This Row],[Order Date]])</f>
        <v>2014</v>
      </c>
      <c r="C594" s="3">
        <f>MONTH(SalesData[[#This Row],[Order Date]])</f>
        <v>12</v>
      </c>
      <c r="D594" t="s">
        <v>18</v>
      </c>
      <c r="E594" t="s">
        <v>60</v>
      </c>
      <c r="F594" t="s">
        <v>27</v>
      </c>
      <c r="G594" t="s">
        <v>48</v>
      </c>
      <c r="H594" t="s">
        <v>49</v>
      </c>
      <c r="I594" s="2">
        <v>4389.95</v>
      </c>
      <c r="J594" s="3">
        <v>1</v>
      </c>
      <c r="K594" s="2">
        <v>280.75</v>
      </c>
    </row>
    <row r="595" spans="1:11" x14ac:dyDescent="0.25">
      <c r="A595" s="4">
        <v>41977</v>
      </c>
      <c r="B595" s="3">
        <f>YEAR(SalesData[[#This Row],[Order Date]])</f>
        <v>2014</v>
      </c>
      <c r="C595" s="3">
        <f>MONTH(SalesData[[#This Row],[Order Date]])</f>
        <v>12</v>
      </c>
      <c r="D595" t="s">
        <v>47</v>
      </c>
      <c r="E595" t="s">
        <v>19</v>
      </c>
      <c r="F595" t="s">
        <v>11</v>
      </c>
      <c r="G595" t="s">
        <v>35</v>
      </c>
      <c r="H595" t="s">
        <v>36</v>
      </c>
      <c r="I595" s="2">
        <v>2236.66</v>
      </c>
      <c r="J595" s="3">
        <v>4</v>
      </c>
      <c r="K595" s="2">
        <v>607.23</v>
      </c>
    </row>
    <row r="596" spans="1:11" x14ac:dyDescent="0.25">
      <c r="A596" s="4">
        <v>41977</v>
      </c>
      <c r="B596" s="3">
        <f>YEAR(SalesData[[#This Row],[Order Date]])</f>
        <v>2014</v>
      </c>
      <c r="C596" s="3">
        <f>MONTH(SalesData[[#This Row],[Order Date]])</f>
        <v>12</v>
      </c>
      <c r="D596" t="s">
        <v>55</v>
      </c>
      <c r="E596" t="s">
        <v>44</v>
      </c>
      <c r="F596" t="s">
        <v>27</v>
      </c>
      <c r="G596" t="s">
        <v>48</v>
      </c>
      <c r="H596" t="s">
        <v>57</v>
      </c>
      <c r="I596" s="2">
        <v>976.13</v>
      </c>
      <c r="J596" s="3">
        <v>9</v>
      </c>
      <c r="K596" s="2">
        <v>196.09</v>
      </c>
    </row>
    <row r="597" spans="1:11" x14ac:dyDescent="0.25">
      <c r="A597" s="4">
        <v>41978</v>
      </c>
      <c r="B597" s="3">
        <f>YEAR(SalesData[[#This Row],[Order Date]])</f>
        <v>2014</v>
      </c>
      <c r="C597" s="3">
        <f>MONTH(SalesData[[#This Row],[Order Date]])</f>
        <v>12</v>
      </c>
      <c r="D597" t="s">
        <v>62</v>
      </c>
      <c r="E597" t="s">
        <v>37</v>
      </c>
      <c r="F597" t="s">
        <v>11</v>
      </c>
      <c r="G597" t="s">
        <v>24</v>
      </c>
      <c r="H597" t="s">
        <v>25</v>
      </c>
      <c r="I597" s="2">
        <v>2601.86</v>
      </c>
      <c r="J597" s="3">
        <v>8</v>
      </c>
      <c r="K597" s="2">
        <v>116.7</v>
      </c>
    </row>
    <row r="598" spans="1:11" x14ac:dyDescent="0.25">
      <c r="A598" s="4">
        <v>41978</v>
      </c>
      <c r="B598" s="3">
        <f>YEAR(SalesData[[#This Row],[Order Date]])</f>
        <v>2014</v>
      </c>
      <c r="C598" s="3">
        <f>MONTH(SalesData[[#This Row],[Order Date]])</f>
        <v>12</v>
      </c>
      <c r="D598" t="s">
        <v>43</v>
      </c>
      <c r="E598" t="s">
        <v>34</v>
      </c>
      <c r="F598" t="s">
        <v>11</v>
      </c>
      <c r="G598" t="s">
        <v>35</v>
      </c>
      <c r="H598" t="s">
        <v>71</v>
      </c>
      <c r="I598" s="2">
        <v>861.34</v>
      </c>
      <c r="J598" s="3">
        <v>5</v>
      </c>
      <c r="K598" s="2">
        <v>35.32</v>
      </c>
    </row>
    <row r="599" spans="1:11" x14ac:dyDescent="0.25">
      <c r="A599" s="4">
        <v>41980</v>
      </c>
      <c r="B599" s="3">
        <f>YEAR(SalesData[[#This Row],[Order Date]])</f>
        <v>2014</v>
      </c>
      <c r="C599" s="3">
        <f>MONTH(SalesData[[#This Row],[Order Date]])</f>
        <v>12</v>
      </c>
      <c r="D599" t="s">
        <v>62</v>
      </c>
      <c r="E599" t="s">
        <v>40</v>
      </c>
      <c r="F599" t="s">
        <v>11</v>
      </c>
      <c r="G599" t="s">
        <v>21</v>
      </c>
      <c r="H599" t="s">
        <v>22</v>
      </c>
      <c r="I599" s="2">
        <v>4471.21</v>
      </c>
      <c r="J599" s="3">
        <v>4</v>
      </c>
      <c r="K599" s="2">
        <v>1185.3599999999999</v>
      </c>
    </row>
    <row r="600" spans="1:11" x14ac:dyDescent="0.25">
      <c r="A600" s="4">
        <v>41980</v>
      </c>
      <c r="B600" s="3">
        <f>YEAR(SalesData[[#This Row],[Order Date]])</f>
        <v>2014</v>
      </c>
      <c r="C600" s="3">
        <f>MONTH(SalesData[[#This Row],[Order Date]])</f>
        <v>12</v>
      </c>
      <c r="D600" t="s">
        <v>9</v>
      </c>
      <c r="E600" t="s">
        <v>40</v>
      </c>
      <c r="F600" t="s">
        <v>11</v>
      </c>
      <c r="G600" t="s">
        <v>21</v>
      </c>
      <c r="H600" t="s">
        <v>67</v>
      </c>
      <c r="I600" s="2">
        <v>2142.13</v>
      </c>
      <c r="J600" s="3">
        <v>2</v>
      </c>
      <c r="K600" s="2">
        <v>561.20000000000005</v>
      </c>
    </row>
    <row r="601" spans="1:11" x14ac:dyDescent="0.25">
      <c r="A601" s="4">
        <v>41980</v>
      </c>
      <c r="B601" s="3">
        <f>YEAR(SalesData[[#This Row],[Order Date]])</f>
        <v>2014</v>
      </c>
      <c r="C601" s="3">
        <f>MONTH(SalesData[[#This Row],[Order Date]])</f>
        <v>12</v>
      </c>
      <c r="D601" t="s">
        <v>18</v>
      </c>
      <c r="E601" t="s">
        <v>31</v>
      </c>
      <c r="F601" t="s">
        <v>15</v>
      </c>
      <c r="G601" t="s">
        <v>41</v>
      </c>
      <c r="H601" t="s">
        <v>42</v>
      </c>
      <c r="I601" s="2">
        <v>319.77</v>
      </c>
      <c r="J601" s="3">
        <v>10</v>
      </c>
      <c r="K601" s="2">
        <v>74.13</v>
      </c>
    </row>
    <row r="602" spans="1:11" x14ac:dyDescent="0.25">
      <c r="A602" s="4">
        <v>41980</v>
      </c>
      <c r="B602" s="3">
        <f>YEAR(SalesData[[#This Row],[Order Date]])</f>
        <v>2014</v>
      </c>
      <c r="C602" s="3">
        <f>MONTH(SalesData[[#This Row],[Order Date]])</f>
        <v>12</v>
      </c>
      <c r="D602" t="s">
        <v>23</v>
      </c>
      <c r="E602" t="s">
        <v>52</v>
      </c>
      <c r="F602" t="s">
        <v>15</v>
      </c>
      <c r="G602" t="s">
        <v>63</v>
      </c>
      <c r="H602" t="s">
        <v>66</v>
      </c>
      <c r="I602" s="2">
        <v>1617.95</v>
      </c>
      <c r="J602" s="3">
        <v>8</v>
      </c>
      <c r="K602" s="2">
        <v>370.81</v>
      </c>
    </row>
    <row r="603" spans="1:11" x14ac:dyDescent="0.25">
      <c r="A603" s="4">
        <v>41982</v>
      </c>
      <c r="B603" s="3">
        <f>YEAR(SalesData[[#This Row],[Order Date]])</f>
        <v>2014</v>
      </c>
      <c r="C603" s="3">
        <f>MONTH(SalesData[[#This Row],[Order Date]])</f>
        <v>12</v>
      </c>
      <c r="D603" t="s">
        <v>68</v>
      </c>
      <c r="E603" t="s">
        <v>52</v>
      </c>
      <c r="F603" t="s">
        <v>27</v>
      </c>
      <c r="G603" t="s">
        <v>28</v>
      </c>
      <c r="H603" t="s">
        <v>29</v>
      </c>
      <c r="I603" s="2">
        <v>1332.77</v>
      </c>
      <c r="J603" s="3">
        <v>1</v>
      </c>
      <c r="K603" s="2">
        <v>93.71</v>
      </c>
    </row>
    <row r="604" spans="1:11" x14ac:dyDescent="0.25">
      <c r="A604" s="4">
        <v>41984</v>
      </c>
      <c r="B604" s="3">
        <f>YEAR(SalesData[[#This Row],[Order Date]])</f>
        <v>2014</v>
      </c>
      <c r="C604" s="3">
        <f>MONTH(SalesData[[#This Row],[Order Date]])</f>
        <v>12</v>
      </c>
      <c r="D604" t="s">
        <v>47</v>
      </c>
      <c r="E604" t="s">
        <v>60</v>
      </c>
      <c r="F604" t="s">
        <v>15</v>
      </c>
      <c r="G604" t="s">
        <v>63</v>
      </c>
      <c r="H604" t="s">
        <v>64</v>
      </c>
      <c r="I604" s="2">
        <v>1886.67</v>
      </c>
      <c r="J604" s="3">
        <v>7</v>
      </c>
      <c r="K604" s="2">
        <v>557.46</v>
      </c>
    </row>
    <row r="605" spans="1:11" x14ac:dyDescent="0.25">
      <c r="A605" s="4">
        <v>41985</v>
      </c>
      <c r="B605" s="3">
        <f>YEAR(SalesData[[#This Row],[Order Date]])</f>
        <v>2014</v>
      </c>
      <c r="C605" s="3">
        <f>MONTH(SalesData[[#This Row],[Order Date]])</f>
        <v>12</v>
      </c>
      <c r="D605" t="s">
        <v>18</v>
      </c>
      <c r="E605" t="s">
        <v>40</v>
      </c>
      <c r="F605" t="s">
        <v>15</v>
      </c>
      <c r="G605" t="s">
        <v>63</v>
      </c>
      <c r="H605" t="s">
        <v>64</v>
      </c>
      <c r="I605" s="2">
        <v>1276.6099999999999</v>
      </c>
      <c r="J605" s="3">
        <v>5</v>
      </c>
      <c r="K605" s="2">
        <v>158.05000000000001</v>
      </c>
    </row>
    <row r="606" spans="1:11" x14ac:dyDescent="0.25">
      <c r="A606" s="4">
        <v>41986</v>
      </c>
      <c r="B606" s="3">
        <f>YEAR(SalesData[[#This Row],[Order Date]])</f>
        <v>2014</v>
      </c>
      <c r="C606" s="3">
        <f>MONTH(SalesData[[#This Row],[Order Date]])</f>
        <v>12</v>
      </c>
      <c r="D606" t="s">
        <v>55</v>
      </c>
      <c r="E606" t="s">
        <v>26</v>
      </c>
      <c r="F606" t="s">
        <v>11</v>
      </c>
      <c r="G606" t="s">
        <v>12</v>
      </c>
      <c r="H606" t="s">
        <v>13</v>
      </c>
      <c r="I606" s="2">
        <v>2080.21</v>
      </c>
      <c r="J606" s="3">
        <v>7</v>
      </c>
      <c r="K606" s="2">
        <v>298.98</v>
      </c>
    </row>
    <row r="607" spans="1:11" x14ac:dyDescent="0.25">
      <c r="A607" s="4">
        <v>41986</v>
      </c>
      <c r="B607" s="3">
        <f>YEAR(SalesData[[#This Row],[Order Date]])</f>
        <v>2014</v>
      </c>
      <c r="C607" s="3">
        <f>MONTH(SalesData[[#This Row],[Order Date]])</f>
        <v>12</v>
      </c>
      <c r="D607" t="s">
        <v>50</v>
      </c>
      <c r="E607" t="s">
        <v>40</v>
      </c>
      <c r="F607" t="s">
        <v>27</v>
      </c>
      <c r="G607" t="s">
        <v>48</v>
      </c>
      <c r="H607" t="s">
        <v>57</v>
      </c>
      <c r="I607" s="2">
        <v>4960.32</v>
      </c>
      <c r="J607" s="3">
        <v>7</v>
      </c>
      <c r="K607" s="2">
        <v>1173.8599999999999</v>
      </c>
    </row>
    <row r="608" spans="1:11" x14ac:dyDescent="0.25">
      <c r="A608" s="4">
        <v>41987</v>
      </c>
      <c r="B608" s="3">
        <f>YEAR(SalesData[[#This Row],[Order Date]])</f>
        <v>2014</v>
      </c>
      <c r="C608" s="3">
        <f>MONTH(SalesData[[#This Row],[Order Date]])</f>
        <v>12</v>
      </c>
      <c r="D608" t="s">
        <v>62</v>
      </c>
      <c r="E608" t="s">
        <v>52</v>
      </c>
      <c r="F608" t="s">
        <v>27</v>
      </c>
      <c r="G608" t="s">
        <v>48</v>
      </c>
      <c r="H608" t="s">
        <v>57</v>
      </c>
      <c r="I608" s="2">
        <v>2513.17</v>
      </c>
      <c r="J608" s="3">
        <v>3</v>
      </c>
      <c r="K608" s="2">
        <v>433.91</v>
      </c>
    </row>
    <row r="609" spans="1:11" x14ac:dyDescent="0.25">
      <c r="A609" s="4">
        <v>41988</v>
      </c>
      <c r="B609" s="3">
        <f>YEAR(SalesData[[#This Row],[Order Date]])</f>
        <v>2014</v>
      </c>
      <c r="C609" s="3">
        <f>MONTH(SalesData[[#This Row],[Order Date]])</f>
        <v>12</v>
      </c>
      <c r="D609" t="s">
        <v>55</v>
      </c>
      <c r="E609" t="s">
        <v>37</v>
      </c>
      <c r="F609" t="s">
        <v>15</v>
      </c>
      <c r="G609" t="s">
        <v>16</v>
      </c>
      <c r="H609" t="s">
        <v>51</v>
      </c>
      <c r="I609" s="2">
        <v>1745.97</v>
      </c>
      <c r="J609" s="3">
        <v>6</v>
      </c>
      <c r="K609" s="2">
        <v>262.88</v>
      </c>
    </row>
    <row r="610" spans="1:11" x14ac:dyDescent="0.25">
      <c r="A610" s="4">
        <v>41988</v>
      </c>
      <c r="B610" s="3">
        <f>YEAR(SalesData[[#This Row],[Order Date]])</f>
        <v>2014</v>
      </c>
      <c r="C610" s="3">
        <f>MONTH(SalesData[[#This Row],[Order Date]])</f>
        <v>12</v>
      </c>
      <c r="D610" t="s">
        <v>20</v>
      </c>
      <c r="E610" t="s">
        <v>40</v>
      </c>
      <c r="F610" t="s">
        <v>11</v>
      </c>
      <c r="G610" t="s">
        <v>24</v>
      </c>
      <c r="H610" t="s">
        <v>54</v>
      </c>
      <c r="I610" s="2">
        <v>2650.63</v>
      </c>
      <c r="J610" s="3">
        <v>2</v>
      </c>
      <c r="K610" s="2">
        <v>147.15</v>
      </c>
    </row>
    <row r="611" spans="1:11" x14ac:dyDescent="0.25">
      <c r="A611" s="4">
        <v>41988</v>
      </c>
      <c r="B611" s="3">
        <f>YEAR(SalesData[[#This Row],[Order Date]])</f>
        <v>2014</v>
      </c>
      <c r="C611" s="3">
        <f>MONTH(SalesData[[#This Row],[Order Date]])</f>
        <v>12</v>
      </c>
      <c r="D611" t="s">
        <v>9</v>
      </c>
      <c r="E611" t="s">
        <v>60</v>
      </c>
      <c r="F611" t="s">
        <v>27</v>
      </c>
      <c r="G611" t="s">
        <v>32</v>
      </c>
      <c r="H611" t="s">
        <v>33</v>
      </c>
      <c r="I611" s="2">
        <v>405.22</v>
      </c>
      <c r="J611" s="3">
        <v>6</v>
      </c>
      <c r="K611" s="2">
        <v>47.9</v>
      </c>
    </row>
    <row r="612" spans="1:11" x14ac:dyDescent="0.25">
      <c r="A612" s="4">
        <v>41990</v>
      </c>
      <c r="B612" s="3">
        <f>YEAR(SalesData[[#This Row],[Order Date]])</f>
        <v>2014</v>
      </c>
      <c r="C612" s="3">
        <f>MONTH(SalesData[[#This Row],[Order Date]])</f>
        <v>12</v>
      </c>
      <c r="D612" t="s">
        <v>23</v>
      </c>
      <c r="E612" t="s">
        <v>26</v>
      </c>
      <c r="F612" t="s">
        <v>11</v>
      </c>
      <c r="G612" t="s">
        <v>24</v>
      </c>
      <c r="H612" t="s">
        <v>25</v>
      </c>
      <c r="I612" s="2">
        <v>3835.96</v>
      </c>
      <c r="J612" s="3">
        <v>3</v>
      </c>
      <c r="K612" s="2">
        <v>342.95</v>
      </c>
    </row>
    <row r="613" spans="1:11" x14ac:dyDescent="0.25">
      <c r="A613" s="4">
        <v>41991</v>
      </c>
      <c r="B613" s="3">
        <f>YEAR(SalesData[[#This Row],[Order Date]])</f>
        <v>2014</v>
      </c>
      <c r="C613" s="3">
        <f>MONTH(SalesData[[#This Row],[Order Date]])</f>
        <v>12</v>
      </c>
      <c r="D613" t="s">
        <v>50</v>
      </c>
      <c r="E613" t="s">
        <v>34</v>
      </c>
      <c r="F613" t="s">
        <v>27</v>
      </c>
      <c r="G613" t="s">
        <v>48</v>
      </c>
      <c r="H613" t="s">
        <v>49</v>
      </c>
      <c r="I613" s="2">
        <v>2215</v>
      </c>
      <c r="J613" s="3">
        <v>9</v>
      </c>
      <c r="K613" s="2">
        <v>309</v>
      </c>
    </row>
    <row r="614" spans="1:11" x14ac:dyDescent="0.25">
      <c r="A614" s="4">
        <v>41991</v>
      </c>
      <c r="B614" s="3">
        <f>YEAR(SalesData[[#This Row],[Order Date]])</f>
        <v>2014</v>
      </c>
      <c r="C614" s="3">
        <f>MONTH(SalesData[[#This Row],[Order Date]])</f>
        <v>12</v>
      </c>
      <c r="D614" t="s">
        <v>68</v>
      </c>
      <c r="E614" t="s">
        <v>26</v>
      </c>
      <c r="F614" t="s">
        <v>15</v>
      </c>
      <c r="G614" t="s">
        <v>16</v>
      </c>
      <c r="H614" t="s">
        <v>51</v>
      </c>
      <c r="I614" s="2">
        <v>4515.82</v>
      </c>
      <c r="J614" s="3">
        <v>7</v>
      </c>
      <c r="K614" s="2">
        <v>703.68</v>
      </c>
    </row>
    <row r="615" spans="1:11" x14ac:dyDescent="0.25">
      <c r="A615" s="4">
        <v>41992</v>
      </c>
      <c r="B615" s="3">
        <f>YEAR(SalesData[[#This Row],[Order Date]])</f>
        <v>2014</v>
      </c>
      <c r="C615" s="3">
        <f>MONTH(SalesData[[#This Row],[Order Date]])</f>
        <v>12</v>
      </c>
      <c r="D615" t="s">
        <v>55</v>
      </c>
      <c r="E615" t="s">
        <v>26</v>
      </c>
      <c r="F615" t="s">
        <v>15</v>
      </c>
      <c r="G615" t="s">
        <v>38</v>
      </c>
      <c r="H615" t="s">
        <v>56</v>
      </c>
      <c r="I615" s="2">
        <v>2996.3</v>
      </c>
      <c r="J615" s="3">
        <v>2</v>
      </c>
      <c r="K615" s="2">
        <v>665.33</v>
      </c>
    </row>
    <row r="616" spans="1:11" x14ac:dyDescent="0.25">
      <c r="A616" s="4">
        <v>41993</v>
      </c>
      <c r="B616" s="3">
        <f>YEAR(SalesData[[#This Row],[Order Date]])</f>
        <v>2014</v>
      </c>
      <c r="C616" s="3">
        <f>MONTH(SalesData[[#This Row],[Order Date]])</f>
        <v>12</v>
      </c>
      <c r="D616" t="s">
        <v>68</v>
      </c>
      <c r="E616" t="s">
        <v>44</v>
      </c>
      <c r="F616" t="s">
        <v>15</v>
      </c>
      <c r="G616" t="s">
        <v>38</v>
      </c>
      <c r="H616" t="s">
        <v>56</v>
      </c>
      <c r="I616" s="2">
        <v>2635.23</v>
      </c>
      <c r="J616" s="3">
        <v>4</v>
      </c>
      <c r="K616" s="2">
        <v>4.54</v>
      </c>
    </row>
    <row r="617" spans="1:11" x14ac:dyDescent="0.25">
      <c r="A617" s="4">
        <v>41993</v>
      </c>
      <c r="B617" s="3">
        <f>YEAR(SalesData[[#This Row],[Order Date]])</f>
        <v>2014</v>
      </c>
      <c r="C617" s="3">
        <f>MONTH(SalesData[[#This Row],[Order Date]])</f>
        <v>12</v>
      </c>
      <c r="D617" t="s">
        <v>50</v>
      </c>
      <c r="E617" t="s">
        <v>52</v>
      </c>
      <c r="F617" t="s">
        <v>15</v>
      </c>
      <c r="G617" t="s">
        <v>41</v>
      </c>
      <c r="H617" t="s">
        <v>42</v>
      </c>
      <c r="I617" s="2">
        <v>261.16000000000003</v>
      </c>
      <c r="J617" s="3">
        <v>7</v>
      </c>
      <c r="K617" s="2">
        <v>71.17</v>
      </c>
    </row>
    <row r="618" spans="1:11" x14ac:dyDescent="0.25">
      <c r="A618" s="4">
        <v>41993</v>
      </c>
      <c r="B618" s="3">
        <f>YEAR(SalesData[[#This Row],[Order Date]])</f>
        <v>2014</v>
      </c>
      <c r="C618" s="3">
        <f>MONTH(SalesData[[#This Row],[Order Date]])</f>
        <v>12</v>
      </c>
      <c r="D618" t="s">
        <v>50</v>
      </c>
      <c r="E618" t="s">
        <v>37</v>
      </c>
      <c r="F618" t="s">
        <v>27</v>
      </c>
      <c r="G618" t="s">
        <v>28</v>
      </c>
      <c r="H618" t="s">
        <v>29</v>
      </c>
      <c r="I618" s="2">
        <v>350.05</v>
      </c>
      <c r="J618" s="3">
        <v>4</v>
      </c>
      <c r="K618" s="2">
        <v>41.5</v>
      </c>
    </row>
    <row r="619" spans="1:11" x14ac:dyDescent="0.25">
      <c r="A619" s="4">
        <v>41994</v>
      </c>
      <c r="B619" s="3">
        <f>YEAR(SalesData[[#This Row],[Order Date]])</f>
        <v>2014</v>
      </c>
      <c r="C619" s="3">
        <f>MONTH(SalesData[[#This Row],[Order Date]])</f>
        <v>12</v>
      </c>
      <c r="D619" t="s">
        <v>30</v>
      </c>
      <c r="E619" t="s">
        <v>10</v>
      </c>
      <c r="F619" t="s">
        <v>15</v>
      </c>
      <c r="G619" t="s">
        <v>45</v>
      </c>
      <c r="H619" t="s">
        <v>46</v>
      </c>
      <c r="I619" s="2">
        <v>1520.74</v>
      </c>
      <c r="J619" s="3">
        <v>5</v>
      </c>
      <c r="K619" s="2">
        <v>251.2</v>
      </c>
    </row>
    <row r="620" spans="1:11" x14ac:dyDescent="0.25">
      <c r="A620" s="4">
        <v>41995</v>
      </c>
      <c r="B620" s="3">
        <f>YEAR(SalesData[[#This Row],[Order Date]])</f>
        <v>2014</v>
      </c>
      <c r="C620" s="3">
        <f>MONTH(SalesData[[#This Row],[Order Date]])</f>
        <v>12</v>
      </c>
      <c r="D620" t="s">
        <v>68</v>
      </c>
      <c r="E620" t="s">
        <v>26</v>
      </c>
      <c r="F620" t="s">
        <v>15</v>
      </c>
      <c r="G620" t="s">
        <v>38</v>
      </c>
      <c r="H620" t="s">
        <v>39</v>
      </c>
      <c r="I620" s="2">
        <v>4782.58</v>
      </c>
      <c r="J620" s="3">
        <v>5</v>
      </c>
      <c r="K620" s="2">
        <v>1054.75</v>
      </c>
    </row>
    <row r="621" spans="1:11" x14ac:dyDescent="0.25">
      <c r="A621" s="4">
        <v>41996</v>
      </c>
      <c r="B621" s="3">
        <f>YEAR(SalesData[[#This Row],[Order Date]])</f>
        <v>2014</v>
      </c>
      <c r="C621" s="3">
        <f>MONTH(SalesData[[#This Row],[Order Date]])</f>
        <v>12</v>
      </c>
      <c r="D621" t="s">
        <v>30</v>
      </c>
      <c r="E621" t="s">
        <v>31</v>
      </c>
      <c r="F621" t="s">
        <v>15</v>
      </c>
      <c r="G621" t="s">
        <v>38</v>
      </c>
      <c r="H621" t="s">
        <v>39</v>
      </c>
      <c r="I621" s="2">
        <v>1047.1400000000001</v>
      </c>
      <c r="J621" s="3">
        <v>1</v>
      </c>
      <c r="K621" s="2">
        <v>137.58000000000001</v>
      </c>
    </row>
    <row r="622" spans="1:11" x14ac:dyDescent="0.25">
      <c r="A622" s="4">
        <v>41996</v>
      </c>
      <c r="B622" s="3">
        <f>YEAR(SalesData[[#This Row],[Order Date]])</f>
        <v>2014</v>
      </c>
      <c r="C622" s="3">
        <f>MONTH(SalesData[[#This Row],[Order Date]])</f>
        <v>12</v>
      </c>
      <c r="D622" t="s">
        <v>9</v>
      </c>
      <c r="E622" t="s">
        <v>44</v>
      </c>
      <c r="F622" t="s">
        <v>15</v>
      </c>
      <c r="G622" t="s">
        <v>16</v>
      </c>
      <c r="H622" t="s">
        <v>17</v>
      </c>
      <c r="I622" s="2">
        <v>2932.97</v>
      </c>
      <c r="J622" s="3">
        <v>10</v>
      </c>
      <c r="K622" s="2">
        <v>36.47</v>
      </c>
    </row>
    <row r="623" spans="1:11" x14ac:dyDescent="0.25">
      <c r="A623" s="4">
        <v>41997</v>
      </c>
      <c r="B623" s="3">
        <f>YEAR(SalesData[[#This Row],[Order Date]])</f>
        <v>2014</v>
      </c>
      <c r="C623" s="3">
        <f>MONTH(SalesData[[#This Row],[Order Date]])</f>
        <v>12</v>
      </c>
      <c r="D623" t="s">
        <v>47</v>
      </c>
      <c r="E623" t="s">
        <v>52</v>
      </c>
      <c r="F623" t="s">
        <v>15</v>
      </c>
      <c r="G623" t="s">
        <v>45</v>
      </c>
      <c r="H623" t="s">
        <v>59</v>
      </c>
      <c r="I623" s="2">
        <v>4908.4399999999996</v>
      </c>
      <c r="J623" s="3">
        <v>3</v>
      </c>
      <c r="K623" s="2">
        <v>771.23</v>
      </c>
    </row>
    <row r="624" spans="1:11" x14ac:dyDescent="0.25">
      <c r="A624" s="4">
        <v>41997</v>
      </c>
      <c r="B624" s="3">
        <f>YEAR(SalesData[[#This Row],[Order Date]])</f>
        <v>2014</v>
      </c>
      <c r="C624" s="3">
        <f>MONTH(SalesData[[#This Row],[Order Date]])</f>
        <v>12</v>
      </c>
      <c r="D624" t="s">
        <v>68</v>
      </c>
      <c r="E624" t="s">
        <v>26</v>
      </c>
      <c r="F624" t="s">
        <v>15</v>
      </c>
      <c r="G624" t="s">
        <v>41</v>
      </c>
      <c r="H624" t="s">
        <v>61</v>
      </c>
      <c r="I624" s="2">
        <v>3407.45</v>
      </c>
      <c r="J624" s="3">
        <v>8</v>
      </c>
      <c r="K624" s="2">
        <v>490.89</v>
      </c>
    </row>
    <row r="625" spans="1:11" x14ac:dyDescent="0.25">
      <c r="A625" s="4">
        <v>41997</v>
      </c>
      <c r="B625" s="3">
        <f>YEAR(SalesData[[#This Row],[Order Date]])</f>
        <v>2014</v>
      </c>
      <c r="C625" s="3">
        <f>MONTH(SalesData[[#This Row],[Order Date]])</f>
        <v>12</v>
      </c>
      <c r="D625" t="s">
        <v>30</v>
      </c>
      <c r="E625" t="s">
        <v>19</v>
      </c>
      <c r="F625" t="s">
        <v>27</v>
      </c>
      <c r="G625" t="s">
        <v>28</v>
      </c>
      <c r="H625" t="s">
        <v>69</v>
      </c>
      <c r="I625" s="2">
        <v>3916.06</v>
      </c>
      <c r="J625" s="3">
        <v>8</v>
      </c>
      <c r="K625" s="2">
        <v>646.54</v>
      </c>
    </row>
    <row r="626" spans="1:11" x14ac:dyDescent="0.25">
      <c r="A626" s="4">
        <v>41998</v>
      </c>
      <c r="B626" s="3">
        <f>YEAR(SalesData[[#This Row],[Order Date]])</f>
        <v>2014</v>
      </c>
      <c r="C626" s="3">
        <f>MONTH(SalesData[[#This Row],[Order Date]])</f>
        <v>12</v>
      </c>
      <c r="D626" t="s">
        <v>68</v>
      </c>
      <c r="E626" t="s">
        <v>52</v>
      </c>
      <c r="F626" t="s">
        <v>15</v>
      </c>
      <c r="G626" t="s">
        <v>45</v>
      </c>
      <c r="H626" t="s">
        <v>59</v>
      </c>
      <c r="I626" s="2">
        <v>481.86</v>
      </c>
      <c r="J626" s="3">
        <v>7</v>
      </c>
      <c r="K626" s="2">
        <v>0.68</v>
      </c>
    </row>
    <row r="627" spans="1:11" x14ac:dyDescent="0.25">
      <c r="A627" s="4">
        <v>41998</v>
      </c>
      <c r="B627" s="3">
        <f>YEAR(SalesData[[#This Row],[Order Date]])</f>
        <v>2014</v>
      </c>
      <c r="C627" s="3">
        <f>MONTH(SalesData[[#This Row],[Order Date]])</f>
        <v>12</v>
      </c>
      <c r="D627" t="s">
        <v>9</v>
      </c>
      <c r="E627" t="s">
        <v>31</v>
      </c>
      <c r="F627" t="s">
        <v>27</v>
      </c>
      <c r="G627" t="s">
        <v>48</v>
      </c>
      <c r="H627" t="s">
        <v>57</v>
      </c>
      <c r="I627" s="2">
        <v>2002.28</v>
      </c>
      <c r="J627" s="3">
        <v>1</v>
      </c>
      <c r="K627" s="2">
        <v>387.18</v>
      </c>
    </row>
    <row r="628" spans="1:11" x14ac:dyDescent="0.25">
      <c r="A628" s="4">
        <v>41998</v>
      </c>
      <c r="B628" s="3">
        <f>YEAR(SalesData[[#This Row],[Order Date]])</f>
        <v>2014</v>
      </c>
      <c r="C628" s="3">
        <f>MONTH(SalesData[[#This Row],[Order Date]])</f>
        <v>12</v>
      </c>
      <c r="D628" t="s">
        <v>14</v>
      </c>
      <c r="E628" t="s">
        <v>52</v>
      </c>
      <c r="F628" t="s">
        <v>11</v>
      </c>
      <c r="G628" t="s">
        <v>21</v>
      </c>
      <c r="H628" t="s">
        <v>67</v>
      </c>
      <c r="I628" s="2">
        <v>2390.1799999999998</v>
      </c>
      <c r="J628" s="3">
        <v>2</v>
      </c>
      <c r="K628" s="2">
        <v>375.71</v>
      </c>
    </row>
    <row r="629" spans="1:11" x14ac:dyDescent="0.25">
      <c r="A629" s="4">
        <v>42000</v>
      </c>
      <c r="B629" s="3">
        <f>YEAR(SalesData[[#This Row],[Order Date]])</f>
        <v>2014</v>
      </c>
      <c r="C629" s="3">
        <f>MONTH(SalesData[[#This Row],[Order Date]])</f>
        <v>12</v>
      </c>
      <c r="D629" t="s">
        <v>68</v>
      </c>
      <c r="E629" t="s">
        <v>34</v>
      </c>
      <c r="F629" t="s">
        <v>11</v>
      </c>
      <c r="G629" t="s">
        <v>35</v>
      </c>
      <c r="H629" t="s">
        <v>70</v>
      </c>
      <c r="I629" s="2">
        <v>1382.51</v>
      </c>
      <c r="J629" s="3">
        <v>5</v>
      </c>
      <c r="K629" s="2">
        <v>251.67</v>
      </c>
    </row>
    <row r="630" spans="1:11" x14ac:dyDescent="0.25">
      <c r="A630" s="4">
        <v>42000</v>
      </c>
      <c r="B630" s="3">
        <f>YEAR(SalesData[[#This Row],[Order Date]])</f>
        <v>2014</v>
      </c>
      <c r="C630" s="3">
        <f>MONTH(SalesData[[#This Row],[Order Date]])</f>
        <v>12</v>
      </c>
      <c r="D630" t="s">
        <v>23</v>
      </c>
      <c r="E630" t="s">
        <v>19</v>
      </c>
      <c r="F630" t="s">
        <v>11</v>
      </c>
      <c r="G630" t="s">
        <v>24</v>
      </c>
      <c r="H630" t="s">
        <v>54</v>
      </c>
      <c r="I630" s="2">
        <v>3983.84</v>
      </c>
      <c r="J630" s="3">
        <v>4</v>
      </c>
      <c r="K630" s="2">
        <v>142.91999999999999</v>
      </c>
    </row>
    <row r="631" spans="1:11" x14ac:dyDescent="0.25">
      <c r="A631" s="4">
        <v>42002</v>
      </c>
      <c r="B631" s="3">
        <f>YEAR(SalesData[[#This Row],[Order Date]])</f>
        <v>2014</v>
      </c>
      <c r="C631" s="3">
        <f>MONTH(SalesData[[#This Row],[Order Date]])</f>
        <v>12</v>
      </c>
      <c r="D631" t="s">
        <v>62</v>
      </c>
      <c r="E631" t="s">
        <v>44</v>
      </c>
      <c r="F631" t="s">
        <v>27</v>
      </c>
      <c r="G631" t="s">
        <v>28</v>
      </c>
      <c r="H631" t="s">
        <v>58</v>
      </c>
      <c r="I631" s="2">
        <v>4432.78</v>
      </c>
      <c r="J631" s="3">
        <v>2</v>
      </c>
      <c r="K631" s="2">
        <v>126.26</v>
      </c>
    </row>
    <row r="632" spans="1:11" x14ac:dyDescent="0.25">
      <c r="A632" s="4">
        <v>42002</v>
      </c>
      <c r="B632" s="3">
        <f>YEAR(SalesData[[#This Row],[Order Date]])</f>
        <v>2014</v>
      </c>
      <c r="C632" s="3">
        <f>MONTH(SalesData[[#This Row],[Order Date]])</f>
        <v>12</v>
      </c>
      <c r="D632" t="s">
        <v>43</v>
      </c>
      <c r="E632" t="s">
        <v>37</v>
      </c>
      <c r="F632" t="s">
        <v>15</v>
      </c>
      <c r="G632" t="s">
        <v>16</v>
      </c>
      <c r="H632" t="s">
        <v>51</v>
      </c>
      <c r="I632" s="2">
        <v>3426.87</v>
      </c>
      <c r="J632" s="3">
        <v>10</v>
      </c>
      <c r="K632" s="2">
        <v>377.65</v>
      </c>
    </row>
    <row r="633" spans="1:11" x14ac:dyDescent="0.25">
      <c r="A633" s="4">
        <v>42003</v>
      </c>
      <c r="B633" s="3">
        <f>YEAR(SalesData[[#This Row],[Order Date]])</f>
        <v>2014</v>
      </c>
      <c r="C633" s="3">
        <f>MONTH(SalesData[[#This Row],[Order Date]])</f>
        <v>12</v>
      </c>
      <c r="D633" t="s">
        <v>20</v>
      </c>
      <c r="E633" t="s">
        <v>19</v>
      </c>
      <c r="F633" t="s">
        <v>15</v>
      </c>
      <c r="G633" t="s">
        <v>41</v>
      </c>
      <c r="H633" t="s">
        <v>61</v>
      </c>
      <c r="I633" s="2">
        <v>1313.39</v>
      </c>
      <c r="J633" s="3">
        <v>3</v>
      </c>
      <c r="K633" s="2">
        <v>293.5</v>
      </c>
    </row>
    <row r="634" spans="1:11" x14ac:dyDescent="0.25">
      <c r="A634" s="4">
        <v>42004</v>
      </c>
      <c r="B634" s="3">
        <f>YEAR(SalesData[[#This Row],[Order Date]])</f>
        <v>2014</v>
      </c>
      <c r="C634" s="3">
        <f>MONTH(SalesData[[#This Row],[Order Date]])</f>
        <v>12</v>
      </c>
      <c r="D634" t="s">
        <v>9</v>
      </c>
      <c r="E634" t="s">
        <v>37</v>
      </c>
      <c r="F634" t="s">
        <v>15</v>
      </c>
      <c r="G634" t="s">
        <v>38</v>
      </c>
      <c r="H634" t="s">
        <v>56</v>
      </c>
      <c r="I634" s="2">
        <v>4393.0600000000004</v>
      </c>
      <c r="J634" s="3">
        <v>4</v>
      </c>
      <c r="K634" s="2">
        <v>811.55</v>
      </c>
    </row>
    <row r="635" spans="1:11" x14ac:dyDescent="0.25">
      <c r="A635" s="4">
        <v>42007</v>
      </c>
      <c r="B635" s="3">
        <f>YEAR(SalesData[[#This Row],[Order Date]])</f>
        <v>2015</v>
      </c>
      <c r="C635" s="3">
        <f>MONTH(SalesData[[#This Row],[Order Date]])</f>
        <v>1</v>
      </c>
      <c r="D635" t="s">
        <v>9</v>
      </c>
      <c r="E635" t="s">
        <v>44</v>
      </c>
      <c r="F635" t="s">
        <v>27</v>
      </c>
      <c r="G635" t="s">
        <v>28</v>
      </c>
      <c r="H635" t="s">
        <v>58</v>
      </c>
      <c r="I635" s="2">
        <v>2988.78</v>
      </c>
      <c r="J635" s="3">
        <v>5</v>
      </c>
      <c r="K635" s="2">
        <v>849.36</v>
      </c>
    </row>
    <row r="636" spans="1:11" x14ac:dyDescent="0.25">
      <c r="A636" s="4">
        <v>42008</v>
      </c>
      <c r="B636" s="3">
        <f>YEAR(SalesData[[#This Row],[Order Date]])</f>
        <v>2015</v>
      </c>
      <c r="C636" s="3">
        <f>MONTH(SalesData[[#This Row],[Order Date]])</f>
        <v>1</v>
      </c>
      <c r="D636" t="s">
        <v>47</v>
      </c>
      <c r="E636" t="s">
        <v>44</v>
      </c>
      <c r="F636" t="s">
        <v>11</v>
      </c>
      <c r="G636" t="s">
        <v>12</v>
      </c>
      <c r="H636" t="s">
        <v>65</v>
      </c>
      <c r="I636" s="2">
        <v>3147.9</v>
      </c>
      <c r="J636" s="3">
        <v>8</v>
      </c>
      <c r="K636" s="2">
        <v>260.35000000000002</v>
      </c>
    </row>
    <row r="637" spans="1:11" x14ac:dyDescent="0.25">
      <c r="A637" s="4">
        <v>42009</v>
      </c>
      <c r="B637" s="3">
        <f>YEAR(SalesData[[#This Row],[Order Date]])</f>
        <v>2015</v>
      </c>
      <c r="C637" s="3">
        <f>MONTH(SalesData[[#This Row],[Order Date]])</f>
        <v>1</v>
      </c>
      <c r="D637" t="s">
        <v>14</v>
      </c>
      <c r="E637" t="s">
        <v>19</v>
      </c>
      <c r="F637" t="s">
        <v>11</v>
      </c>
      <c r="G637" t="s">
        <v>35</v>
      </c>
      <c r="H637" t="s">
        <v>36</v>
      </c>
      <c r="I637" s="2">
        <v>3080.23</v>
      </c>
      <c r="J637" s="3">
        <v>8</v>
      </c>
      <c r="K637" s="2">
        <v>352.31</v>
      </c>
    </row>
    <row r="638" spans="1:11" x14ac:dyDescent="0.25">
      <c r="A638" s="4">
        <v>42009</v>
      </c>
      <c r="B638" s="3">
        <f>YEAR(SalesData[[#This Row],[Order Date]])</f>
        <v>2015</v>
      </c>
      <c r="C638" s="3">
        <f>MONTH(SalesData[[#This Row],[Order Date]])</f>
        <v>1</v>
      </c>
      <c r="D638" t="s">
        <v>55</v>
      </c>
      <c r="E638" t="s">
        <v>10</v>
      </c>
      <c r="F638" t="s">
        <v>15</v>
      </c>
      <c r="G638" t="s">
        <v>41</v>
      </c>
      <c r="H638" t="s">
        <v>42</v>
      </c>
      <c r="I638" s="2">
        <v>2185.9899999999998</v>
      </c>
      <c r="J638" s="3">
        <v>7</v>
      </c>
      <c r="K638" s="2">
        <v>144.96</v>
      </c>
    </row>
    <row r="639" spans="1:11" x14ac:dyDescent="0.25">
      <c r="A639" s="4">
        <v>42009</v>
      </c>
      <c r="B639" s="3">
        <f>YEAR(SalesData[[#This Row],[Order Date]])</f>
        <v>2015</v>
      </c>
      <c r="C639" s="3">
        <f>MONTH(SalesData[[#This Row],[Order Date]])</f>
        <v>1</v>
      </c>
      <c r="D639" t="s">
        <v>14</v>
      </c>
      <c r="E639" t="s">
        <v>19</v>
      </c>
      <c r="F639" t="s">
        <v>11</v>
      </c>
      <c r="G639" t="s">
        <v>35</v>
      </c>
      <c r="H639" t="s">
        <v>36</v>
      </c>
      <c r="I639" s="2">
        <v>3707.81</v>
      </c>
      <c r="J639" s="3">
        <v>8</v>
      </c>
      <c r="K639" s="2">
        <v>326.3</v>
      </c>
    </row>
    <row r="640" spans="1:11" x14ac:dyDescent="0.25">
      <c r="A640" s="4">
        <v>42010</v>
      </c>
      <c r="B640" s="3">
        <f>YEAR(SalesData[[#This Row],[Order Date]])</f>
        <v>2015</v>
      </c>
      <c r="C640" s="3">
        <f>MONTH(SalesData[[#This Row],[Order Date]])</f>
        <v>1</v>
      </c>
      <c r="D640" t="s">
        <v>14</v>
      </c>
      <c r="E640" t="s">
        <v>40</v>
      </c>
      <c r="F640" t="s">
        <v>27</v>
      </c>
      <c r="G640" t="s">
        <v>48</v>
      </c>
      <c r="H640" t="s">
        <v>49</v>
      </c>
      <c r="I640" s="2">
        <v>2746.14</v>
      </c>
      <c r="J640" s="3">
        <v>4</v>
      </c>
      <c r="K640" s="2">
        <v>434.21</v>
      </c>
    </row>
    <row r="641" spans="1:11" x14ac:dyDescent="0.25">
      <c r="A641" s="4">
        <v>42010</v>
      </c>
      <c r="B641" s="3">
        <f>YEAR(SalesData[[#This Row],[Order Date]])</f>
        <v>2015</v>
      </c>
      <c r="C641" s="3">
        <f>MONTH(SalesData[[#This Row],[Order Date]])</f>
        <v>1</v>
      </c>
      <c r="D641" t="s">
        <v>68</v>
      </c>
      <c r="E641" t="s">
        <v>19</v>
      </c>
      <c r="F641" t="s">
        <v>27</v>
      </c>
      <c r="G641" t="s">
        <v>48</v>
      </c>
      <c r="H641" t="s">
        <v>49</v>
      </c>
      <c r="I641" s="2">
        <v>4699.16</v>
      </c>
      <c r="J641" s="3">
        <v>10</v>
      </c>
      <c r="K641" s="2">
        <v>714.67</v>
      </c>
    </row>
    <row r="642" spans="1:11" x14ac:dyDescent="0.25">
      <c r="A642" s="4">
        <v>42010</v>
      </c>
      <c r="B642" s="3">
        <f>YEAR(SalesData[[#This Row],[Order Date]])</f>
        <v>2015</v>
      </c>
      <c r="C642" s="3">
        <f>MONTH(SalesData[[#This Row],[Order Date]])</f>
        <v>1</v>
      </c>
      <c r="D642" t="s">
        <v>9</v>
      </c>
      <c r="E642" t="s">
        <v>31</v>
      </c>
      <c r="F642" t="s">
        <v>11</v>
      </c>
      <c r="G642" t="s">
        <v>24</v>
      </c>
      <c r="H642" t="s">
        <v>25</v>
      </c>
      <c r="I642" s="2">
        <v>4179.1099999999997</v>
      </c>
      <c r="J642" s="3">
        <v>3</v>
      </c>
      <c r="K642" s="2">
        <v>510.43</v>
      </c>
    </row>
    <row r="643" spans="1:11" x14ac:dyDescent="0.25">
      <c r="A643" s="4">
        <v>42010</v>
      </c>
      <c r="B643" s="3">
        <f>YEAR(SalesData[[#This Row],[Order Date]])</f>
        <v>2015</v>
      </c>
      <c r="C643" s="3">
        <f>MONTH(SalesData[[#This Row],[Order Date]])</f>
        <v>1</v>
      </c>
      <c r="D643" t="s">
        <v>30</v>
      </c>
      <c r="E643" t="s">
        <v>26</v>
      </c>
      <c r="F643" t="s">
        <v>27</v>
      </c>
      <c r="G643" t="s">
        <v>28</v>
      </c>
      <c r="H643" t="s">
        <v>69</v>
      </c>
      <c r="I643" s="2">
        <v>1878.71</v>
      </c>
      <c r="J643" s="3">
        <v>3</v>
      </c>
      <c r="K643" s="2">
        <v>158.32</v>
      </c>
    </row>
    <row r="644" spans="1:11" x14ac:dyDescent="0.25">
      <c r="A644" s="4">
        <v>42010</v>
      </c>
      <c r="B644" s="3">
        <f>YEAR(SalesData[[#This Row],[Order Date]])</f>
        <v>2015</v>
      </c>
      <c r="C644" s="3">
        <f>MONTH(SalesData[[#This Row],[Order Date]])</f>
        <v>1</v>
      </c>
      <c r="D644" t="s">
        <v>20</v>
      </c>
      <c r="E644" t="s">
        <v>60</v>
      </c>
      <c r="F644" t="s">
        <v>11</v>
      </c>
      <c r="G644" t="s">
        <v>35</v>
      </c>
      <c r="H644" t="s">
        <v>71</v>
      </c>
      <c r="I644" s="2">
        <v>4576.59</v>
      </c>
      <c r="J644" s="3">
        <v>5</v>
      </c>
      <c r="K644" s="2">
        <v>947.18</v>
      </c>
    </row>
    <row r="645" spans="1:11" x14ac:dyDescent="0.25">
      <c r="A645" s="4">
        <v>42011</v>
      </c>
      <c r="B645" s="3">
        <f>YEAR(SalesData[[#This Row],[Order Date]])</f>
        <v>2015</v>
      </c>
      <c r="C645" s="3">
        <f>MONTH(SalesData[[#This Row],[Order Date]])</f>
        <v>1</v>
      </c>
      <c r="D645" t="s">
        <v>55</v>
      </c>
      <c r="E645" t="s">
        <v>19</v>
      </c>
      <c r="F645" t="s">
        <v>11</v>
      </c>
      <c r="G645" t="s">
        <v>21</v>
      </c>
      <c r="H645" t="s">
        <v>22</v>
      </c>
      <c r="I645" s="2">
        <v>2951.27</v>
      </c>
      <c r="J645" s="3">
        <v>8</v>
      </c>
      <c r="K645" s="2">
        <v>546.89</v>
      </c>
    </row>
    <row r="646" spans="1:11" x14ac:dyDescent="0.25">
      <c r="A646" s="4">
        <v>42012</v>
      </c>
      <c r="B646" s="3">
        <f>YEAR(SalesData[[#This Row],[Order Date]])</f>
        <v>2015</v>
      </c>
      <c r="C646" s="3">
        <f>MONTH(SalesData[[#This Row],[Order Date]])</f>
        <v>1</v>
      </c>
      <c r="D646" t="s">
        <v>14</v>
      </c>
      <c r="E646" t="s">
        <v>10</v>
      </c>
      <c r="F646" t="s">
        <v>27</v>
      </c>
      <c r="G646" t="s">
        <v>48</v>
      </c>
      <c r="H646" t="s">
        <v>57</v>
      </c>
      <c r="I646" s="2">
        <v>412.04</v>
      </c>
      <c r="J646" s="3">
        <v>5</v>
      </c>
      <c r="K646" s="2">
        <v>25.57</v>
      </c>
    </row>
    <row r="647" spans="1:11" x14ac:dyDescent="0.25">
      <c r="A647" s="4">
        <v>42012</v>
      </c>
      <c r="B647" s="3">
        <f>YEAR(SalesData[[#This Row],[Order Date]])</f>
        <v>2015</v>
      </c>
      <c r="C647" s="3">
        <f>MONTH(SalesData[[#This Row],[Order Date]])</f>
        <v>1</v>
      </c>
      <c r="D647" t="s">
        <v>68</v>
      </c>
      <c r="E647" t="s">
        <v>44</v>
      </c>
      <c r="F647" t="s">
        <v>27</v>
      </c>
      <c r="G647" t="s">
        <v>28</v>
      </c>
      <c r="H647" t="s">
        <v>69</v>
      </c>
      <c r="I647" s="2">
        <v>3466.11</v>
      </c>
      <c r="J647" s="3">
        <v>7</v>
      </c>
      <c r="K647" s="2">
        <v>106.82</v>
      </c>
    </row>
    <row r="648" spans="1:11" x14ac:dyDescent="0.25">
      <c r="A648" s="4">
        <v>42013</v>
      </c>
      <c r="B648" s="3">
        <f>YEAR(SalesData[[#This Row],[Order Date]])</f>
        <v>2015</v>
      </c>
      <c r="C648" s="3">
        <f>MONTH(SalesData[[#This Row],[Order Date]])</f>
        <v>1</v>
      </c>
      <c r="D648" t="s">
        <v>55</v>
      </c>
      <c r="E648" t="s">
        <v>31</v>
      </c>
      <c r="F648" t="s">
        <v>15</v>
      </c>
      <c r="G648" t="s">
        <v>38</v>
      </c>
      <c r="H648" t="s">
        <v>56</v>
      </c>
      <c r="I648" s="2">
        <v>1427.5</v>
      </c>
      <c r="J648" s="3">
        <v>6</v>
      </c>
      <c r="K648" s="2">
        <v>184.35</v>
      </c>
    </row>
    <row r="649" spans="1:11" x14ac:dyDescent="0.25">
      <c r="A649" s="4">
        <v>42013</v>
      </c>
      <c r="B649" s="3">
        <f>YEAR(SalesData[[#This Row],[Order Date]])</f>
        <v>2015</v>
      </c>
      <c r="C649" s="3">
        <f>MONTH(SalesData[[#This Row],[Order Date]])</f>
        <v>1</v>
      </c>
      <c r="D649" t="s">
        <v>62</v>
      </c>
      <c r="E649" t="s">
        <v>40</v>
      </c>
      <c r="F649" t="s">
        <v>15</v>
      </c>
      <c r="G649" t="s">
        <v>16</v>
      </c>
      <c r="H649" t="s">
        <v>17</v>
      </c>
      <c r="I649" s="2">
        <v>2276.42</v>
      </c>
      <c r="J649" s="3">
        <v>1</v>
      </c>
      <c r="K649" s="2">
        <v>221.62</v>
      </c>
    </row>
    <row r="650" spans="1:11" x14ac:dyDescent="0.25">
      <c r="A650" s="4">
        <v>42013</v>
      </c>
      <c r="B650" s="3">
        <f>YEAR(SalesData[[#This Row],[Order Date]])</f>
        <v>2015</v>
      </c>
      <c r="C650" s="3">
        <f>MONTH(SalesData[[#This Row],[Order Date]])</f>
        <v>1</v>
      </c>
      <c r="D650" t="s">
        <v>68</v>
      </c>
      <c r="E650" t="s">
        <v>26</v>
      </c>
      <c r="F650" t="s">
        <v>15</v>
      </c>
      <c r="G650" t="s">
        <v>38</v>
      </c>
      <c r="H650" t="s">
        <v>56</v>
      </c>
      <c r="I650" s="2">
        <v>4946.78</v>
      </c>
      <c r="J650" s="3">
        <v>4</v>
      </c>
      <c r="K650" s="2">
        <v>303.73</v>
      </c>
    </row>
    <row r="651" spans="1:11" x14ac:dyDescent="0.25">
      <c r="A651" s="4">
        <v>42014</v>
      </c>
      <c r="B651" s="3">
        <f>YEAR(SalesData[[#This Row],[Order Date]])</f>
        <v>2015</v>
      </c>
      <c r="C651" s="3">
        <f>MONTH(SalesData[[#This Row],[Order Date]])</f>
        <v>1</v>
      </c>
      <c r="D651" t="s">
        <v>14</v>
      </c>
      <c r="E651" t="s">
        <v>40</v>
      </c>
      <c r="F651" t="s">
        <v>15</v>
      </c>
      <c r="G651" t="s">
        <v>41</v>
      </c>
      <c r="H651" t="s">
        <v>42</v>
      </c>
      <c r="I651" s="2">
        <v>3021.08</v>
      </c>
      <c r="J651" s="3">
        <v>6</v>
      </c>
      <c r="K651" s="2">
        <v>45.02</v>
      </c>
    </row>
    <row r="652" spans="1:11" x14ac:dyDescent="0.25">
      <c r="A652" s="4">
        <v>42014</v>
      </c>
      <c r="B652" s="3">
        <f>YEAR(SalesData[[#This Row],[Order Date]])</f>
        <v>2015</v>
      </c>
      <c r="C652" s="3">
        <f>MONTH(SalesData[[#This Row],[Order Date]])</f>
        <v>1</v>
      </c>
      <c r="D652" t="s">
        <v>30</v>
      </c>
      <c r="E652" t="s">
        <v>60</v>
      </c>
      <c r="F652" t="s">
        <v>27</v>
      </c>
      <c r="G652" t="s">
        <v>28</v>
      </c>
      <c r="H652" t="s">
        <v>69</v>
      </c>
      <c r="I652" s="2">
        <v>4593.04</v>
      </c>
      <c r="J652" s="3">
        <v>10</v>
      </c>
      <c r="K652" s="2">
        <v>907.13</v>
      </c>
    </row>
    <row r="653" spans="1:11" x14ac:dyDescent="0.25">
      <c r="A653" s="4">
        <v>42014</v>
      </c>
      <c r="B653" s="3">
        <f>YEAR(SalesData[[#This Row],[Order Date]])</f>
        <v>2015</v>
      </c>
      <c r="C653" s="3">
        <f>MONTH(SalesData[[#This Row],[Order Date]])</f>
        <v>1</v>
      </c>
      <c r="D653" t="s">
        <v>14</v>
      </c>
      <c r="E653" t="s">
        <v>52</v>
      </c>
      <c r="F653" t="s">
        <v>15</v>
      </c>
      <c r="G653" t="s">
        <v>45</v>
      </c>
      <c r="H653" t="s">
        <v>46</v>
      </c>
      <c r="I653" s="2">
        <v>2656.02</v>
      </c>
      <c r="J653" s="3">
        <v>6</v>
      </c>
      <c r="K653" s="2">
        <v>748.8</v>
      </c>
    </row>
    <row r="654" spans="1:11" x14ac:dyDescent="0.25">
      <c r="A654" s="4">
        <v>42015</v>
      </c>
      <c r="B654" s="3">
        <f>YEAR(SalesData[[#This Row],[Order Date]])</f>
        <v>2015</v>
      </c>
      <c r="C654" s="3">
        <f>MONTH(SalesData[[#This Row],[Order Date]])</f>
        <v>1</v>
      </c>
      <c r="D654" t="s">
        <v>68</v>
      </c>
      <c r="E654" t="s">
        <v>31</v>
      </c>
      <c r="F654" t="s">
        <v>15</v>
      </c>
      <c r="G654" t="s">
        <v>38</v>
      </c>
      <c r="H654" t="s">
        <v>56</v>
      </c>
      <c r="I654" s="2">
        <v>922.23</v>
      </c>
      <c r="J654" s="3">
        <v>7</v>
      </c>
      <c r="K654" s="2">
        <v>162.94</v>
      </c>
    </row>
    <row r="655" spans="1:11" x14ac:dyDescent="0.25">
      <c r="A655" s="4">
        <v>42016</v>
      </c>
      <c r="B655" s="3">
        <f>YEAR(SalesData[[#This Row],[Order Date]])</f>
        <v>2015</v>
      </c>
      <c r="C655" s="3">
        <f>MONTH(SalesData[[#This Row],[Order Date]])</f>
        <v>1</v>
      </c>
      <c r="D655" t="s">
        <v>43</v>
      </c>
      <c r="E655" t="s">
        <v>60</v>
      </c>
      <c r="F655" t="s">
        <v>11</v>
      </c>
      <c r="G655" t="s">
        <v>24</v>
      </c>
      <c r="H655" t="s">
        <v>54</v>
      </c>
      <c r="I655" s="2">
        <v>2557.9499999999998</v>
      </c>
      <c r="J655" s="3">
        <v>10</v>
      </c>
      <c r="K655" s="2">
        <v>0.08</v>
      </c>
    </row>
    <row r="656" spans="1:11" x14ac:dyDescent="0.25">
      <c r="A656" s="4">
        <v>42019</v>
      </c>
      <c r="B656" s="3">
        <f>YEAR(SalesData[[#This Row],[Order Date]])</f>
        <v>2015</v>
      </c>
      <c r="C656" s="3">
        <f>MONTH(SalesData[[#This Row],[Order Date]])</f>
        <v>1</v>
      </c>
      <c r="D656" t="s">
        <v>20</v>
      </c>
      <c r="E656" t="s">
        <v>37</v>
      </c>
      <c r="F656" t="s">
        <v>11</v>
      </c>
      <c r="G656" t="s">
        <v>21</v>
      </c>
      <c r="H656" t="s">
        <v>67</v>
      </c>
      <c r="I656" s="2">
        <v>3970.64</v>
      </c>
      <c r="J656" s="3">
        <v>2</v>
      </c>
      <c r="K656" s="2">
        <v>870.66</v>
      </c>
    </row>
    <row r="657" spans="1:11" x14ac:dyDescent="0.25">
      <c r="A657" s="4">
        <v>42019</v>
      </c>
      <c r="B657" s="3">
        <f>YEAR(SalesData[[#This Row],[Order Date]])</f>
        <v>2015</v>
      </c>
      <c r="C657" s="3">
        <f>MONTH(SalesData[[#This Row],[Order Date]])</f>
        <v>1</v>
      </c>
      <c r="D657" t="s">
        <v>62</v>
      </c>
      <c r="E657" t="s">
        <v>34</v>
      </c>
      <c r="F657" t="s">
        <v>15</v>
      </c>
      <c r="G657" t="s">
        <v>38</v>
      </c>
      <c r="H657" t="s">
        <v>39</v>
      </c>
      <c r="I657" s="2">
        <v>951.06</v>
      </c>
      <c r="J657" s="3">
        <v>10</v>
      </c>
      <c r="K657" s="2">
        <v>71.97</v>
      </c>
    </row>
    <row r="658" spans="1:11" x14ac:dyDescent="0.25">
      <c r="A658" s="4">
        <v>42020</v>
      </c>
      <c r="B658" s="3">
        <f>YEAR(SalesData[[#This Row],[Order Date]])</f>
        <v>2015</v>
      </c>
      <c r="C658" s="3">
        <f>MONTH(SalesData[[#This Row],[Order Date]])</f>
        <v>1</v>
      </c>
      <c r="D658" t="s">
        <v>68</v>
      </c>
      <c r="E658" t="s">
        <v>60</v>
      </c>
      <c r="F658" t="s">
        <v>27</v>
      </c>
      <c r="G658" t="s">
        <v>28</v>
      </c>
      <c r="H658" t="s">
        <v>69</v>
      </c>
      <c r="I658" s="2">
        <v>2884.68</v>
      </c>
      <c r="J658" s="3">
        <v>7</v>
      </c>
      <c r="K658" s="2">
        <v>524.29</v>
      </c>
    </row>
    <row r="659" spans="1:11" x14ac:dyDescent="0.25">
      <c r="A659" s="4">
        <v>42021</v>
      </c>
      <c r="B659" s="3">
        <f>YEAR(SalesData[[#This Row],[Order Date]])</f>
        <v>2015</v>
      </c>
      <c r="C659" s="3">
        <f>MONTH(SalesData[[#This Row],[Order Date]])</f>
        <v>1</v>
      </c>
      <c r="D659" t="s">
        <v>62</v>
      </c>
      <c r="E659" t="s">
        <v>52</v>
      </c>
      <c r="F659" t="s">
        <v>11</v>
      </c>
      <c r="G659" t="s">
        <v>21</v>
      </c>
      <c r="H659" t="s">
        <v>67</v>
      </c>
      <c r="I659" s="2">
        <v>4059.7</v>
      </c>
      <c r="J659" s="3">
        <v>5</v>
      </c>
      <c r="K659" s="2">
        <v>461.05</v>
      </c>
    </row>
    <row r="660" spans="1:11" x14ac:dyDescent="0.25">
      <c r="A660" s="4">
        <v>42021</v>
      </c>
      <c r="B660" s="3">
        <f>YEAR(SalesData[[#This Row],[Order Date]])</f>
        <v>2015</v>
      </c>
      <c r="C660" s="3">
        <f>MONTH(SalesData[[#This Row],[Order Date]])</f>
        <v>1</v>
      </c>
      <c r="D660" t="s">
        <v>23</v>
      </c>
      <c r="E660" t="s">
        <v>60</v>
      </c>
      <c r="F660" t="s">
        <v>27</v>
      </c>
      <c r="G660" t="s">
        <v>32</v>
      </c>
      <c r="H660" t="s">
        <v>53</v>
      </c>
      <c r="I660" s="2">
        <v>3386.86</v>
      </c>
      <c r="J660" s="3">
        <v>1</v>
      </c>
      <c r="K660" s="2">
        <v>901.53</v>
      </c>
    </row>
    <row r="661" spans="1:11" x14ac:dyDescent="0.25">
      <c r="A661" s="4">
        <v>42021</v>
      </c>
      <c r="B661" s="3">
        <f>YEAR(SalesData[[#This Row],[Order Date]])</f>
        <v>2015</v>
      </c>
      <c r="C661" s="3">
        <f>MONTH(SalesData[[#This Row],[Order Date]])</f>
        <v>1</v>
      </c>
      <c r="D661" t="s">
        <v>18</v>
      </c>
      <c r="E661" t="s">
        <v>19</v>
      </c>
      <c r="F661" t="s">
        <v>11</v>
      </c>
      <c r="G661" t="s">
        <v>21</v>
      </c>
      <c r="H661" t="s">
        <v>22</v>
      </c>
      <c r="I661" s="2">
        <v>1785.13</v>
      </c>
      <c r="J661" s="3">
        <v>5</v>
      </c>
      <c r="K661" s="2">
        <v>179.37</v>
      </c>
    </row>
    <row r="662" spans="1:11" x14ac:dyDescent="0.25">
      <c r="A662" s="4">
        <v>42022</v>
      </c>
      <c r="B662" s="3">
        <f>YEAR(SalesData[[#This Row],[Order Date]])</f>
        <v>2015</v>
      </c>
      <c r="C662" s="3">
        <f>MONTH(SalesData[[#This Row],[Order Date]])</f>
        <v>1</v>
      </c>
      <c r="D662" t="s">
        <v>30</v>
      </c>
      <c r="E662" t="s">
        <v>60</v>
      </c>
      <c r="F662" t="s">
        <v>11</v>
      </c>
      <c r="G662" t="s">
        <v>35</v>
      </c>
      <c r="H662" t="s">
        <v>71</v>
      </c>
      <c r="I662" s="2">
        <v>3805.4</v>
      </c>
      <c r="J662" s="3">
        <v>9</v>
      </c>
      <c r="K662" s="2">
        <v>642.88</v>
      </c>
    </row>
    <row r="663" spans="1:11" x14ac:dyDescent="0.25">
      <c r="A663" s="4">
        <v>42023</v>
      </c>
      <c r="B663" s="3">
        <f>YEAR(SalesData[[#This Row],[Order Date]])</f>
        <v>2015</v>
      </c>
      <c r="C663" s="3">
        <f>MONTH(SalesData[[#This Row],[Order Date]])</f>
        <v>1</v>
      </c>
      <c r="D663" t="s">
        <v>50</v>
      </c>
      <c r="E663" t="s">
        <v>19</v>
      </c>
      <c r="F663" t="s">
        <v>27</v>
      </c>
      <c r="G663" t="s">
        <v>28</v>
      </c>
      <c r="H663" t="s">
        <v>29</v>
      </c>
      <c r="I663" s="2">
        <v>511.74</v>
      </c>
      <c r="J663" s="3">
        <v>3</v>
      </c>
      <c r="K663" s="2">
        <v>71.180000000000007</v>
      </c>
    </row>
    <row r="664" spans="1:11" x14ac:dyDescent="0.25">
      <c r="A664" s="4">
        <v>42023</v>
      </c>
      <c r="B664" s="3">
        <f>YEAR(SalesData[[#This Row],[Order Date]])</f>
        <v>2015</v>
      </c>
      <c r="C664" s="3">
        <f>MONTH(SalesData[[#This Row],[Order Date]])</f>
        <v>1</v>
      </c>
      <c r="D664" t="s">
        <v>62</v>
      </c>
      <c r="E664" t="s">
        <v>44</v>
      </c>
      <c r="F664" t="s">
        <v>15</v>
      </c>
      <c r="G664" t="s">
        <v>63</v>
      </c>
      <c r="H664" t="s">
        <v>66</v>
      </c>
      <c r="I664" s="2">
        <v>4241.1000000000004</v>
      </c>
      <c r="J664" s="3">
        <v>3</v>
      </c>
      <c r="K664" s="2">
        <v>1173.24</v>
      </c>
    </row>
    <row r="665" spans="1:11" x14ac:dyDescent="0.25">
      <c r="A665" s="4">
        <v>42024</v>
      </c>
      <c r="B665" s="3">
        <f>YEAR(SalesData[[#This Row],[Order Date]])</f>
        <v>2015</v>
      </c>
      <c r="C665" s="3">
        <f>MONTH(SalesData[[#This Row],[Order Date]])</f>
        <v>1</v>
      </c>
      <c r="D665" t="s">
        <v>62</v>
      </c>
      <c r="E665" t="s">
        <v>40</v>
      </c>
      <c r="F665" t="s">
        <v>27</v>
      </c>
      <c r="G665" t="s">
        <v>48</v>
      </c>
      <c r="H665" t="s">
        <v>49</v>
      </c>
      <c r="I665" s="2">
        <v>1250.9100000000001</v>
      </c>
      <c r="J665" s="3">
        <v>9</v>
      </c>
      <c r="K665" s="2">
        <v>368.55</v>
      </c>
    </row>
    <row r="666" spans="1:11" x14ac:dyDescent="0.25">
      <c r="A666" s="4">
        <v>42024</v>
      </c>
      <c r="B666" s="3">
        <f>YEAR(SalesData[[#This Row],[Order Date]])</f>
        <v>2015</v>
      </c>
      <c r="C666" s="3">
        <f>MONTH(SalesData[[#This Row],[Order Date]])</f>
        <v>1</v>
      </c>
      <c r="D666" t="s">
        <v>20</v>
      </c>
      <c r="E666" t="s">
        <v>10</v>
      </c>
      <c r="F666" t="s">
        <v>15</v>
      </c>
      <c r="G666" t="s">
        <v>45</v>
      </c>
      <c r="H666" t="s">
        <v>46</v>
      </c>
      <c r="I666" s="2">
        <v>3448.42</v>
      </c>
      <c r="J666" s="3">
        <v>3</v>
      </c>
      <c r="K666" s="2">
        <v>1010.54</v>
      </c>
    </row>
    <row r="667" spans="1:11" x14ac:dyDescent="0.25">
      <c r="A667" s="4">
        <v>42024</v>
      </c>
      <c r="B667" s="3">
        <f>YEAR(SalesData[[#This Row],[Order Date]])</f>
        <v>2015</v>
      </c>
      <c r="C667" s="3">
        <f>MONTH(SalesData[[#This Row],[Order Date]])</f>
        <v>1</v>
      </c>
      <c r="D667" t="s">
        <v>68</v>
      </c>
      <c r="E667" t="s">
        <v>26</v>
      </c>
      <c r="F667" t="s">
        <v>15</v>
      </c>
      <c r="G667" t="s">
        <v>45</v>
      </c>
      <c r="H667" t="s">
        <v>59</v>
      </c>
      <c r="I667" s="2">
        <v>4967.3</v>
      </c>
      <c r="J667" s="3">
        <v>7</v>
      </c>
      <c r="K667" s="2">
        <v>611.04999999999995</v>
      </c>
    </row>
    <row r="668" spans="1:11" x14ac:dyDescent="0.25">
      <c r="A668" s="4">
        <v>42025</v>
      </c>
      <c r="B668" s="3">
        <f>YEAR(SalesData[[#This Row],[Order Date]])</f>
        <v>2015</v>
      </c>
      <c r="C668" s="3">
        <f>MONTH(SalesData[[#This Row],[Order Date]])</f>
        <v>1</v>
      </c>
      <c r="D668" t="s">
        <v>43</v>
      </c>
      <c r="E668" t="s">
        <v>60</v>
      </c>
      <c r="F668" t="s">
        <v>11</v>
      </c>
      <c r="G668" t="s">
        <v>12</v>
      </c>
      <c r="H668" t="s">
        <v>13</v>
      </c>
      <c r="I668" s="2">
        <v>1845.17</v>
      </c>
      <c r="J668" s="3">
        <v>3</v>
      </c>
      <c r="K668" s="2">
        <v>535.38</v>
      </c>
    </row>
    <row r="669" spans="1:11" x14ac:dyDescent="0.25">
      <c r="A669" s="4">
        <v>42025</v>
      </c>
      <c r="B669" s="3">
        <f>YEAR(SalesData[[#This Row],[Order Date]])</f>
        <v>2015</v>
      </c>
      <c r="C669" s="3">
        <f>MONTH(SalesData[[#This Row],[Order Date]])</f>
        <v>1</v>
      </c>
      <c r="D669" t="s">
        <v>20</v>
      </c>
      <c r="E669" t="s">
        <v>60</v>
      </c>
      <c r="F669" t="s">
        <v>11</v>
      </c>
      <c r="G669" t="s">
        <v>35</v>
      </c>
      <c r="H669" t="s">
        <v>70</v>
      </c>
      <c r="I669" s="2">
        <v>4658.24</v>
      </c>
      <c r="J669" s="3">
        <v>2</v>
      </c>
      <c r="K669" s="2">
        <v>526.72</v>
      </c>
    </row>
    <row r="670" spans="1:11" x14ac:dyDescent="0.25">
      <c r="A670" s="4">
        <v>42026</v>
      </c>
      <c r="B670" s="3">
        <f>YEAR(SalesData[[#This Row],[Order Date]])</f>
        <v>2015</v>
      </c>
      <c r="C670" s="3">
        <f>MONTH(SalesData[[#This Row],[Order Date]])</f>
        <v>1</v>
      </c>
      <c r="D670" t="s">
        <v>50</v>
      </c>
      <c r="E670" t="s">
        <v>19</v>
      </c>
      <c r="F670" t="s">
        <v>11</v>
      </c>
      <c r="G670" t="s">
        <v>35</v>
      </c>
      <c r="H670" t="s">
        <v>71</v>
      </c>
      <c r="I670" s="2">
        <v>2695.45</v>
      </c>
      <c r="J670" s="3">
        <v>3</v>
      </c>
      <c r="K670" s="2">
        <v>770.79</v>
      </c>
    </row>
    <row r="671" spans="1:11" x14ac:dyDescent="0.25">
      <c r="A671" s="4">
        <v>42026</v>
      </c>
      <c r="B671" s="3">
        <f>YEAR(SalesData[[#This Row],[Order Date]])</f>
        <v>2015</v>
      </c>
      <c r="C671" s="3">
        <f>MONTH(SalesData[[#This Row],[Order Date]])</f>
        <v>1</v>
      </c>
      <c r="D671" t="s">
        <v>9</v>
      </c>
      <c r="E671" t="s">
        <v>37</v>
      </c>
      <c r="F671" t="s">
        <v>27</v>
      </c>
      <c r="G671" t="s">
        <v>48</v>
      </c>
      <c r="H671" t="s">
        <v>57</v>
      </c>
      <c r="I671" s="2">
        <v>186.8</v>
      </c>
      <c r="J671" s="3">
        <v>3</v>
      </c>
      <c r="K671" s="2">
        <v>47.92</v>
      </c>
    </row>
    <row r="672" spans="1:11" x14ac:dyDescent="0.25">
      <c r="A672" s="4">
        <v>42027</v>
      </c>
      <c r="B672" s="3">
        <f>YEAR(SalesData[[#This Row],[Order Date]])</f>
        <v>2015</v>
      </c>
      <c r="C672" s="3">
        <f>MONTH(SalesData[[#This Row],[Order Date]])</f>
        <v>1</v>
      </c>
      <c r="D672" t="s">
        <v>47</v>
      </c>
      <c r="E672" t="s">
        <v>10</v>
      </c>
      <c r="F672" t="s">
        <v>15</v>
      </c>
      <c r="G672" t="s">
        <v>45</v>
      </c>
      <c r="H672" t="s">
        <v>46</v>
      </c>
      <c r="I672" s="2">
        <v>488.01</v>
      </c>
      <c r="J672" s="3">
        <v>5</v>
      </c>
      <c r="K672" s="2">
        <v>29.38</v>
      </c>
    </row>
    <row r="673" spans="1:11" x14ac:dyDescent="0.25">
      <c r="A673" s="4">
        <v>42027</v>
      </c>
      <c r="B673" s="3">
        <f>YEAR(SalesData[[#This Row],[Order Date]])</f>
        <v>2015</v>
      </c>
      <c r="C673" s="3">
        <f>MONTH(SalesData[[#This Row],[Order Date]])</f>
        <v>1</v>
      </c>
      <c r="D673" t="s">
        <v>9</v>
      </c>
      <c r="E673" t="s">
        <v>10</v>
      </c>
      <c r="F673" t="s">
        <v>27</v>
      </c>
      <c r="G673" t="s">
        <v>32</v>
      </c>
      <c r="H673" t="s">
        <v>33</v>
      </c>
      <c r="I673" s="2">
        <v>245.58</v>
      </c>
      <c r="J673" s="3">
        <v>7</v>
      </c>
      <c r="K673" s="2">
        <v>68.930000000000007</v>
      </c>
    </row>
    <row r="674" spans="1:11" x14ac:dyDescent="0.25">
      <c r="A674" s="4">
        <v>42028</v>
      </c>
      <c r="B674" s="3">
        <f>YEAR(SalesData[[#This Row],[Order Date]])</f>
        <v>2015</v>
      </c>
      <c r="C674" s="3">
        <f>MONTH(SalesData[[#This Row],[Order Date]])</f>
        <v>1</v>
      </c>
      <c r="D674" t="s">
        <v>47</v>
      </c>
      <c r="E674" t="s">
        <v>60</v>
      </c>
      <c r="F674" t="s">
        <v>15</v>
      </c>
      <c r="G674" t="s">
        <v>45</v>
      </c>
      <c r="H674" t="s">
        <v>46</v>
      </c>
      <c r="I674" s="2">
        <v>591.19000000000005</v>
      </c>
      <c r="J674" s="3">
        <v>8</v>
      </c>
      <c r="K674" s="2">
        <v>37.71</v>
      </c>
    </row>
    <row r="675" spans="1:11" x14ac:dyDescent="0.25">
      <c r="A675" s="4">
        <v>42028</v>
      </c>
      <c r="B675" s="3">
        <f>YEAR(SalesData[[#This Row],[Order Date]])</f>
        <v>2015</v>
      </c>
      <c r="C675" s="3">
        <f>MONTH(SalesData[[#This Row],[Order Date]])</f>
        <v>1</v>
      </c>
      <c r="D675" t="s">
        <v>30</v>
      </c>
      <c r="E675" t="s">
        <v>31</v>
      </c>
      <c r="F675" t="s">
        <v>11</v>
      </c>
      <c r="G675" t="s">
        <v>21</v>
      </c>
      <c r="H675" t="s">
        <v>67</v>
      </c>
      <c r="I675" s="2">
        <v>2281.4499999999998</v>
      </c>
      <c r="J675" s="3">
        <v>6</v>
      </c>
      <c r="K675" s="2">
        <v>195.73</v>
      </c>
    </row>
    <row r="676" spans="1:11" x14ac:dyDescent="0.25">
      <c r="A676" s="4">
        <v>42029</v>
      </c>
      <c r="B676" s="3">
        <f>YEAR(SalesData[[#This Row],[Order Date]])</f>
        <v>2015</v>
      </c>
      <c r="C676" s="3">
        <f>MONTH(SalesData[[#This Row],[Order Date]])</f>
        <v>1</v>
      </c>
      <c r="D676" t="s">
        <v>43</v>
      </c>
      <c r="E676" t="s">
        <v>37</v>
      </c>
      <c r="F676" t="s">
        <v>27</v>
      </c>
      <c r="G676" t="s">
        <v>48</v>
      </c>
      <c r="H676" t="s">
        <v>57</v>
      </c>
      <c r="I676" s="2">
        <v>2021.42</v>
      </c>
      <c r="J676" s="3">
        <v>5</v>
      </c>
      <c r="K676" s="2">
        <v>571.58000000000004</v>
      </c>
    </row>
    <row r="677" spans="1:11" x14ac:dyDescent="0.25">
      <c r="A677" s="4">
        <v>42029</v>
      </c>
      <c r="B677" s="3">
        <f>YEAR(SalesData[[#This Row],[Order Date]])</f>
        <v>2015</v>
      </c>
      <c r="C677" s="3">
        <f>MONTH(SalesData[[#This Row],[Order Date]])</f>
        <v>1</v>
      </c>
      <c r="D677" t="s">
        <v>47</v>
      </c>
      <c r="E677" t="s">
        <v>52</v>
      </c>
      <c r="F677" t="s">
        <v>15</v>
      </c>
      <c r="G677" t="s">
        <v>45</v>
      </c>
      <c r="H677" t="s">
        <v>59</v>
      </c>
      <c r="I677" s="2">
        <v>1372.39</v>
      </c>
      <c r="J677" s="3">
        <v>2</v>
      </c>
      <c r="K677" s="2">
        <v>362.79</v>
      </c>
    </row>
    <row r="678" spans="1:11" x14ac:dyDescent="0.25">
      <c r="A678" s="4">
        <v>42030</v>
      </c>
      <c r="B678" s="3">
        <f>YEAR(SalesData[[#This Row],[Order Date]])</f>
        <v>2015</v>
      </c>
      <c r="C678" s="3">
        <f>MONTH(SalesData[[#This Row],[Order Date]])</f>
        <v>1</v>
      </c>
      <c r="D678" t="s">
        <v>9</v>
      </c>
      <c r="E678" t="s">
        <v>10</v>
      </c>
      <c r="F678" t="s">
        <v>11</v>
      </c>
      <c r="G678" t="s">
        <v>24</v>
      </c>
      <c r="H678" t="s">
        <v>54</v>
      </c>
      <c r="I678" s="2">
        <v>81.28</v>
      </c>
      <c r="J678" s="3">
        <v>9</v>
      </c>
      <c r="K678" s="2">
        <v>6.7</v>
      </c>
    </row>
    <row r="679" spans="1:11" x14ac:dyDescent="0.25">
      <c r="A679" s="4">
        <v>42030</v>
      </c>
      <c r="B679" s="3">
        <f>YEAR(SalesData[[#This Row],[Order Date]])</f>
        <v>2015</v>
      </c>
      <c r="C679" s="3">
        <f>MONTH(SalesData[[#This Row],[Order Date]])</f>
        <v>1</v>
      </c>
      <c r="D679" t="s">
        <v>9</v>
      </c>
      <c r="E679" t="s">
        <v>60</v>
      </c>
      <c r="F679" t="s">
        <v>11</v>
      </c>
      <c r="G679" t="s">
        <v>24</v>
      </c>
      <c r="H679" t="s">
        <v>25</v>
      </c>
      <c r="I679" s="2">
        <v>208.41</v>
      </c>
      <c r="J679" s="3">
        <v>8</v>
      </c>
      <c r="K679" s="2">
        <v>14.26</v>
      </c>
    </row>
    <row r="680" spans="1:11" x14ac:dyDescent="0.25">
      <c r="A680" s="4">
        <v>42033</v>
      </c>
      <c r="B680" s="3">
        <f>YEAR(SalesData[[#This Row],[Order Date]])</f>
        <v>2015</v>
      </c>
      <c r="C680" s="3">
        <f>MONTH(SalesData[[#This Row],[Order Date]])</f>
        <v>1</v>
      </c>
      <c r="D680" t="s">
        <v>68</v>
      </c>
      <c r="E680" t="s">
        <v>10</v>
      </c>
      <c r="F680" t="s">
        <v>11</v>
      </c>
      <c r="G680" t="s">
        <v>35</v>
      </c>
      <c r="H680" t="s">
        <v>36</v>
      </c>
      <c r="I680" s="2">
        <v>28.39</v>
      </c>
      <c r="J680" s="3">
        <v>7</v>
      </c>
      <c r="K680" s="2">
        <v>2.63</v>
      </c>
    </row>
    <row r="681" spans="1:11" x14ac:dyDescent="0.25">
      <c r="A681" s="4">
        <v>42033</v>
      </c>
      <c r="B681" s="3">
        <f>YEAR(SalesData[[#This Row],[Order Date]])</f>
        <v>2015</v>
      </c>
      <c r="C681" s="3">
        <f>MONTH(SalesData[[#This Row],[Order Date]])</f>
        <v>1</v>
      </c>
      <c r="D681" t="s">
        <v>18</v>
      </c>
      <c r="E681" t="s">
        <v>31</v>
      </c>
      <c r="F681" t="s">
        <v>15</v>
      </c>
      <c r="G681" t="s">
        <v>63</v>
      </c>
      <c r="H681" t="s">
        <v>66</v>
      </c>
      <c r="I681" s="2">
        <v>1607.22</v>
      </c>
      <c r="J681" s="3">
        <v>2</v>
      </c>
      <c r="K681" s="2">
        <v>248.34</v>
      </c>
    </row>
    <row r="682" spans="1:11" x14ac:dyDescent="0.25">
      <c r="A682" s="4">
        <v>42034</v>
      </c>
      <c r="B682" s="3">
        <f>YEAR(SalesData[[#This Row],[Order Date]])</f>
        <v>2015</v>
      </c>
      <c r="C682" s="3">
        <f>MONTH(SalesData[[#This Row],[Order Date]])</f>
        <v>1</v>
      </c>
      <c r="D682" t="s">
        <v>62</v>
      </c>
      <c r="E682" t="s">
        <v>37</v>
      </c>
      <c r="F682" t="s">
        <v>15</v>
      </c>
      <c r="G682" t="s">
        <v>41</v>
      </c>
      <c r="H682" t="s">
        <v>42</v>
      </c>
      <c r="I682" s="2">
        <v>2274.81</v>
      </c>
      <c r="J682" s="3">
        <v>10</v>
      </c>
      <c r="K682" s="2">
        <v>58.48</v>
      </c>
    </row>
    <row r="683" spans="1:11" x14ac:dyDescent="0.25">
      <c r="A683" s="4">
        <v>42035</v>
      </c>
      <c r="B683" s="3">
        <f>YEAR(SalesData[[#This Row],[Order Date]])</f>
        <v>2015</v>
      </c>
      <c r="C683" s="3">
        <f>MONTH(SalesData[[#This Row],[Order Date]])</f>
        <v>1</v>
      </c>
      <c r="D683" t="s">
        <v>14</v>
      </c>
      <c r="E683" t="s">
        <v>31</v>
      </c>
      <c r="F683" t="s">
        <v>27</v>
      </c>
      <c r="G683" t="s">
        <v>32</v>
      </c>
      <c r="H683" t="s">
        <v>33</v>
      </c>
      <c r="I683" s="2">
        <v>828.25</v>
      </c>
      <c r="J683" s="3">
        <v>6</v>
      </c>
      <c r="K683" s="2">
        <v>75.010000000000005</v>
      </c>
    </row>
    <row r="684" spans="1:11" x14ac:dyDescent="0.25">
      <c r="A684" s="4">
        <v>42037</v>
      </c>
      <c r="B684" s="3">
        <f>YEAR(SalesData[[#This Row],[Order Date]])</f>
        <v>2015</v>
      </c>
      <c r="C684" s="3">
        <f>MONTH(SalesData[[#This Row],[Order Date]])</f>
        <v>2</v>
      </c>
      <c r="D684" t="s">
        <v>68</v>
      </c>
      <c r="E684" t="s">
        <v>60</v>
      </c>
      <c r="F684" t="s">
        <v>15</v>
      </c>
      <c r="G684" t="s">
        <v>45</v>
      </c>
      <c r="H684" t="s">
        <v>59</v>
      </c>
      <c r="I684" s="2">
        <v>2258.4699999999998</v>
      </c>
      <c r="J684" s="3">
        <v>8</v>
      </c>
      <c r="K684" s="2">
        <v>355.33</v>
      </c>
    </row>
    <row r="685" spans="1:11" x14ac:dyDescent="0.25">
      <c r="A685" s="4">
        <v>42037</v>
      </c>
      <c r="B685" s="3">
        <f>YEAR(SalesData[[#This Row],[Order Date]])</f>
        <v>2015</v>
      </c>
      <c r="C685" s="3">
        <f>MONTH(SalesData[[#This Row],[Order Date]])</f>
        <v>2</v>
      </c>
      <c r="D685" t="s">
        <v>55</v>
      </c>
      <c r="E685" t="s">
        <v>52</v>
      </c>
      <c r="F685" t="s">
        <v>11</v>
      </c>
      <c r="G685" t="s">
        <v>21</v>
      </c>
      <c r="H685" t="s">
        <v>22</v>
      </c>
      <c r="I685" s="2">
        <v>2234.65</v>
      </c>
      <c r="J685" s="3">
        <v>5</v>
      </c>
      <c r="K685" s="2">
        <v>158.49</v>
      </c>
    </row>
    <row r="686" spans="1:11" x14ac:dyDescent="0.25">
      <c r="A686" s="4">
        <v>42038</v>
      </c>
      <c r="B686" s="3">
        <f>YEAR(SalesData[[#This Row],[Order Date]])</f>
        <v>2015</v>
      </c>
      <c r="C686" s="3">
        <f>MONTH(SalesData[[#This Row],[Order Date]])</f>
        <v>2</v>
      </c>
      <c r="D686" t="s">
        <v>20</v>
      </c>
      <c r="E686" t="s">
        <v>37</v>
      </c>
      <c r="F686" t="s">
        <v>11</v>
      </c>
      <c r="G686" t="s">
        <v>12</v>
      </c>
      <c r="H686" t="s">
        <v>13</v>
      </c>
      <c r="I686" s="2">
        <v>4903.43</v>
      </c>
      <c r="J686" s="3">
        <v>6</v>
      </c>
      <c r="K686" s="2">
        <v>38.82</v>
      </c>
    </row>
    <row r="687" spans="1:11" x14ac:dyDescent="0.25">
      <c r="A687" s="4">
        <v>42039</v>
      </c>
      <c r="B687" s="3">
        <f>YEAR(SalesData[[#This Row],[Order Date]])</f>
        <v>2015</v>
      </c>
      <c r="C687" s="3">
        <f>MONTH(SalesData[[#This Row],[Order Date]])</f>
        <v>2</v>
      </c>
      <c r="D687" t="s">
        <v>18</v>
      </c>
      <c r="E687" t="s">
        <v>60</v>
      </c>
      <c r="F687" t="s">
        <v>27</v>
      </c>
      <c r="G687" t="s">
        <v>28</v>
      </c>
      <c r="H687" t="s">
        <v>29</v>
      </c>
      <c r="I687" s="2">
        <v>646.36</v>
      </c>
      <c r="J687" s="3">
        <v>5</v>
      </c>
      <c r="K687" s="2">
        <v>135.16</v>
      </c>
    </row>
    <row r="688" spans="1:11" x14ac:dyDescent="0.25">
      <c r="A688" s="4">
        <v>42039</v>
      </c>
      <c r="B688" s="3">
        <f>YEAR(SalesData[[#This Row],[Order Date]])</f>
        <v>2015</v>
      </c>
      <c r="C688" s="3">
        <f>MONTH(SalesData[[#This Row],[Order Date]])</f>
        <v>2</v>
      </c>
      <c r="D688" t="s">
        <v>55</v>
      </c>
      <c r="E688" t="s">
        <v>19</v>
      </c>
      <c r="F688" t="s">
        <v>27</v>
      </c>
      <c r="G688" t="s">
        <v>32</v>
      </c>
      <c r="H688" t="s">
        <v>33</v>
      </c>
      <c r="I688" s="2">
        <v>1029.95</v>
      </c>
      <c r="J688" s="3">
        <v>9</v>
      </c>
      <c r="K688" s="2">
        <v>33.19</v>
      </c>
    </row>
    <row r="689" spans="1:11" x14ac:dyDescent="0.25">
      <c r="A689" s="4">
        <v>42039</v>
      </c>
      <c r="B689" s="3">
        <f>YEAR(SalesData[[#This Row],[Order Date]])</f>
        <v>2015</v>
      </c>
      <c r="C689" s="3">
        <f>MONTH(SalesData[[#This Row],[Order Date]])</f>
        <v>2</v>
      </c>
      <c r="D689" t="s">
        <v>18</v>
      </c>
      <c r="E689" t="s">
        <v>10</v>
      </c>
      <c r="F689" t="s">
        <v>15</v>
      </c>
      <c r="G689" t="s">
        <v>16</v>
      </c>
      <c r="H689" t="s">
        <v>17</v>
      </c>
      <c r="I689" s="2">
        <v>3661.18</v>
      </c>
      <c r="J689" s="3">
        <v>1</v>
      </c>
      <c r="K689" s="2">
        <v>985.81</v>
      </c>
    </row>
    <row r="690" spans="1:11" x14ac:dyDescent="0.25">
      <c r="A690" s="4">
        <v>42039</v>
      </c>
      <c r="B690" s="3">
        <f>YEAR(SalesData[[#This Row],[Order Date]])</f>
        <v>2015</v>
      </c>
      <c r="C690" s="3">
        <f>MONTH(SalesData[[#This Row],[Order Date]])</f>
        <v>2</v>
      </c>
      <c r="D690" t="s">
        <v>9</v>
      </c>
      <c r="E690" t="s">
        <v>44</v>
      </c>
      <c r="F690" t="s">
        <v>11</v>
      </c>
      <c r="G690" t="s">
        <v>21</v>
      </c>
      <c r="H690" t="s">
        <v>22</v>
      </c>
      <c r="I690" s="2">
        <v>4657.55</v>
      </c>
      <c r="J690" s="3">
        <v>2</v>
      </c>
      <c r="K690" s="2">
        <v>1185.4000000000001</v>
      </c>
    </row>
    <row r="691" spans="1:11" x14ac:dyDescent="0.25">
      <c r="A691" s="4">
        <v>42042</v>
      </c>
      <c r="B691" s="3">
        <f>YEAR(SalesData[[#This Row],[Order Date]])</f>
        <v>2015</v>
      </c>
      <c r="C691" s="3">
        <f>MONTH(SalesData[[#This Row],[Order Date]])</f>
        <v>2</v>
      </c>
      <c r="D691" t="s">
        <v>14</v>
      </c>
      <c r="E691" t="s">
        <v>40</v>
      </c>
      <c r="F691" t="s">
        <v>11</v>
      </c>
      <c r="G691" t="s">
        <v>24</v>
      </c>
      <c r="H691" t="s">
        <v>25</v>
      </c>
      <c r="I691" s="2">
        <v>2862.63</v>
      </c>
      <c r="J691" s="3">
        <v>8</v>
      </c>
      <c r="K691" s="2">
        <v>804.69</v>
      </c>
    </row>
    <row r="692" spans="1:11" x14ac:dyDescent="0.25">
      <c r="A692" s="4">
        <v>42042</v>
      </c>
      <c r="B692" s="3">
        <f>YEAR(SalesData[[#This Row],[Order Date]])</f>
        <v>2015</v>
      </c>
      <c r="C692" s="3">
        <f>MONTH(SalesData[[#This Row],[Order Date]])</f>
        <v>2</v>
      </c>
      <c r="D692" t="s">
        <v>23</v>
      </c>
      <c r="E692" t="s">
        <v>19</v>
      </c>
      <c r="F692" t="s">
        <v>27</v>
      </c>
      <c r="G692" t="s">
        <v>32</v>
      </c>
      <c r="H692" t="s">
        <v>33</v>
      </c>
      <c r="I692" s="2">
        <v>4975.28</v>
      </c>
      <c r="J692" s="3">
        <v>8</v>
      </c>
      <c r="K692" s="2">
        <v>378.17</v>
      </c>
    </row>
    <row r="693" spans="1:11" x14ac:dyDescent="0.25">
      <c r="A693" s="4">
        <v>42042</v>
      </c>
      <c r="B693" s="3">
        <f>YEAR(SalesData[[#This Row],[Order Date]])</f>
        <v>2015</v>
      </c>
      <c r="C693" s="3">
        <f>MONTH(SalesData[[#This Row],[Order Date]])</f>
        <v>2</v>
      </c>
      <c r="D693" t="s">
        <v>23</v>
      </c>
      <c r="E693" t="s">
        <v>40</v>
      </c>
      <c r="F693" t="s">
        <v>15</v>
      </c>
      <c r="G693" t="s">
        <v>45</v>
      </c>
      <c r="H693" t="s">
        <v>59</v>
      </c>
      <c r="I693" s="2">
        <v>2081.9499999999998</v>
      </c>
      <c r="J693" s="3">
        <v>7</v>
      </c>
      <c r="K693" s="2">
        <v>381.56</v>
      </c>
    </row>
    <row r="694" spans="1:11" x14ac:dyDescent="0.25">
      <c r="A694" s="4">
        <v>42045</v>
      </c>
      <c r="B694" s="3">
        <f>YEAR(SalesData[[#This Row],[Order Date]])</f>
        <v>2015</v>
      </c>
      <c r="C694" s="3">
        <f>MONTH(SalesData[[#This Row],[Order Date]])</f>
        <v>2</v>
      </c>
      <c r="D694" t="s">
        <v>43</v>
      </c>
      <c r="E694" t="s">
        <v>60</v>
      </c>
      <c r="F694" t="s">
        <v>11</v>
      </c>
      <c r="G694" t="s">
        <v>21</v>
      </c>
      <c r="H694" t="s">
        <v>22</v>
      </c>
      <c r="I694" s="2">
        <v>369.59</v>
      </c>
      <c r="J694" s="3">
        <v>4</v>
      </c>
      <c r="K694" s="2">
        <v>72.44</v>
      </c>
    </row>
    <row r="695" spans="1:11" x14ac:dyDescent="0.25">
      <c r="A695" s="4">
        <v>42046</v>
      </c>
      <c r="B695" s="3">
        <f>YEAR(SalesData[[#This Row],[Order Date]])</f>
        <v>2015</v>
      </c>
      <c r="C695" s="3">
        <f>MONTH(SalesData[[#This Row],[Order Date]])</f>
        <v>2</v>
      </c>
      <c r="D695" t="s">
        <v>47</v>
      </c>
      <c r="E695" t="s">
        <v>52</v>
      </c>
      <c r="F695" t="s">
        <v>15</v>
      </c>
      <c r="G695" t="s">
        <v>16</v>
      </c>
      <c r="H695" t="s">
        <v>51</v>
      </c>
      <c r="I695" s="2">
        <v>215.01</v>
      </c>
      <c r="J695" s="3">
        <v>10</v>
      </c>
      <c r="K695" s="2">
        <v>2.13</v>
      </c>
    </row>
    <row r="696" spans="1:11" x14ac:dyDescent="0.25">
      <c r="A696" s="4">
        <v>42046</v>
      </c>
      <c r="B696" s="3">
        <f>YEAR(SalesData[[#This Row],[Order Date]])</f>
        <v>2015</v>
      </c>
      <c r="C696" s="3">
        <f>MONTH(SalesData[[#This Row],[Order Date]])</f>
        <v>2</v>
      </c>
      <c r="D696" t="s">
        <v>14</v>
      </c>
      <c r="E696" t="s">
        <v>34</v>
      </c>
      <c r="F696" t="s">
        <v>15</v>
      </c>
      <c r="G696" t="s">
        <v>38</v>
      </c>
      <c r="H696" t="s">
        <v>56</v>
      </c>
      <c r="I696" s="2">
        <v>4602.8999999999996</v>
      </c>
      <c r="J696" s="3">
        <v>2</v>
      </c>
      <c r="K696" s="2">
        <v>228.94</v>
      </c>
    </row>
    <row r="697" spans="1:11" x14ac:dyDescent="0.25">
      <c r="A697" s="4">
        <v>42046</v>
      </c>
      <c r="B697" s="3">
        <f>YEAR(SalesData[[#This Row],[Order Date]])</f>
        <v>2015</v>
      </c>
      <c r="C697" s="3">
        <f>MONTH(SalesData[[#This Row],[Order Date]])</f>
        <v>2</v>
      </c>
      <c r="D697" t="s">
        <v>9</v>
      </c>
      <c r="E697" t="s">
        <v>44</v>
      </c>
      <c r="F697" t="s">
        <v>15</v>
      </c>
      <c r="G697" t="s">
        <v>41</v>
      </c>
      <c r="H697" t="s">
        <v>42</v>
      </c>
      <c r="I697" s="2">
        <v>3334.52</v>
      </c>
      <c r="J697" s="3">
        <v>9</v>
      </c>
      <c r="K697" s="2">
        <v>148.01</v>
      </c>
    </row>
    <row r="698" spans="1:11" x14ac:dyDescent="0.25">
      <c r="A698" s="4">
        <v>42048</v>
      </c>
      <c r="B698" s="3">
        <f>YEAR(SalesData[[#This Row],[Order Date]])</f>
        <v>2015</v>
      </c>
      <c r="C698" s="3">
        <f>MONTH(SalesData[[#This Row],[Order Date]])</f>
        <v>2</v>
      </c>
      <c r="D698" t="s">
        <v>20</v>
      </c>
      <c r="E698" t="s">
        <v>34</v>
      </c>
      <c r="F698" t="s">
        <v>15</v>
      </c>
      <c r="G698" t="s">
        <v>41</v>
      </c>
      <c r="H698" t="s">
        <v>42</v>
      </c>
      <c r="I698" s="2">
        <v>2993.31</v>
      </c>
      <c r="J698" s="3">
        <v>10</v>
      </c>
      <c r="K698" s="2">
        <v>530.57000000000005</v>
      </c>
    </row>
    <row r="699" spans="1:11" x14ac:dyDescent="0.25">
      <c r="A699" s="4">
        <v>42050</v>
      </c>
      <c r="B699" s="3">
        <f>YEAR(SalesData[[#This Row],[Order Date]])</f>
        <v>2015</v>
      </c>
      <c r="C699" s="3">
        <f>MONTH(SalesData[[#This Row],[Order Date]])</f>
        <v>2</v>
      </c>
      <c r="D699" t="s">
        <v>14</v>
      </c>
      <c r="E699" t="s">
        <v>34</v>
      </c>
      <c r="F699" t="s">
        <v>15</v>
      </c>
      <c r="G699" t="s">
        <v>41</v>
      </c>
      <c r="H699" t="s">
        <v>42</v>
      </c>
      <c r="I699" s="2">
        <v>3757.79</v>
      </c>
      <c r="J699" s="3">
        <v>6</v>
      </c>
      <c r="K699" s="2">
        <v>587.84</v>
      </c>
    </row>
    <row r="700" spans="1:11" x14ac:dyDescent="0.25">
      <c r="A700" s="4">
        <v>42050</v>
      </c>
      <c r="B700" s="3">
        <f>YEAR(SalesData[[#This Row],[Order Date]])</f>
        <v>2015</v>
      </c>
      <c r="C700" s="3">
        <f>MONTH(SalesData[[#This Row],[Order Date]])</f>
        <v>2</v>
      </c>
      <c r="D700" t="s">
        <v>47</v>
      </c>
      <c r="E700" t="s">
        <v>44</v>
      </c>
      <c r="F700" t="s">
        <v>15</v>
      </c>
      <c r="G700" t="s">
        <v>41</v>
      </c>
      <c r="H700" t="s">
        <v>61</v>
      </c>
      <c r="I700" s="2">
        <v>1439.87</v>
      </c>
      <c r="J700" s="3">
        <v>4</v>
      </c>
      <c r="K700" s="2">
        <v>214.04</v>
      </c>
    </row>
    <row r="701" spans="1:11" x14ac:dyDescent="0.25">
      <c r="A701" s="4">
        <v>42051</v>
      </c>
      <c r="B701" s="3">
        <f>YEAR(SalesData[[#This Row],[Order Date]])</f>
        <v>2015</v>
      </c>
      <c r="C701" s="3">
        <f>MONTH(SalesData[[#This Row],[Order Date]])</f>
        <v>2</v>
      </c>
      <c r="D701" t="s">
        <v>50</v>
      </c>
      <c r="E701" t="s">
        <v>44</v>
      </c>
      <c r="F701" t="s">
        <v>15</v>
      </c>
      <c r="G701" t="s">
        <v>63</v>
      </c>
      <c r="H701" t="s">
        <v>66</v>
      </c>
      <c r="I701" s="2">
        <v>761.67</v>
      </c>
      <c r="J701" s="3">
        <v>6</v>
      </c>
      <c r="K701" s="2">
        <v>206</v>
      </c>
    </row>
    <row r="702" spans="1:11" x14ac:dyDescent="0.25">
      <c r="A702" s="4">
        <v>42052</v>
      </c>
      <c r="B702" s="3">
        <f>YEAR(SalesData[[#This Row],[Order Date]])</f>
        <v>2015</v>
      </c>
      <c r="C702" s="3">
        <f>MONTH(SalesData[[#This Row],[Order Date]])</f>
        <v>2</v>
      </c>
      <c r="D702" t="s">
        <v>30</v>
      </c>
      <c r="E702" t="s">
        <v>60</v>
      </c>
      <c r="F702" t="s">
        <v>15</v>
      </c>
      <c r="G702" t="s">
        <v>38</v>
      </c>
      <c r="H702" t="s">
        <v>56</v>
      </c>
      <c r="I702" s="2">
        <v>3843.03</v>
      </c>
      <c r="J702" s="3">
        <v>5</v>
      </c>
      <c r="K702" s="2">
        <v>330.56</v>
      </c>
    </row>
    <row r="703" spans="1:11" x14ac:dyDescent="0.25">
      <c r="A703" s="4">
        <v>42052</v>
      </c>
      <c r="B703" s="3">
        <f>YEAR(SalesData[[#This Row],[Order Date]])</f>
        <v>2015</v>
      </c>
      <c r="C703" s="3">
        <f>MONTH(SalesData[[#This Row],[Order Date]])</f>
        <v>2</v>
      </c>
      <c r="D703" t="s">
        <v>47</v>
      </c>
      <c r="E703" t="s">
        <v>10</v>
      </c>
      <c r="F703" t="s">
        <v>11</v>
      </c>
      <c r="G703" t="s">
        <v>12</v>
      </c>
      <c r="H703" t="s">
        <v>13</v>
      </c>
      <c r="I703" s="2">
        <v>299.62</v>
      </c>
      <c r="J703" s="3">
        <v>7</v>
      </c>
      <c r="K703" s="2">
        <v>34.96</v>
      </c>
    </row>
    <row r="704" spans="1:11" x14ac:dyDescent="0.25">
      <c r="A704" s="4">
        <v>42052</v>
      </c>
      <c r="B704" s="3">
        <f>YEAR(SalesData[[#This Row],[Order Date]])</f>
        <v>2015</v>
      </c>
      <c r="C704" s="3">
        <f>MONTH(SalesData[[#This Row],[Order Date]])</f>
        <v>2</v>
      </c>
      <c r="D704" t="s">
        <v>47</v>
      </c>
      <c r="E704" t="s">
        <v>52</v>
      </c>
      <c r="F704" t="s">
        <v>11</v>
      </c>
      <c r="G704" t="s">
        <v>12</v>
      </c>
      <c r="H704" t="s">
        <v>65</v>
      </c>
      <c r="I704" s="2">
        <v>2601.34</v>
      </c>
      <c r="J704" s="3">
        <v>5</v>
      </c>
      <c r="K704" s="2">
        <v>369.82</v>
      </c>
    </row>
    <row r="705" spans="1:11" x14ac:dyDescent="0.25">
      <c r="A705" s="4">
        <v>42053</v>
      </c>
      <c r="B705" s="3">
        <f>YEAR(SalesData[[#This Row],[Order Date]])</f>
        <v>2015</v>
      </c>
      <c r="C705" s="3">
        <f>MONTH(SalesData[[#This Row],[Order Date]])</f>
        <v>2</v>
      </c>
      <c r="D705" t="s">
        <v>14</v>
      </c>
      <c r="E705" t="s">
        <v>52</v>
      </c>
      <c r="F705" t="s">
        <v>15</v>
      </c>
      <c r="G705" t="s">
        <v>45</v>
      </c>
      <c r="H705" t="s">
        <v>46</v>
      </c>
      <c r="I705" s="2">
        <v>1319.08</v>
      </c>
      <c r="J705" s="3">
        <v>1</v>
      </c>
      <c r="K705" s="2">
        <v>191.64</v>
      </c>
    </row>
    <row r="706" spans="1:11" x14ac:dyDescent="0.25">
      <c r="A706" s="4">
        <v>42053</v>
      </c>
      <c r="B706" s="3">
        <f>YEAR(SalesData[[#This Row],[Order Date]])</f>
        <v>2015</v>
      </c>
      <c r="C706" s="3">
        <f>MONTH(SalesData[[#This Row],[Order Date]])</f>
        <v>2</v>
      </c>
      <c r="D706" t="s">
        <v>55</v>
      </c>
      <c r="E706" t="s">
        <v>40</v>
      </c>
      <c r="F706" t="s">
        <v>15</v>
      </c>
      <c r="G706" t="s">
        <v>38</v>
      </c>
      <c r="H706" t="s">
        <v>56</v>
      </c>
      <c r="I706" s="2">
        <v>3789.39</v>
      </c>
      <c r="J706" s="3">
        <v>2</v>
      </c>
      <c r="K706" s="2">
        <v>1055.1600000000001</v>
      </c>
    </row>
    <row r="707" spans="1:11" x14ac:dyDescent="0.25">
      <c r="A707" s="4">
        <v>42053</v>
      </c>
      <c r="B707" s="3">
        <f>YEAR(SalesData[[#This Row],[Order Date]])</f>
        <v>2015</v>
      </c>
      <c r="C707" s="3">
        <f>MONTH(SalesData[[#This Row],[Order Date]])</f>
        <v>2</v>
      </c>
      <c r="D707" t="s">
        <v>23</v>
      </c>
      <c r="E707" t="s">
        <v>44</v>
      </c>
      <c r="F707" t="s">
        <v>15</v>
      </c>
      <c r="G707" t="s">
        <v>45</v>
      </c>
      <c r="H707" t="s">
        <v>46</v>
      </c>
      <c r="I707" s="2">
        <v>4607.6400000000003</v>
      </c>
      <c r="J707" s="3">
        <v>6</v>
      </c>
      <c r="K707" s="2">
        <v>41.66</v>
      </c>
    </row>
    <row r="708" spans="1:11" x14ac:dyDescent="0.25">
      <c r="A708" s="4">
        <v>42054</v>
      </c>
      <c r="B708" s="3">
        <f>YEAR(SalesData[[#This Row],[Order Date]])</f>
        <v>2015</v>
      </c>
      <c r="C708" s="3">
        <f>MONTH(SalesData[[#This Row],[Order Date]])</f>
        <v>2</v>
      </c>
      <c r="D708" t="s">
        <v>18</v>
      </c>
      <c r="E708" t="s">
        <v>40</v>
      </c>
      <c r="F708" t="s">
        <v>27</v>
      </c>
      <c r="G708" t="s">
        <v>32</v>
      </c>
      <c r="H708" t="s">
        <v>53</v>
      </c>
      <c r="I708" s="2">
        <v>2009.41</v>
      </c>
      <c r="J708" s="3">
        <v>2</v>
      </c>
      <c r="K708" s="2">
        <v>445.72</v>
      </c>
    </row>
    <row r="709" spans="1:11" x14ac:dyDescent="0.25">
      <c r="A709" s="4">
        <v>42055</v>
      </c>
      <c r="B709" s="3">
        <f>YEAR(SalesData[[#This Row],[Order Date]])</f>
        <v>2015</v>
      </c>
      <c r="C709" s="3">
        <f>MONTH(SalesData[[#This Row],[Order Date]])</f>
        <v>2</v>
      </c>
      <c r="D709" t="s">
        <v>50</v>
      </c>
      <c r="E709" t="s">
        <v>40</v>
      </c>
      <c r="F709" t="s">
        <v>11</v>
      </c>
      <c r="G709" t="s">
        <v>12</v>
      </c>
      <c r="H709" t="s">
        <v>13</v>
      </c>
      <c r="I709" s="2">
        <v>4836.5600000000004</v>
      </c>
      <c r="J709" s="3">
        <v>5</v>
      </c>
      <c r="K709" s="2">
        <v>434.89</v>
      </c>
    </row>
    <row r="710" spans="1:11" x14ac:dyDescent="0.25">
      <c r="A710" s="4">
        <v>42056</v>
      </c>
      <c r="B710" s="3">
        <f>YEAR(SalesData[[#This Row],[Order Date]])</f>
        <v>2015</v>
      </c>
      <c r="C710" s="3">
        <f>MONTH(SalesData[[#This Row],[Order Date]])</f>
        <v>2</v>
      </c>
      <c r="D710" t="s">
        <v>55</v>
      </c>
      <c r="E710" t="s">
        <v>31</v>
      </c>
      <c r="F710" t="s">
        <v>15</v>
      </c>
      <c r="G710" t="s">
        <v>45</v>
      </c>
      <c r="H710" t="s">
        <v>46</v>
      </c>
      <c r="I710" s="2">
        <v>1557.89</v>
      </c>
      <c r="J710" s="3">
        <v>5</v>
      </c>
      <c r="K710" s="2">
        <v>383.03</v>
      </c>
    </row>
    <row r="711" spans="1:11" x14ac:dyDescent="0.25">
      <c r="A711" s="4">
        <v>42056</v>
      </c>
      <c r="B711" s="3">
        <f>YEAR(SalesData[[#This Row],[Order Date]])</f>
        <v>2015</v>
      </c>
      <c r="C711" s="3">
        <f>MONTH(SalesData[[#This Row],[Order Date]])</f>
        <v>2</v>
      </c>
      <c r="D711" t="s">
        <v>9</v>
      </c>
      <c r="E711" t="s">
        <v>10</v>
      </c>
      <c r="F711" t="s">
        <v>11</v>
      </c>
      <c r="G711" t="s">
        <v>12</v>
      </c>
      <c r="H711" t="s">
        <v>13</v>
      </c>
      <c r="I711" s="2">
        <v>2555.0500000000002</v>
      </c>
      <c r="J711" s="3">
        <v>9</v>
      </c>
      <c r="K711" s="2">
        <v>542.54999999999995</v>
      </c>
    </row>
    <row r="712" spans="1:11" x14ac:dyDescent="0.25">
      <c r="A712" s="4">
        <v>42056</v>
      </c>
      <c r="B712" s="3">
        <f>YEAR(SalesData[[#This Row],[Order Date]])</f>
        <v>2015</v>
      </c>
      <c r="C712" s="3">
        <f>MONTH(SalesData[[#This Row],[Order Date]])</f>
        <v>2</v>
      </c>
      <c r="D712" t="s">
        <v>14</v>
      </c>
      <c r="E712" t="s">
        <v>37</v>
      </c>
      <c r="F712" t="s">
        <v>15</v>
      </c>
      <c r="G712" t="s">
        <v>63</v>
      </c>
      <c r="H712" t="s">
        <v>66</v>
      </c>
      <c r="I712" s="2">
        <v>1442.55</v>
      </c>
      <c r="J712" s="3">
        <v>9</v>
      </c>
      <c r="K712" s="2">
        <v>22.52</v>
      </c>
    </row>
    <row r="713" spans="1:11" x14ac:dyDescent="0.25">
      <c r="A713" s="4">
        <v>42057</v>
      </c>
      <c r="B713" s="3">
        <f>YEAR(SalesData[[#This Row],[Order Date]])</f>
        <v>2015</v>
      </c>
      <c r="C713" s="3">
        <f>MONTH(SalesData[[#This Row],[Order Date]])</f>
        <v>2</v>
      </c>
      <c r="D713" t="s">
        <v>62</v>
      </c>
      <c r="E713" t="s">
        <v>19</v>
      </c>
      <c r="F713" t="s">
        <v>15</v>
      </c>
      <c r="G713" t="s">
        <v>16</v>
      </c>
      <c r="H713" t="s">
        <v>51</v>
      </c>
      <c r="I713" s="2">
        <v>1908.51</v>
      </c>
      <c r="J713" s="3">
        <v>2</v>
      </c>
      <c r="K713" s="2">
        <v>7.47</v>
      </c>
    </row>
    <row r="714" spans="1:11" x14ac:dyDescent="0.25">
      <c r="A714" s="4">
        <v>42059</v>
      </c>
      <c r="B714" s="3">
        <f>YEAR(SalesData[[#This Row],[Order Date]])</f>
        <v>2015</v>
      </c>
      <c r="C714" s="3">
        <f>MONTH(SalesData[[#This Row],[Order Date]])</f>
        <v>2</v>
      </c>
      <c r="D714" t="s">
        <v>50</v>
      </c>
      <c r="E714" t="s">
        <v>26</v>
      </c>
      <c r="F714" t="s">
        <v>11</v>
      </c>
      <c r="G714" t="s">
        <v>35</v>
      </c>
      <c r="H714" t="s">
        <v>70</v>
      </c>
      <c r="I714" s="2">
        <v>3024.4</v>
      </c>
      <c r="J714" s="3">
        <v>8</v>
      </c>
      <c r="K714" s="2">
        <v>154.71</v>
      </c>
    </row>
    <row r="715" spans="1:11" x14ac:dyDescent="0.25">
      <c r="A715" s="4">
        <v>42060</v>
      </c>
      <c r="B715" s="3">
        <f>YEAR(SalesData[[#This Row],[Order Date]])</f>
        <v>2015</v>
      </c>
      <c r="C715" s="3">
        <f>MONTH(SalesData[[#This Row],[Order Date]])</f>
        <v>2</v>
      </c>
      <c r="D715" t="s">
        <v>23</v>
      </c>
      <c r="E715" t="s">
        <v>37</v>
      </c>
      <c r="F715" t="s">
        <v>27</v>
      </c>
      <c r="G715" t="s">
        <v>28</v>
      </c>
      <c r="H715" t="s">
        <v>58</v>
      </c>
      <c r="I715" s="2">
        <v>4067.87</v>
      </c>
      <c r="J715" s="3">
        <v>10</v>
      </c>
      <c r="K715" s="2">
        <v>640.62</v>
      </c>
    </row>
    <row r="716" spans="1:11" x14ac:dyDescent="0.25">
      <c r="A716" s="4">
        <v>42060</v>
      </c>
      <c r="B716" s="3">
        <f>YEAR(SalesData[[#This Row],[Order Date]])</f>
        <v>2015</v>
      </c>
      <c r="C716" s="3">
        <f>MONTH(SalesData[[#This Row],[Order Date]])</f>
        <v>2</v>
      </c>
      <c r="D716" t="s">
        <v>47</v>
      </c>
      <c r="E716" t="s">
        <v>40</v>
      </c>
      <c r="F716" t="s">
        <v>27</v>
      </c>
      <c r="G716" t="s">
        <v>48</v>
      </c>
      <c r="H716" t="s">
        <v>57</v>
      </c>
      <c r="I716" s="2">
        <v>695.51</v>
      </c>
      <c r="J716" s="3">
        <v>3</v>
      </c>
      <c r="K716" s="2">
        <v>196.01</v>
      </c>
    </row>
    <row r="717" spans="1:11" x14ac:dyDescent="0.25">
      <c r="A717" s="4">
        <v>42062</v>
      </c>
      <c r="B717" s="3">
        <f>YEAR(SalesData[[#This Row],[Order Date]])</f>
        <v>2015</v>
      </c>
      <c r="C717" s="3">
        <f>MONTH(SalesData[[#This Row],[Order Date]])</f>
        <v>2</v>
      </c>
      <c r="D717" t="s">
        <v>68</v>
      </c>
      <c r="E717" t="s">
        <v>52</v>
      </c>
      <c r="F717" t="s">
        <v>11</v>
      </c>
      <c r="G717" t="s">
        <v>12</v>
      </c>
      <c r="H717" t="s">
        <v>13</v>
      </c>
      <c r="I717" s="2">
        <v>4451.33</v>
      </c>
      <c r="J717" s="3">
        <v>10</v>
      </c>
      <c r="K717" s="2">
        <v>78.23</v>
      </c>
    </row>
    <row r="718" spans="1:11" x14ac:dyDescent="0.25">
      <c r="A718" s="4">
        <v>42063</v>
      </c>
      <c r="B718" s="3">
        <f>YEAR(SalesData[[#This Row],[Order Date]])</f>
        <v>2015</v>
      </c>
      <c r="C718" s="3">
        <f>MONTH(SalesData[[#This Row],[Order Date]])</f>
        <v>2</v>
      </c>
      <c r="D718" t="s">
        <v>47</v>
      </c>
      <c r="E718" t="s">
        <v>10</v>
      </c>
      <c r="F718" t="s">
        <v>15</v>
      </c>
      <c r="G718" t="s">
        <v>38</v>
      </c>
      <c r="H718" t="s">
        <v>39</v>
      </c>
      <c r="I718" s="2">
        <v>4454.2700000000004</v>
      </c>
      <c r="J718" s="3">
        <v>5</v>
      </c>
      <c r="K718" s="2">
        <v>92.75</v>
      </c>
    </row>
    <row r="719" spans="1:11" x14ac:dyDescent="0.25">
      <c r="A719" s="4">
        <v>42063</v>
      </c>
      <c r="B719" s="3">
        <f>YEAR(SalesData[[#This Row],[Order Date]])</f>
        <v>2015</v>
      </c>
      <c r="C719" s="3">
        <f>MONTH(SalesData[[#This Row],[Order Date]])</f>
        <v>2</v>
      </c>
      <c r="D719" t="s">
        <v>68</v>
      </c>
      <c r="E719" t="s">
        <v>40</v>
      </c>
      <c r="F719" t="s">
        <v>15</v>
      </c>
      <c r="G719" t="s">
        <v>63</v>
      </c>
      <c r="H719" t="s">
        <v>64</v>
      </c>
      <c r="I719" s="2">
        <v>3003.64</v>
      </c>
      <c r="J719" s="3">
        <v>6</v>
      </c>
      <c r="K719" s="2">
        <v>441.68</v>
      </c>
    </row>
    <row r="720" spans="1:11" x14ac:dyDescent="0.25">
      <c r="A720" s="4">
        <v>42064</v>
      </c>
      <c r="B720" s="3">
        <f>YEAR(SalesData[[#This Row],[Order Date]])</f>
        <v>2015</v>
      </c>
      <c r="C720" s="3">
        <f>MONTH(SalesData[[#This Row],[Order Date]])</f>
        <v>3</v>
      </c>
      <c r="D720" t="s">
        <v>68</v>
      </c>
      <c r="E720" t="s">
        <v>10</v>
      </c>
      <c r="F720" t="s">
        <v>15</v>
      </c>
      <c r="G720" t="s">
        <v>45</v>
      </c>
      <c r="H720" t="s">
        <v>59</v>
      </c>
      <c r="I720" s="2">
        <v>42.4</v>
      </c>
      <c r="J720" s="3">
        <v>10</v>
      </c>
      <c r="K720" s="2">
        <v>9.6</v>
      </c>
    </row>
    <row r="721" spans="1:11" x14ac:dyDescent="0.25">
      <c r="A721" s="4">
        <v>42064</v>
      </c>
      <c r="B721" s="3">
        <f>YEAR(SalesData[[#This Row],[Order Date]])</f>
        <v>2015</v>
      </c>
      <c r="C721" s="3">
        <f>MONTH(SalesData[[#This Row],[Order Date]])</f>
        <v>3</v>
      </c>
      <c r="D721" t="s">
        <v>43</v>
      </c>
      <c r="E721" t="s">
        <v>26</v>
      </c>
      <c r="F721" t="s">
        <v>15</v>
      </c>
      <c r="G721" t="s">
        <v>16</v>
      </c>
      <c r="H721" t="s">
        <v>51</v>
      </c>
      <c r="I721" s="2">
        <v>3691.25</v>
      </c>
      <c r="J721" s="3">
        <v>4</v>
      </c>
      <c r="K721" s="2">
        <v>559.70000000000005</v>
      </c>
    </row>
    <row r="722" spans="1:11" x14ac:dyDescent="0.25">
      <c r="A722" s="4">
        <v>42065</v>
      </c>
      <c r="B722" s="3">
        <f>YEAR(SalesData[[#This Row],[Order Date]])</f>
        <v>2015</v>
      </c>
      <c r="C722" s="3">
        <f>MONTH(SalesData[[#This Row],[Order Date]])</f>
        <v>3</v>
      </c>
      <c r="D722" t="s">
        <v>20</v>
      </c>
      <c r="E722" t="s">
        <v>60</v>
      </c>
      <c r="F722" t="s">
        <v>27</v>
      </c>
      <c r="G722" t="s">
        <v>32</v>
      </c>
      <c r="H722" t="s">
        <v>53</v>
      </c>
      <c r="I722" s="2">
        <v>1805.49</v>
      </c>
      <c r="J722" s="3">
        <v>4</v>
      </c>
      <c r="K722" s="2">
        <v>115.5</v>
      </c>
    </row>
    <row r="723" spans="1:11" x14ac:dyDescent="0.25">
      <c r="A723" s="4">
        <v>42066</v>
      </c>
      <c r="B723" s="3">
        <f>YEAR(SalesData[[#This Row],[Order Date]])</f>
        <v>2015</v>
      </c>
      <c r="C723" s="3">
        <f>MONTH(SalesData[[#This Row],[Order Date]])</f>
        <v>3</v>
      </c>
      <c r="D723" t="s">
        <v>9</v>
      </c>
      <c r="E723" t="s">
        <v>10</v>
      </c>
      <c r="F723" t="s">
        <v>15</v>
      </c>
      <c r="G723" t="s">
        <v>16</v>
      </c>
      <c r="H723" t="s">
        <v>51</v>
      </c>
      <c r="I723" s="2">
        <v>3117.12</v>
      </c>
      <c r="J723" s="3">
        <v>4</v>
      </c>
      <c r="K723" s="2">
        <v>514.02</v>
      </c>
    </row>
    <row r="724" spans="1:11" x14ac:dyDescent="0.25">
      <c r="A724" s="4">
        <v>42066</v>
      </c>
      <c r="B724" s="3">
        <f>YEAR(SalesData[[#This Row],[Order Date]])</f>
        <v>2015</v>
      </c>
      <c r="C724" s="3">
        <f>MONTH(SalesData[[#This Row],[Order Date]])</f>
        <v>3</v>
      </c>
      <c r="D724" t="s">
        <v>62</v>
      </c>
      <c r="E724" t="s">
        <v>37</v>
      </c>
      <c r="F724" t="s">
        <v>11</v>
      </c>
      <c r="G724" t="s">
        <v>35</v>
      </c>
      <c r="H724" t="s">
        <v>71</v>
      </c>
      <c r="I724" s="2">
        <v>2140.59</v>
      </c>
      <c r="J724" s="3">
        <v>3</v>
      </c>
      <c r="K724" s="2">
        <v>93.07</v>
      </c>
    </row>
    <row r="725" spans="1:11" x14ac:dyDescent="0.25">
      <c r="A725" s="4">
        <v>42067</v>
      </c>
      <c r="B725" s="3">
        <f>YEAR(SalesData[[#This Row],[Order Date]])</f>
        <v>2015</v>
      </c>
      <c r="C725" s="3">
        <f>MONTH(SalesData[[#This Row],[Order Date]])</f>
        <v>3</v>
      </c>
      <c r="D725" t="s">
        <v>14</v>
      </c>
      <c r="E725" t="s">
        <v>37</v>
      </c>
      <c r="F725" t="s">
        <v>15</v>
      </c>
      <c r="G725" t="s">
        <v>41</v>
      </c>
      <c r="H725" t="s">
        <v>61</v>
      </c>
      <c r="I725" s="2">
        <v>3404.37</v>
      </c>
      <c r="J725" s="3">
        <v>2</v>
      </c>
      <c r="K725" s="2">
        <v>110.82</v>
      </c>
    </row>
    <row r="726" spans="1:11" x14ac:dyDescent="0.25">
      <c r="A726" s="4">
        <v>42067</v>
      </c>
      <c r="B726" s="3">
        <f>YEAR(SalesData[[#This Row],[Order Date]])</f>
        <v>2015</v>
      </c>
      <c r="C726" s="3">
        <f>MONTH(SalesData[[#This Row],[Order Date]])</f>
        <v>3</v>
      </c>
      <c r="D726" t="s">
        <v>18</v>
      </c>
      <c r="E726" t="s">
        <v>10</v>
      </c>
      <c r="F726" t="s">
        <v>15</v>
      </c>
      <c r="G726" t="s">
        <v>38</v>
      </c>
      <c r="H726" t="s">
        <v>39</v>
      </c>
      <c r="I726" s="2">
        <v>548.37</v>
      </c>
      <c r="J726" s="3">
        <v>3</v>
      </c>
      <c r="K726" s="2">
        <v>8.7100000000000009</v>
      </c>
    </row>
    <row r="727" spans="1:11" x14ac:dyDescent="0.25">
      <c r="A727" s="4">
        <v>42067</v>
      </c>
      <c r="B727" s="3">
        <f>YEAR(SalesData[[#This Row],[Order Date]])</f>
        <v>2015</v>
      </c>
      <c r="C727" s="3">
        <f>MONTH(SalesData[[#This Row],[Order Date]])</f>
        <v>3</v>
      </c>
      <c r="D727" t="s">
        <v>20</v>
      </c>
      <c r="E727" t="s">
        <v>10</v>
      </c>
      <c r="F727" t="s">
        <v>15</v>
      </c>
      <c r="G727" t="s">
        <v>45</v>
      </c>
      <c r="H727" t="s">
        <v>46</v>
      </c>
      <c r="I727" s="2">
        <v>188.52</v>
      </c>
      <c r="J727" s="3">
        <v>4</v>
      </c>
      <c r="K727" s="2">
        <v>53.55</v>
      </c>
    </row>
    <row r="728" spans="1:11" x14ac:dyDescent="0.25">
      <c r="A728" s="4">
        <v>42067</v>
      </c>
      <c r="B728" s="3">
        <f>YEAR(SalesData[[#This Row],[Order Date]])</f>
        <v>2015</v>
      </c>
      <c r="C728" s="3">
        <f>MONTH(SalesData[[#This Row],[Order Date]])</f>
        <v>3</v>
      </c>
      <c r="D728" t="s">
        <v>55</v>
      </c>
      <c r="E728" t="s">
        <v>19</v>
      </c>
      <c r="F728" t="s">
        <v>15</v>
      </c>
      <c r="G728" t="s">
        <v>41</v>
      </c>
      <c r="H728" t="s">
        <v>42</v>
      </c>
      <c r="I728" s="2">
        <v>2016.87</v>
      </c>
      <c r="J728" s="3">
        <v>10</v>
      </c>
      <c r="K728" s="2">
        <v>64.34</v>
      </c>
    </row>
    <row r="729" spans="1:11" x14ac:dyDescent="0.25">
      <c r="A729" s="4">
        <v>42068</v>
      </c>
      <c r="B729" s="3">
        <f>YEAR(SalesData[[#This Row],[Order Date]])</f>
        <v>2015</v>
      </c>
      <c r="C729" s="3">
        <f>MONTH(SalesData[[#This Row],[Order Date]])</f>
        <v>3</v>
      </c>
      <c r="D729" t="s">
        <v>55</v>
      </c>
      <c r="E729" t="s">
        <v>40</v>
      </c>
      <c r="F729" t="s">
        <v>11</v>
      </c>
      <c r="G729" t="s">
        <v>12</v>
      </c>
      <c r="H729" t="s">
        <v>13</v>
      </c>
      <c r="I729" s="2">
        <v>3625.53</v>
      </c>
      <c r="J729" s="3">
        <v>2</v>
      </c>
      <c r="K729" s="2">
        <v>90.93</v>
      </c>
    </row>
    <row r="730" spans="1:11" x14ac:dyDescent="0.25">
      <c r="A730" s="4">
        <v>42069</v>
      </c>
      <c r="B730" s="3">
        <f>YEAR(SalesData[[#This Row],[Order Date]])</f>
        <v>2015</v>
      </c>
      <c r="C730" s="3">
        <f>MONTH(SalesData[[#This Row],[Order Date]])</f>
        <v>3</v>
      </c>
      <c r="D730" t="s">
        <v>43</v>
      </c>
      <c r="E730" t="s">
        <v>37</v>
      </c>
      <c r="F730" t="s">
        <v>27</v>
      </c>
      <c r="G730" t="s">
        <v>48</v>
      </c>
      <c r="H730" t="s">
        <v>49</v>
      </c>
      <c r="I730" s="2">
        <v>1835.87</v>
      </c>
      <c r="J730" s="3">
        <v>9</v>
      </c>
      <c r="K730" s="2">
        <v>235.14</v>
      </c>
    </row>
    <row r="731" spans="1:11" x14ac:dyDescent="0.25">
      <c r="A731" s="4">
        <v>42069</v>
      </c>
      <c r="B731" s="3">
        <f>YEAR(SalesData[[#This Row],[Order Date]])</f>
        <v>2015</v>
      </c>
      <c r="C731" s="3">
        <f>MONTH(SalesData[[#This Row],[Order Date]])</f>
        <v>3</v>
      </c>
      <c r="D731" t="s">
        <v>14</v>
      </c>
      <c r="E731" t="s">
        <v>37</v>
      </c>
      <c r="F731" t="s">
        <v>11</v>
      </c>
      <c r="G731" t="s">
        <v>12</v>
      </c>
      <c r="H731" t="s">
        <v>13</v>
      </c>
      <c r="I731" s="2">
        <v>2245.27</v>
      </c>
      <c r="J731" s="3">
        <v>5</v>
      </c>
      <c r="K731" s="2">
        <v>448.48</v>
      </c>
    </row>
    <row r="732" spans="1:11" x14ac:dyDescent="0.25">
      <c r="A732" s="4">
        <v>42069</v>
      </c>
      <c r="B732" s="3">
        <f>YEAR(SalesData[[#This Row],[Order Date]])</f>
        <v>2015</v>
      </c>
      <c r="C732" s="3">
        <f>MONTH(SalesData[[#This Row],[Order Date]])</f>
        <v>3</v>
      </c>
      <c r="D732" t="s">
        <v>62</v>
      </c>
      <c r="E732" t="s">
        <v>37</v>
      </c>
      <c r="F732" t="s">
        <v>27</v>
      </c>
      <c r="G732" t="s">
        <v>28</v>
      </c>
      <c r="H732" t="s">
        <v>58</v>
      </c>
      <c r="I732" s="2">
        <v>4993.6899999999996</v>
      </c>
      <c r="J732" s="3">
        <v>1</v>
      </c>
      <c r="K732" s="2">
        <v>132.30000000000001</v>
      </c>
    </row>
    <row r="733" spans="1:11" x14ac:dyDescent="0.25">
      <c r="A733" s="4">
        <v>42071</v>
      </c>
      <c r="B733" s="3">
        <f>YEAR(SalesData[[#This Row],[Order Date]])</f>
        <v>2015</v>
      </c>
      <c r="C733" s="3">
        <f>MONTH(SalesData[[#This Row],[Order Date]])</f>
        <v>3</v>
      </c>
      <c r="D733" t="s">
        <v>30</v>
      </c>
      <c r="E733" t="s">
        <v>19</v>
      </c>
      <c r="F733" t="s">
        <v>11</v>
      </c>
      <c r="G733" t="s">
        <v>21</v>
      </c>
      <c r="H733" t="s">
        <v>22</v>
      </c>
      <c r="I733" s="2">
        <v>2650.71</v>
      </c>
      <c r="J733" s="3">
        <v>2</v>
      </c>
      <c r="K733" s="2">
        <v>601.13</v>
      </c>
    </row>
    <row r="734" spans="1:11" x14ac:dyDescent="0.25">
      <c r="A734" s="4">
        <v>42071</v>
      </c>
      <c r="B734" s="3">
        <f>YEAR(SalesData[[#This Row],[Order Date]])</f>
        <v>2015</v>
      </c>
      <c r="C734" s="3">
        <f>MONTH(SalesData[[#This Row],[Order Date]])</f>
        <v>3</v>
      </c>
      <c r="D734" t="s">
        <v>47</v>
      </c>
      <c r="E734" t="s">
        <v>26</v>
      </c>
      <c r="F734" t="s">
        <v>11</v>
      </c>
      <c r="G734" t="s">
        <v>12</v>
      </c>
      <c r="H734" t="s">
        <v>13</v>
      </c>
      <c r="I734" s="2">
        <v>1299.27</v>
      </c>
      <c r="J734" s="3">
        <v>1</v>
      </c>
      <c r="K734" s="2">
        <v>20.95</v>
      </c>
    </row>
    <row r="735" spans="1:11" x14ac:dyDescent="0.25">
      <c r="A735" s="4">
        <v>42071</v>
      </c>
      <c r="B735" s="3">
        <f>YEAR(SalesData[[#This Row],[Order Date]])</f>
        <v>2015</v>
      </c>
      <c r="C735" s="3">
        <f>MONTH(SalesData[[#This Row],[Order Date]])</f>
        <v>3</v>
      </c>
      <c r="D735" t="s">
        <v>68</v>
      </c>
      <c r="E735" t="s">
        <v>52</v>
      </c>
      <c r="F735" t="s">
        <v>27</v>
      </c>
      <c r="G735" t="s">
        <v>32</v>
      </c>
      <c r="H735" t="s">
        <v>33</v>
      </c>
      <c r="I735" s="2">
        <v>4847.32</v>
      </c>
      <c r="J735" s="3">
        <v>5</v>
      </c>
      <c r="K735" s="2">
        <v>1427.18</v>
      </c>
    </row>
    <row r="736" spans="1:11" x14ac:dyDescent="0.25">
      <c r="A736" s="4">
        <v>42072</v>
      </c>
      <c r="B736" s="3">
        <f>YEAR(SalesData[[#This Row],[Order Date]])</f>
        <v>2015</v>
      </c>
      <c r="C736" s="3">
        <f>MONTH(SalesData[[#This Row],[Order Date]])</f>
        <v>3</v>
      </c>
      <c r="D736" t="s">
        <v>43</v>
      </c>
      <c r="E736" t="s">
        <v>34</v>
      </c>
      <c r="F736" t="s">
        <v>15</v>
      </c>
      <c r="G736" t="s">
        <v>16</v>
      </c>
      <c r="H736" t="s">
        <v>51</v>
      </c>
      <c r="I736" s="2">
        <v>2626.08</v>
      </c>
      <c r="J736" s="3">
        <v>6</v>
      </c>
      <c r="K736" s="2">
        <v>230.22</v>
      </c>
    </row>
    <row r="737" spans="1:11" x14ac:dyDescent="0.25">
      <c r="A737" s="4">
        <v>42072</v>
      </c>
      <c r="B737" s="3">
        <f>YEAR(SalesData[[#This Row],[Order Date]])</f>
        <v>2015</v>
      </c>
      <c r="C737" s="3">
        <f>MONTH(SalesData[[#This Row],[Order Date]])</f>
        <v>3</v>
      </c>
      <c r="D737" t="s">
        <v>62</v>
      </c>
      <c r="E737" t="s">
        <v>31</v>
      </c>
      <c r="F737" t="s">
        <v>15</v>
      </c>
      <c r="G737" t="s">
        <v>16</v>
      </c>
      <c r="H737" t="s">
        <v>17</v>
      </c>
      <c r="I737" s="2">
        <v>4342.6899999999996</v>
      </c>
      <c r="J737" s="3">
        <v>4</v>
      </c>
      <c r="K737" s="2">
        <v>859.01</v>
      </c>
    </row>
    <row r="738" spans="1:11" x14ac:dyDescent="0.25">
      <c r="A738" s="4">
        <v>42073</v>
      </c>
      <c r="B738" s="3">
        <f>YEAR(SalesData[[#This Row],[Order Date]])</f>
        <v>2015</v>
      </c>
      <c r="C738" s="3">
        <f>MONTH(SalesData[[#This Row],[Order Date]])</f>
        <v>3</v>
      </c>
      <c r="D738" t="s">
        <v>30</v>
      </c>
      <c r="E738" t="s">
        <v>31</v>
      </c>
      <c r="F738" t="s">
        <v>27</v>
      </c>
      <c r="G738" t="s">
        <v>48</v>
      </c>
      <c r="H738" t="s">
        <v>57</v>
      </c>
      <c r="I738" s="2">
        <v>2423.21</v>
      </c>
      <c r="J738" s="3">
        <v>6</v>
      </c>
      <c r="K738" s="2">
        <v>478.16</v>
      </c>
    </row>
    <row r="739" spans="1:11" x14ac:dyDescent="0.25">
      <c r="A739" s="4">
        <v>42073</v>
      </c>
      <c r="B739" s="3">
        <f>YEAR(SalesData[[#This Row],[Order Date]])</f>
        <v>2015</v>
      </c>
      <c r="C739" s="3">
        <f>MONTH(SalesData[[#This Row],[Order Date]])</f>
        <v>3</v>
      </c>
      <c r="D739" t="s">
        <v>18</v>
      </c>
      <c r="E739" t="s">
        <v>34</v>
      </c>
      <c r="F739" t="s">
        <v>15</v>
      </c>
      <c r="G739" t="s">
        <v>45</v>
      </c>
      <c r="H739" t="s">
        <v>59</v>
      </c>
      <c r="I739" s="2">
        <v>465.47</v>
      </c>
      <c r="J739" s="3">
        <v>10</v>
      </c>
      <c r="K739" s="2">
        <v>14.47</v>
      </c>
    </row>
    <row r="740" spans="1:11" x14ac:dyDescent="0.25">
      <c r="A740" s="4">
        <v>42074</v>
      </c>
      <c r="B740" s="3">
        <f>YEAR(SalesData[[#This Row],[Order Date]])</f>
        <v>2015</v>
      </c>
      <c r="C740" s="3">
        <f>MONTH(SalesData[[#This Row],[Order Date]])</f>
        <v>3</v>
      </c>
      <c r="D740" t="s">
        <v>30</v>
      </c>
      <c r="E740" t="s">
        <v>19</v>
      </c>
      <c r="F740" t="s">
        <v>15</v>
      </c>
      <c r="G740" t="s">
        <v>16</v>
      </c>
      <c r="H740" t="s">
        <v>17</v>
      </c>
      <c r="I740" s="2">
        <v>3380.83</v>
      </c>
      <c r="J740" s="3">
        <v>10</v>
      </c>
      <c r="K740" s="2">
        <v>373.53</v>
      </c>
    </row>
    <row r="741" spans="1:11" x14ac:dyDescent="0.25">
      <c r="A741" s="4">
        <v>42075</v>
      </c>
      <c r="B741" s="3">
        <f>YEAR(SalesData[[#This Row],[Order Date]])</f>
        <v>2015</v>
      </c>
      <c r="C741" s="3">
        <f>MONTH(SalesData[[#This Row],[Order Date]])</f>
        <v>3</v>
      </c>
      <c r="D741" t="s">
        <v>62</v>
      </c>
      <c r="E741" t="s">
        <v>52</v>
      </c>
      <c r="F741" t="s">
        <v>27</v>
      </c>
      <c r="G741" t="s">
        <v>28</v>
      </c>
      <c r="H741" t="s">
        <v>29</v>
      </c>
      <c r="I741" s="2">
        <v>1930.48</v>
      </c>
      <c r="J741" s="3">
        <v>9</v>
      </c>
      <c r="K741" s="2">
        <v>351.79</v>
      </c>
    </row>
    <row r="742" spans="1:11" x14ac:dyDescent="0.25">
      <c r="A742" s="4">
        <v>42077</v>
      </c>
      <c r="B742" s="3">
        <f>YEAR(SalesData[[#This Row],[Order Date]])</f>
        <v>2015</v>
      </c>
      <c r="C742" s="3">
        <f>MONTH(SalesData[[#This Row],[Order Date]])</f>
        <v>3</v>
      </c>
      <c r="D742" t="s">
        <v>23</v>
      </c>
      <c r="E742" t="s">
        <v>60</v>
      </c>
      <c r="F742" t="s">
        <v>11</v>
      </c>
      <c r="G742" t="s">
        <v>12</v>
      </c>
      <c r="H742" t="s">
        <v>65</v>
      </c>
      <c r="I742" s="2">
        <v>3995.54</v>
      </c>
      <c r="J742" s="3">
        <v>9</v>
      </c>
      <c r="K742" s="2">
        <v>233.12</v>
      </c>
    </row>
    <row r="743" spans="1:11" x14ac:dyDescent="0.25">
      <c r="A743" s="4">
        <v>42077</v>
      </c>
      <c r="B743" s="3">
        <f>YEAR(SalesData[[#This Row],[Order Date]])</f>
        <v>2015</v>
      </c>
      <c r="C743" s="3">
        <f>MONTH(SalesData[[#This Row],[Order Date]])</f>
        <v>3</v>
      </c>
      <c r="D743" t="s">
        <v>14</v>
      </c>
      <c r="E743" t="s">
        <v>34</v>
      </c>
      <c r="F743" t="s">
        <v>27</v>
      </c>
      <c r="G743" t="s">
        <v>48</v>
      </c>
      <c r="H743" t="s">
        <v>49</v>
      </c>
      <c r="I743" s="2">
        <v>2321.5300000000002</v>
      </c>
      <c r="J743" s="3">
        <v>1</v>
      </c>
      <c r="K743" s="2">
        <v>549.59</v>
      </c>
    </row>
    <row r="744" spans="1:11" x14ac:dyDescent="0.25">
      <c r="A744" s="4">
        <v>42077</v>
      </c>
      <c r="B744" s="3">
        <f>YEAR(SalesData[[#This Row],[Order Date]])</f>
        <v>2015</v>
      </c>
      <c r="C744" s="3">
        <f>MONTH(SalesData[[#This Row],[Order Date]])</f>
        <v>3</v>
      </c>
      <c r="D744" t="s">
        <v>62</v>
      </c>
      <c r="E744" t="s">
        <v>10</v>
      </c>
      <c r="F744" t="s">
        <v>27</v>
      </c>
      <c r="G744" t="s">
        <v>28</v>
      </c>
      <c r="H744" t="s">
        <v>29</v>
      </c>
      <c r="I744" s="2">
        <v>2489.09</v>
      </c>
      <c r="J744" s="3">
        <v>4</v>
      </c>
      <c r="K744" s="2">
        <v>353.82</v>
      </c>
    </row>
    <row r="745" spans="1:11" x14ac:dyDescent="0.25">
      <c r="A745" s="4">
        <v>42077</v>
      </c>
      <c r="B745" s="3">
        <f>YEAR(SalesData[[#This Row],[Order Date]])</f>
        <v>2015</v>
      </c>
      <c r="C745" s="3">
        <f>MONTH(SalesData[[#This Row],[Order Date]])</f>
        <v>3</v>
      </c>
      <c r="D745" t="s">
        <v>30</v>
      </c>
      <c r="E745" t="s">
        <v>10</v>
      </c>
      <c r="F745" t="s">
        <v>15</v>
      </c>
      <c r="G745" t="s">
        <v>16</v>
      </c>
      <c r="H745" t="s">
        <v>51</v>
      </c>
      <c r="I745" s="2">
        <v>1404.09</v>
      </c>
      <c r="J745" s="3">
        <v>7</v>
      </c>
      <c r="K745" s="2">
        <v>58.24</v>
      </c>
    </row>
    <row r="746" spans="1:11" x14ac:dyDescent="0.25">
      <c r="A746" s="4">
        <v>42078</v>
      </c>
      <c r="B746" s="3">
        <f>YEAR(SalesData[[#This Row],[Order Date]])</f>
        <v>2015</v>
      </c>
      <c r="C746" s="3">
        <f>MONTH(SalesData[[#This Row],[Order Date]])</f>
        <v>3</v>
      </c>
      <c r="D746" t="s">
        <v>9</v>
      </c>
      <c r="E746" t="s">
        <v>26</v>
      </c>
      <c r="F746" t="s">
        <v>11</v>
      </c>
      <c r="G746" t="s">
        <v>21</v>
      </c>
      <c r="H746" t="s">
        <v>67</v>
      </c>
      <c r="I746" s="2">
        <v>3255.48</v>
      </c>
      <c r="J746" s="3">
        <v>6</v>
      </c>
      <c r="K746" s="2">
        <v>417.76</v>
      </c>
    </row>
    <row r="747" spans="1:11" x14ac:dyDescent="0.25">
      <c r="A747" s="4">
        <v>42078</v>
      </c>
      <c r="B747" s="3">
        <f>YEAR(SalesData[[#This Row],[Order Date]])</f>
        <v>2015</v>
      </c>
      <c r="C747" s="3">
        <f>MONTH(SalesData[[#This Row],[Order Date]])</f>
        <v>3</v>
      </c>
      <c r="D747" t="s">
        <v>43</v>
      </c>
      <c r="E747" t="s">
        <v>52</v>
      </c>
      <c r="F747" t="s">
        <v>11</v>
      </c>
      <c r="G747" t="s">
        <v>24</v>
      </c>
      <c r="H747" t="s">
        <v>25</v>
      </c>
      <c r="I747" s="2">
        <v>2409.31</v>
      </c>
      <c r="J747" s="3">
        <v>6</v>
      </c>
      <c r="K747" s="2">
        <v>190.94</v>
      </c>
    </row>
    <row r="748" spans="1:11" x14ac:dyDescent="0.25">
      <c r="A748" s="4">
        <v>42079</v>
      </c>
      <c r="B748" s="3">
        <f>YEAR(SalesData[[#This Row],[Order Date]])</f>
        <v>2015</v>
      </c>
      <c r="C748" s="3">
        <f>MONTH(SalesData[[#This Row],[Order Date]])</f>
        <v>3</v>
      </c>
      <c r="D748" t="s">
        <v>55</v>
      </c>
      <c r="E748" t="s">
        <v>40</v>
      </c>
      <c r="F748" t="s">
        <v>11</v>
      </c>
      <c r="G748" t="s">
        <v>35</v>
      </c>
      <c r="H748" t="s">
        <v>71</v>
      </c>
      <c r="I748" s="2">
        <v>1117.68</v>
      </c>
      <c r="J748" s="3">
        <v>6</v>
      </c>
      <c r="K748" s="2">
        <v>274.11</v>
      </c>
    </row>
    <row r="749" spans="1:11" x14ac:dyDescent="0.25">
      <c r="A749" s="4">
        <v>42079</v>
      </c>
      <c r="B749" s="3">
        <f>YEAR(SalesData[[#This Row],[Order Date]])</f>
        <v>2015</v>
      </c>
      <c r="C749" s="3">
        <f>MONTH(SalesData[[#This Row],[Order Date]])</f>
        <v>3</v>
      </c>
      <c r="D749" t="s">
        <v>47</v>
      </c>
      <c r="E749" t="s">
        <v>19</v>
      </c>
      <c r="F749" t="s">
        <v>27</v>
      </c>
      <c r="G749" t="s">
        <v>28</v>
      </c>
      <c r="H749" t="s">
        <v>69</v>
      </c>
      <c r="I749" s="2">
        <v>4448.8500000000004</v>
      </c>
      <c r="J749" s="3">
        <v>3</v>
      </c>
      <c r="K749" s="2">
        <v>858.75</v>
      </c>
    </row>
    <row r="750" spans="1:11" x14ac:dyDescent="0.25">
      <c r="A750" s="4">
        <v>42080</v>
      </c>
      <c r="B750" s="3">
        <f>YEAR(SalesData[[#This Row],[Order Date]])</f>
        <v>2015</v>
      </c>
      <c r="C750" s="3">
        <f>MONTH(SalesData[[#This Row],[Order Date]])</f>
        <v>3</v>
      </c>
      <c r="D750" t="s">
        <v>47</v>
      </c>
      <c r="E750" t="s">
        <v>37</v>
      </c>
      <c r="F750" t="s">
        <v>27</v>
      </c>
      <c r="G750" t="s">
        <v>28</v>
      </c>
      <c r="H750" t="s">
        <v>69</v>
      </c>
      <c r="I750" s="2">
        <v>961.7</v>
      </c>
      <c r="J750" s="3">
        <v>10</v>
      </c>
      <c r="K750" s="2">
        <v>106.38</v>
      </c>
    </row>
    <row r="751" spans="1:11" x14ac:dyDescent="0.25">
      <c r="A751" s="4">
        <v>42082</v>
      </c>
      <c r="B751" s="3">
        <f>YEAR(SalesData[[#This Row],[Order Date]])</f>
        <v>2015</v>
      </c>
      <c r="C751" s="3">
        <f>MONTH(SalesData[[#This Row],[Order Date]])</f>
        <v>3</v>
      </c>
      <c r="D751" t="s">
        <v>47</v>
      </c>
      <c r="E751" t="s">
        <v>34</v>
      </c>
      <c r="F751" t="s">
        <v>15</v>
      </c>
      <c r="G751" t="s">
        <v>63</v>
      </c>
      <c r="H751" t="s">
        <v>64</v>
      </c>
      <c r="I751" s="2">
        <v>1182.81</v>
      </c>
      <c r="J751" s="3">
        <v>8</v>
      </c>
      <c r="K751" s="2">
        <v>188.28</v>
      </c>
    </row>
    <row r="752" spans="1:11" x14ac:dyDescent="0.25">
      <c r="A752" s="4">
        <v>42082</v>
      </c>
      <c r="B752" s="3">
        <f>YEAR(SalesData[[#This Row],[Order Date]])</f>
        <v>2015</v>
      </c>
      <c r="C752" s="3">
        <f>MONTH(SalesData[[#This Row],[Order Date]])</f>
        <v>3</v>
      </c>
      <c r="D752" t="s">
        <v>55</v>
      </c>
      <c r="E752" t="s">
        <v>31</v>
      </c>
      <c r="F752" t="s">
        <v>27</v>
      </c>
      <c r="G752" t="s">
        <v>28</v>
      </c>
      <c r="H752" t="s">
        <v>29</v>
      </c>
      <c r="I752" s="2">
        <v>832.24</v>
      </c>
      <c r="J752" s="3">
        <v>9</v>
      </c>
      <c r="K752" s="2">
        <v>51.5</v>
      </c>
    </row>
    <row r="753" spans="1:11" x14ac:dyDescent="0.25">
      <c r="A753" s="4">
        <v>42082</v>
      </c>
      <c r="B753" s="3">
        <f>YEAR(SalesData[[#This Row],[Order Date]])</f>
        <v>2015</v>
      </c>
      <c r="C753" s="3">
        <f>MONTH(SalesData[[#This Row],[Order Date]])</f>
        <v>3</v>
      </c>
      <c r="D753" t="s">
        <v>18</v>
      </c>
      <c r="E753" t="s">
        <v>34</v>
      </c>
      <c r="F753" t="s">
        <v>27</v>
      </c>
      <c r="G753" t="s">
        <v>32</v>
      </c>
      <c r="H753" t="s">
        <v>33</v>
      </c>
      <c r="I753" s="2">
        <v>556.45000000000005</v>
      </c>
      <c r="J753" s="3">
        <v>10</v>
      </c>
      <c r="K753" s="2">
        <v>33.049999999999997</v>
      </c>
    </row>
    <row r="754" spans="1:11" x14ac:dyDescent="0.25">
      <c r="A754" s="4">
        <v>42083</v>
      </c>
      <c r="B754" s="3">
        <f>YEAR(SalesData[[#This Row],[Order Date]])</f>
        <v>2015</v>
      </c>
      <c r="C754" s="3">
        <f>MONTH(SalesData[[#This Row],[Order Date]])</f>
        <v>3</v>
      </c>
      <c r="D754" t="s">
        <v>50</v>
      </c>
      <c r="E754" t="s">
        <v>10</v>
      </c>
      <c r="F754" t="s">
        <v>27</v>
      </c>
      <c r="G754" t="s">
        <v>32</v>
      </c>
      <c r="H754" t="s">
        <v>53</v>
      </c>
      <c r="I754" s="2">
        <v>764.33</v>
      </c>
      <c r="J754" s="3">
        <v>9</v>
      </c>
      <c r="K754" s="2">
        <v>203.35</v>
      </c>
    </row>
    <row r="755" spans="1:11" x14ac:dyDescent="0.25">
      <c r="A755" s="4">
        <v>42084</v>
      </c>
      <c r="B755" s="3">
        <f>YEAR(SalesData[[#This Row],[Order Date]])</f>
        <v>2015</v>
      </c>
      <c r="C755" s="3">
        <f>MONTH(SalesData[[#This Row],[Order Date]])</f>
        <v>3</v>
      </c>
      <c r="D755" t="s">
        <v>14</v>
      </c>
      <c r="E755" t="s">
        <v>26</v>
      </c>
      <c r="F755" t="s">
        <v>27</v>
      </c>
      <c r="G755" t="s">
        <v>28</v>
      </c>
      <c r="H755" t="s">
        <v>69</v>
      </c>
      <c r="I755" s="2">
        <v>2179.81</v>
      </c>
      <c r="J755" s="3">
        <v>3</v>
      </c>
      <c r="K755" s="2">
        <v>271.27</v>
      </c>
    </row>
    <row r="756" spans="1:11" x14ac:dyDescent="0.25">
      <c r="A756" s="4">
        <v>42085</v>
      </c>
      <c r="B756" s="3">
        <f>YEAR(SalesData[[#This Row],[Order Date]])</f>
        <v>2015</v>
      </c>
      <c r="C756" s="3">
        <f>MONTH(SalesData[[#This Row],[Order Date]])</f>
        <v>3</v>
      </c>
      <c r="D756" t="s">
        <v>43</v>
      </c>
      <c r="E756" t="s">
        <v>52</v>
      </c>
      <c r="F756" t="s">
        <v>15</v>
      </c>
      <c r="G756" t="s">
        <v>63</v>
      </c>
      <c r="H756" t="s">
        <v>64</v>
      </c>
      <c r="I756" s="2">
        <v>695.45</v>
      </c>
      <c r="J756" s="3">
        <v>6</v>
      </c>
      <c r="K756" s="2">
        <v>78.930000000000007</v>
      </c>
    </row>
    <row r="757" spans="1:11" x14ac:dyDescent="0.25">
      <c r="A757" s="4">
        <v>42085</v>
      </c>
      <c r="B757" s="3">
        <f>YEAR(SalesData[[#This Row],[Order Date]])</f>
        <v>2015</v>
      </c>
      <c r="C757" s="3">
        <f>MONTH(SalesData[[#This Row],[Order Date]])</f>
        <v>3</v>
      </c>
      <c r="D757" t="s">
        <v>50</v>
      </c>
      <c r="E757" t="s">
        <v>44</v>
      </c>
      <c r="F757" t="s">
        <v>15</v>
      </c>
      <c r="G757" t="s">
        <v>38</v>
      </c>
      <c r="H757" t="s">
        <v>56</v>
      </c>
      <c r="I757" s="2">
        <v>3135.36</v>
      </c>
      <c r="J757" s="3">
        <v>5</v>
      </c>
      <c r="K757" s="2">
        <v>372.86</v>
      </c>
    </row>
    <row r="758" spans="1:11" x14ac:dyDescent="0.25">
      <c r="A758" s="4">
        <v>42085</v>
      </c>
      <c r="B758" s="3">
        <f>YEAR(SalesData[[#This Row],[Order Date]])</f>
        <v>2015</v>
      </c>
      <c r="C758" s="3">
        <f>MONTH(SalesData[[#This Row],[Order Date]])</f>
        <v>3</v>
      </c>
      <c r="D758" t="s">
        <v>20</v>
      </c>
      <c r="E758" t="s">
        <v>34</v>
      </c>
      <c r="F758" t="s">
        <v>11</v>
      </c>
      <c r="G758" t="s">
        <v>24</v>
      </c>
      <c r="H758" t="s">
        <v>25</v>
      </c>
      <c r="I758" s="2">
        <v>912</v>
      </c>
      <c r="J758" s="3">
        <v>8</v>
      </c>
      <c r="K758" s="2">
        <v>268.77999999999997</v>
      </c>
    </row>
    <row r="759" spans="1:11" x14ac:dyDescent="0.25">
      <c r="A759" s="4">
        <v>42086</v>
      </c>
      <c r="B759" s="3">
        <f>YEAR(SalesData[[#This Row],[Order Date]])</f>
        <v>2015</v>
      </c>
      <c r="C759" s="3">
        <f>MONTH(SalesData[[#This Row],[Order Date]])</f>
        <v>3</v>
      </c>
      <c r="D759" t="s">
        <v>20</v>
      </c>
      <c r="E759" t="s">
        <v>52</v>
      </c>
      <c r="F759" t="s">
        <v>11</v>
      </c>
      <c r="G759" t="s">
        <v>24</v>
      </c>
      <c r="H759" t="s">
        <v>54</v>
      </c>
      <c r="I759" s="2">
        <v>1689.62</v>
      </c>
      <c r="J759" s="3">
        <v>10</v>
      </c>
      <c r="K759" s="2">
        <v>129.33000000000001</v>
      </c>
    </row>
    <row r="760" spans="1:11" x14ac:dyDescent="0.25">
      <c r="A760" s="4">
        <v>42086</v>
      </c>
      <c r="B760" s="3">
        <f>YEAR(SalesData[[#This Row],[Order Date]])</f>
        <v>2015</v>
      </c>
      <c r="C760" s="3">
        <f>MONTH(SalesData[[#This Row],[Order Date]])</f>
        <v>3</v>
      </c>
      <c r="D760" t="s">
        <v>68</v>
      </c>
      <c r="E760" t="s">
        <v>37</v>
      </c>
      <c r="F760" t="s">
        <v>15</v>
      </c>
      <c r="G760" t="s">
        <v>45</v>
      </c>
      <c r="H760" t="s">
        <v>59</v>
      </c>
      <c r="I760" s="2">
        <v>827</v>
      </c>
      <c r="J760" s="3">
        <v>8</v>
      </c>
      <c r="K760" s="2">
        <v>74.709999999999994</v>
      </c>
    </row>
    <row r="761" spans="1:11" x14ac:dyDescent="0.25">
      <c r="A761" s="4">
        <v>42087</v>
      </c>
      <c r="B761" s="3">
        <f>YEAR(SalesData[[#This Row],[Order Date]])</f>
        <v>2015</v>
      </c>
      <c r="C761" s="3">
        <f>MONTH(SalesData[[#This Row],[Order Date]])</f>
        <v>3</v>
      </c>
      <c r="D761" t="s">
        <v>47</v>
      </c>
      <c r="E761" t="s">
        <v>52</v>
      </c>
      <c r="F761" t="s">
        <v>27</v>
      </c>
      <c r="G761" t="s">
        <v>32</v>
      </c>
      <c r="H761" t="s">
        <v>53</v>
      </c>
      <c r="I761" s="2">
        <v>4497.4799999999996</v>
      </c>
      <c r="J761" s="3">
        <v>3</v>
      </c>
      <c r="K761" s="2">
        <v>269.31</v>
      </c>
    </row>
    <row r="762" spans="1:11" x14ac:dyDescent="0.25">
      <c r="A762" s="4">
        <v>42087</v>
      </c>
      <c r="B762" s="3">
        <f>YEAR(SalesData[[#This Row],[Order Date]])</f>
        <v>2015</v>
      </c>
      <c r="C762" s="3">
        <f>MONTH(SalesData[[#This Row],[Order Date]])</f>
        <v>3</v>
      </c>
      <c r="D762" t="s">
        <v>62</v>
      </c>
      <c r="E762" t="s">
        <v>31</v>
      </c>
      <c r="F762" t="s">
        <v>15</v>
      </c>
      <c r="G762" t="s">
        <v>45</v>
      </c>
      <c r="H762" t="s">
        <v>59</v>
      </c>
      <c r="I762" s="2">
        <v>327.67</v>
      </c>
      <c r="J762" s="3">
        <v>2</v>
      </c>
      <c r="K762" s="2">
        <v>40.78</v>
      </c>
    </row>
    <row r="763" spans="1:11" x14ac:dyDescent="0.25">
      <c r="A763" s="4">
        <v>42088</v>
      </c>
      <c r="B763" s="3">
        <f>YEAR(SalesData[[#This Row],[Order Date]])</f>
        <v>2015</v>
      </c>
      <c r="C763" s="3">
        <f>MONTH(SalesData[[#This Row],[Order Date]])</f>
        <v>3</v>
      </c>
      <c r="D763" t="s">
        <v>43</v>
      </c>
      <c r="E763" t="s">
        <v>31</v>
      </c>
      <c r="F763" t="s">
        <v>15</v>
      </c>
      <c r="G763" t="s">
        <v>41</v>
      </c>
      <c r="H763" t="s">
        <v>61</v>
      </c>
      <c r="I763" s="2">
        <v>2162.8200000000002</v>
      </c>
      <c r="J763" s="3">
        <v>10</v>
      </c>
      <c r="K763" s="2">
        <v>109.6</v>
      </c>
    </row>
    <row r="764" spans="1:11" x14ac:dyDescent="0.25">
      <c r="A764" s="4">
        <v>42088</v>
      </c>
      <c r="B764" s="3">
        <f>YEAR(SalesData[[#This Row],[Order Date]])</f>
        <v>2015</v>
      </c>
      <c r="C764" s="3">
        <f>MONTH(SalesData[[#This Row],[Order Date]])</f>
        <v>3</v>
      </c>
      <c r="D764" t="s">
        <v>14</v>
      </c>
      <c r="E764" t="s">
        <v>44</v>
      </c>
      <c r="F764" t="s">
        <v>15</v>
      </c>
      <c r="G764" t="s">
        <v>16</v>
      </c>
      <c r="H764" t="s">
        <v>17</v>
      </c>
      <c r="I764" s="2">
        <v>1505.41</v>
      </c>
      <c r="J764" s="3">
        <v>8</v>
      </c>
      <c r="K764" s="2">
        <v>418.3</v>
      </c>
    </row>
    <row r="765" spans="1:11" x14ac:dyDescent="0.25">
      <c r="A765" s="4">
        <v>42089</v>
      </c>
      <c r="B765" s="3">
        <f>YEAR(SalesData[[#This Row],[Order Date]])</f>
        <v>2015</v>
      </c>
      <c r="C765" s="3">
        <f>MONTH(SalesData[[#This Row],[Order Date]])</f>
        <v>3</v>
      </c>
      <c r="D765" t="s">
        <v>68</v>
      </c>
      <c r="E765" t="s">
        <v>34</v>
      </c>
      <c r="F765" t="s">
        <v>11</v>
      </c>
      <c r="G765" t="s">
        <v>35</v>
      </c>
      <c r="H765" t="s">
        <v>36</v>
      </c>
      <c r="I765" s="2">
        <v>2200.31</v>
      </c>
      <c r="J765" s="3">
        <v>10</v>
      </c>
      <c r="K765" s="2">
        <v>355.66</v>
      </c>
    </row>
    <row r="766" spans="1:11" x14ac:dyDescent="0.25">
      <c r="A766" s="4">
        <v>42091</v>
      </c>
      <c r="B766" s="3">
        <f>YEAR(SalesData[[#This Row],[Order Date]])</f>
        <v>2015</v>
      </c>
      <c r="C766" s="3">
        <f>MONTH(SalesData[[#This Row],[Order Date]])</f>
        <v>3</v>
      </c>
      <c r="D766" t="s">
        <v>20</v>
      </c>
      <c r="E766" t="s">
        <v>31</v>
      </c>
      <c r="F766" t="s">
        <v>27</v>
      </c>
      <c r="G766" t="s">
        <v>28</v>
      </c>
      <c r="H766" t="s">
        <v>69</v>
      </c>
      <c r="I766" s="2">
        <v>158.5</v>
      </c>
      <c r="J766" s="3">
        <v>7</v>
      </c>
      <c r="K766" s="2">
        <v>32.380000000000003</v>
      </c>
    </row>
    <row r="767" spans="1:11" x14ac:dyDescent="0.25">
      <c r="A767" s="4">
        <v>42092</v>
      </c>
      <c r="B767" s="3">
        <f>YEAR(SalesData[[#This Row],[Order Date]])</f>
        <v>2015</v>
      </c>
      <c r="C767" s="3">
        <f>MONTH(SalesData[[#This Row],[Order Date]])</f>
        <v>3</v>
      </c>
      <c r="D767" t="s">
        <v>20</v>
      </c>
      <c r="E767" t="s">
        <v>37</v>
      </c>
      <c r="F767" t="s">
        <v>27</v>
      </c>
      <c r="G767" t="s">
        <v>28</v>
      </c>
      <c r="H767" t="s">
        <v>29</v>
      </c>
      <c r="I767" s="2">
        <v>433.26</v>
      </c>
      <c r="J767" s="3">
        <v>5</v>
      </c>
      <c r="K767" s="2">
        <v>33.44</v>
      </c>
    </row>
    <row r="768" spans="1:11" x14ac:dyDescent="0.25">
      <c r="A768" s="4">
        <v>42092</v>
      </c>
      <c r="B768" s="3">
        <f>YEAR(SalesData[[#This Row],[Order Date]])</f>
        <v>2015</v>
      </c>
      <c r="C768" s="3">
        <f>MONTH(SalesData[[#This Row],[Order Date]])</f>
        <v>3</v>
      </c>
      <c r="D768" t="s">
        <v>18</v>
      </c>
      <c r="E768" t="s">
        <v>40</v>
      </c>
      <c r="F768" t="s">
        <v>15</v>
      </c>
      <c r="G768" t="s">
        <v>16</v>
      </c>
      <c r="H768" t="s">
        <v>17</v>
      </c>
      <c r="I768" s="2">
        <v>4084.11</v>
      </c>
      <c r="J768" s="3">
        <v>10</v>
      </c>
      <c r="K768" s="2">
        <v>940.34</v>
      </c>
    </row>
    <row r="769" spans="1:11" x14ac:dyDescent="0.25">
      <c r="A769" s="4">
        <v>42094</v>
      </c>
      <c r="B769" s="3">
        <f>YEAR(SalesData[[#This Row],[Order Date]])</f>
        <v>2015</v>
      </c>
      <c r="C769" s="3">
        <f>MONTH(SalesData[[#This Row],[Order Date]])</f>
        <v>3</v>
      </c>
      <c r="D769" t="s">
        <v>14</v>
      </c>
      <c r="E769" t="s">
        <v>19</v>
      </c>
      <c r="F769" t="s">
        <v>15</v>
      </c>
      <c r="G769" t="s">
        <v>38</v>
      </c>
      <c r="H769" t="s">
        <v>56</v>
      </c>
      <c r="I769" s="2">
        <v>348.36</v>
      </c>
      <c r="J769" s="3">
        <v>3</v>
      </c>
      <c r="K769" s="2">
        <v>29.74</v>
      </c>
    </row>
    <row r="770" spans="1:11" x14ac:dyDescent="0.25">
      <c r="A770" s="4">
        <v>42094</v>
      </c>
      <c r="B770" s="3">
        <f>YEAR(SalesData[[#This Row],[Order Date]])</f>
        <v>2015</v>
      </c>
      <c r="C770" s="3">
        <f>MONTH(SalesData[[#This Row],[Order Date]])</f>
        <v>3</v>
      </c>
      <c r="D770" t="s">
        <v>55</v>
      </c>
      <c r="E770" t="s">
        <v>19</v>
      </c>
      <c r="F770" t="s">
        <v>27</v>
      </c>
      <c r="G770" t="s">
        <v>28</v>
      </c>
      <c r="H770" t="s">
        <v>29</v>
      </c>
      <c r="I770" s="2">
        <v>3121.74</v>
      </c>
      <c r="J770" s="3">
        <v>2</v>
      </c>
      <c r="K770" s="2">
        <v>579.38</v>
      </c>
    </row>
    <row r="771" spans="1:11" x14ac:dyDescent="0.25">
      <c r="A771" s="4">
        <v>42095</v>
      </c>
      <c r="B771" s="3">
        <f>YEAR(SalesData[[#This Row],[Order Date]])</f>
        <v>2015</v>
      </c>
      <c r="C771" s="3">
        <f>MONTH(SalesData[[#This Row],[Order Date]])</f>
        <v>4</v>
      </c>
      <c r="D771" t="s">
        <v>30</v>
      </c>
      <c r="E771" t="s">
        <v>40</v>
      </c>
      <c r="F771" t="s">
        <v>11</v>
      </c>
      <c r="G771" t="s">
        <v>21</v>
      </c>
      <c r="H771" t="s">
        <v>67</v>
      </c>
      <c r="I771" s="2">
        <v>3073.94</v>
      </c>
      <c r="J771" s="3">
        <v>3</v>
      </c>
      <c r="K771" s="2">
        <v>211.06</v>
      </c>
    </row>
    <row r="772" spans="1:11" x14ac:dyDescent="0.25">
      <c r="A772" s="4">
        <v>42095</v>
      </c>
      <c r="B772" s="3">
        <f>YEAR(SalesData[[#This Row],[Order Date]])</f>
        <v>2015</v>
      </c>
      <c r="C772" s="3">
        <f>MONTH(SalesData[[#This Row],[Order Date]])</f>
        <v>4</v>
      </c>
      <c r="D772" t="s">
        <v>43</v>
      </c>
      <c r="E772" t="s">
        <v>34</v>
      </c>
      <c r="F772" t="s">
        <v>27</v>
      </c>
      <c r="G772" t="s">
        <v>32</v>
      </c>
      <c r="H772" t="s">
        <v>53</v>
      </c>
      <c r="I772" s="2">
        <v>3010.83</v>
      </c>
      <c r="J772" s="3">
        <v>7</v>
      </c>
      <c r="K772" s="2">
        <v>331.07</v>
      </c>
    </row>
    <row r="773" spans="1:11" x14ac:dyDescent="0.25">
      <c r="A773" s="4">
        <v>42096</v>
      </c>
      <c r="B773" s="3">
        <f>YEAR(SalesData[[#This Row],[Order Date]])</f>
        <v>2015</v>
      </c>
      <c r="C773" s="3">
        <f>MONTH(SalesData[[#This Row],[Order Date]])</f>
        <v>4</v>
      </c>
      <c r="D773" t="s">
        <v>47</v>
      </c>
      <c r="E773" t="s">
        <v>19</v>
      </c>
      <c r="F773" t="s">
        <v>11</v>
      </c>
      <c r="G773" t="s">
        <v>12</v>
      </c>
      <c r="H773" t="s">
        <v>13</v>
      </c>
      <c r="I773" s="2">
        <v>1788.83</v>
      </c>
      <c r="J773" s="3">
        <v>10</v>
      </c>
      <c r="K773" s="2">
        <v>14.09</v>
      </c>
    </row>
    <row r="774" spans="1:11" x14ac:dyDescent="0.25">
      <c r="A774" s="4">
        <v>42097</v>
      </c>
      <c r="B774" s="3">
        <f>YEAR(SalesData[[#This Row],[Order Date]])</f>
        <v>2015</v>
      </c>
      <c r="C774" s="3">
        <f>MONTH(SalesData[[#This Row],[Order Date]])</f>
        <v>4</v>
      </c>
      <c r="D774" t="s">
        <v>30</v>
      </c>
      <c r="E774" t="s">
        <v>10</v>
      </c>
      <c r="F774" t="s">
        <v>27</v>
      </c>
      <c r="G774" t="s">
        <v>32</v>
      </c>
      <c r="H774" t="s">
        <v>33</v>
      </c>
      <c r="I774" s="2">
        <v>1840.64</v>
      </c>
      <c r="J774" s="3">
        <v>2</v>
      </c>
      <c r="K774" s="2">
        <v>435.79</v>
      </c>
    </row>
    <row r="775" spans="1:11" x14ac:dyDescent="0.25">
      <c r="A775" s="4">
        <v>42097</v>
      </c>
      <c r="B775" s="3">
        <f>YEAR(SalesData[[#This Row],[Order Date]])</f>
        <v>2015</v>
      </c>
      <c r="C775" s="3">
        <f>MONTH(SalesData[[#This Row],[Order Date]])</f>
        <v>4</v>
      </c>
      <c r="D775" t="s">
        <v>30</v>
      </c>
      <c r="E775" t="s">
        <v>37</v>
      </c>
      <c r="F775" t="s">
        <v>27</v>
      </c>
      <c r="G775" t="s">
        <v>32</v>
      </c>
      <c r="H775" t="s">
        <v>53</v>
      </c>
      <c r="I775" s="2">
        <v>3250.19</v>
      </c>
      <c r="J775" s="3">
        <v>7</v>
      </c>
      <c r="K775" s="2">
        <v>21.75</v>
      </c>
    </row>
    <row r="776" spans="1:11" x14ac:dyDescent="0.25">
      <c r="A776" s="4">
        <v>42097</v>
      </c>
      <c r="B776" s="3">
        <f>YEAR(SalesData[[#This Row],[Order Date]])</f>
        <v>2015</v>
      </c>
      <c r="C776" s="3">
        <f>MONTH(SalesData[[#This Row],[Order Date]])</f>
        <v>4</v>
      </c>
      <c r="D776" t="s">
        <v>43</v>
      </c>
      <c r="E776" t="s">
        <v>40</v>
      </c>
      <c r="F776" t="s">
        <v>11</v>
      </c>
      <c r="G776" t="s">
        <v>12</v>
      </c>
      <c r="H776" t="s">
        <v>65</v>
      </c>
      <c r="I776" s="2">
        <v>551.64</v>
      </c>
      <c r="J776" s="3">
        <v>7</v>
      </c>
      <c r="K776" s="2">
        <v>141.47</v>
      </c>
    </row>
    <row r="777" spans="1:11" x14ac:dyDescent="0.25">
      <c r="A777" s="4">
        <v>42098</v>
      </c>
      <c r="B777" s="3">
        <f>YEAR(SalesData[[#This Row],[Order Date]])</f>
        <v>2015</v>
      </c>
      <c r="C777" s="3">
        <f>MONTH(SalesData[[#This Row],[Order Date]])</f>
        <v>4</v>
      </c>
      <c r="D777" t="s">
        <v>20</v>
      </c>
      <c r="E777" t="s">
        <v>52</v>
      </c>
      <c r="F777" t="s">
        <v>11</v>
      </c>
      <c r="G777" t="s">
        <v>12</v>
      </c>
      <c r="H777" t="s">
        <v>65</v>
      </c>
      <c r="I777" s="2">
        <v>3787</v>
      </c>
      <c r="J777" s="3">
        <v>2</v>
      </c>
      <c r="K777" s="2">
        <v>502.36</v>
      </c>
    </row>
    <row r="778" spans="1:11" x14ac:dyDescent="0.25">
      <c r="A778" s="4">
        <v>42099</v>
      </c>
      <c r="B778" s="3">
        <f>YEAR(SalesData[[#This Row],[Order Date]])</f>
        <v>2015</v>
      </c>
      <c r="C778" s="3">
        <f>MONTH(SalesData[[#This Row],[Order Date]])</f>
        <v>4</v>
      </c>
      <c r="D778" t="s">
        <v>23</v>
      </c>
      <c r="E778" t="s">
        <v>10</v>
      </c>
      <c r="F778" t="s">
        <v>15</v>
      </c>
      <c r="G778" t="s">
        <v>45</v>
      </c>
      <c r="H778" t="s">
        <v>59</v>
      </c>
      <c r="I778" s="2">
        <v>2590.58</v>
      </c>
      <c r="J778" s="3">
        <v>8</v>
      </c>
      <c r="K778" s="2">
        <v>242.45</v>
      </c>
    </row>
    <row r="779" spans="1:11" x14ac:dyDescent="0.25">
      <c r="A779" s="4">
        <v>42100</v>
      </c>
      <c r="B779" s="3">
        <f>YEAR(SalesData[[#This Row],[Order Date]])</f>
        <v>2015</v>
      </c>
      <c r="C779" s="3">
        <f>MONTH(SalesData[[#This Row],[Order Date]])</f>
        <v>4</v>
      </c>
      <c r="D779" t="s">
        <v>30</v>
      </c>
      <c r="E779" t="s">
        <v>37</v>
      </c>
      <c r="F779" t="s">
        <v>15</v>
      </c>
      <c r="G779" t="s">
        <v>38</v>
      </c>
      <c r="H779" t="s">
        <v>39</v>
      </c>
      <c r="I779" s="2">
        <v>2208.9299999999998</v>
      </c>
      <c r="J779" s="3">
        <v>1</v>
      </c>
      <c r="K779" s="2">
        <v>564.71</v>
      </c>
    </row>
    <row r="780" spans="1:11" x14ac:dyDescent="0.25">
      <c r="A780" s="4">
        <v>42100</v>
      </c>
      <c r="B780" s="3">
        <f>YEAR(SalesData[[#This Row],[Order Date]])</f>
        <v>2015</v>
      </c>
      <c r="C780" s="3">
        <f>MONTH(SalesData[[#This Row],[Order Date]])</f>
        <v>4</v>
      </c>
      <c r="D780" t="s">
        <v>30</v>
      </c>
      <c r="E780" t="s">
        <v>19</v>
      </c>
      <c r="F780" t="s">
        <v>27</v>
      </c>
      <c r="G780" t="s">
        <v>48</v>
      </c>
      <c r="H780" t="s">
        <v>49</v>
      </c>
      <c r="I780" s="2">
        <v>1341.77</v>
      </c>
      <c r="J780" s="3">
        <v>6</v>
      </c>
      <c r="K780" s="2">
        <v>286.38</v>
      </c>
    </row>
    <row r="781" spans="1:11" x14ac:dyDescent="0.25">
      <c r="A781" s="4">
        <v>42100</v>
      </c>
      <c r="B781" s="3">
        <f>YEAR(SalesData[[#This Row],[Order Date]])</f>
        <v>2015</v>
      </c>
      <c r="C781" s="3">
        <f>MONTH(SalesData[[#This Row],[Order Date]])</f>
        <v>4</v>
      </c>
      <c r="D781" t="s">
        <v>62</v>
      </c>
      <c r="E781" t="s">
        <v>19</v>
      </c>
      <c r="F781" t="s">
        <v>15</v>
      </c>
      <c r="G781" t="s">
        <v>38</v>
      </c>
      <c r="H781" t="s">
        <v>56</v>
      </c>
      <c r="I781" s="2">
        <v>634.12</v>
      </c>
      <c r="J781" s="3">
        <v>7</v>
      </c>
      <c r="K781" s="2">
        <v>129.35</v>
      </c>
    </row>
    <row r="782" spans="1:11" x14ac:dyDescent="0.25">
      <c r="A782" s="4">
        <v>42101</v>
      </c>
      <c r="B782" s="3">
        <f>YEAR(SalesData[[#This Row],[Order Date]])</f>
        <v>2015</v>
      </c>
      <c r="C782" s="3">
        <f>MONTH(SalesData[[#This Row],[Order Date]])</f>
        <v>4</v>
      </c>
      <c r="D782" t="s">
        <v>43</v>
      </c>
      <c r="E782" t="s">
        <v>52</v>
      </c>
      <c r="F782" t="s">
        <v>15</v>
      </c>
      <c r="G782" t="s">
        <v>41</v>
      </c>
      <c r="H782" t="s">
        <v>42</v>
      </c>
      <c r="I782" s="2">
        <v>1145.05</v>
      </c>
      <c r="J782" s="3">
        <v>7</v>
      </c>
      <c r="K782" s="2">
        <v>140.80000000000001</v>
      </c>
    </row>
    <row r="783" spans="1:11" x14ac:dyDescent="0.25">
      <c r="A783" s="4">
        <v>42101</v>
      </c>
      <c r="B783" s="3">
        <f>YEAR(SalesData[[#This Row],[Order Date]])</f>
        <v>2015</v>
      </c>
      <c r="C783" s="3">
        <f>MONTH(SalesData[[#This Row],[Order Date]])</f>
        <v>4</v>
      </c>
      <c r="D783" t="s">
        <v>30</v>
      </c>
      <c r="E783" t="s">
        <v>19</v>
      </c>
      <c r="F783" t="s">
        <v>15</v>
      </c>
      <c r="G783" t="s">
        <v>38</v>
      </c>
      <c r="H783" t="s">
        <v>56</v>
      </c>
      <c r="I783" s="2">
        <v>1440.28</v>
      </c>
      <c r="J783" s="3">
        <v>5</v>
      </c>
      <c r="K783" s="2">
        <v>373.93</v>
      </c>
    </row>
    <row r="784" spans="1:11" x14ac:dyDescent="0.25">
      <c r="A784" s="4">
        <v>42101</v>
      </c>
      <c r="B784" s="3">
        <f>YEAR(SalesData[[#This Row],[Order Date]])</f>
        <v>2015</v>
      </c>
      <c r="C784" s="3">
        <f>MONTH(SalesData[[#This Row],[Order Date]])</f>
        <v>4</v>
      </c>
      <c r="D784" t="s">
        <v>47</v>
      </c>
      <c r="E784" t="s">
        <v>19</v>
      </c>
      <c r="F784" t="s">
        <v>27</v>
      </c>
      <c r="G784" t="s">
        <v>32</v>
      </c>
      <c r="H784" t="s">
        <v>33</v>
      </c>
      <c r="I784" s="2">
        <v>4661.84</v>
      </c>
      <c r="J784" s="3">
        <v>4</v>
      </c>
      <c r="K784" s="2">
        <v>202.95</v>
      </c>
    </row>
    <row r="785" spans="1:11" x14ac:dyDescent="0.25">
      <c r="A785" s="4">
        <v>42101</v>
      </c>
      <c r="B785" s="3">
        <f>YEAR(SalesData[[#This Row],[Order Date]])</f>
        <v>2015</v>
      </c>
      <c r="C785" s="3">
        <f>MONTH(SalesData[[#This Row],[Order Date]])</f>
        <v>4</v>
      </c>
      <c r="D785" t="s">
        <v>9</v>
      </c>
      <c r="E785" t="s">
        <v>60</v>
      </c>
      <c r="F785" t="s">
        <v>27</v>
      </c>
      <c r="G785" t="s">
        <v>32</v>
      </c>
      <c r="H785" t="s">
        <v>33</v>
      </c>
      <c r="I785" s="2">
        <v>3334.95</v>
      </c>
      <c r="J785" s="3">
        <v>3</v>
      </c>
      <c r="K785" s="2">
        <v>988.66</v>
      </c>
    </row>
    <row r="786" spans="1:11" x14ac:dyDescent="0.25">
      <c r="A786" s="4">
        <v>42101</v>
      </c>
      <c r="B786" s="3">
        <f>YEAR(SalesData[[#This Row],[Order Date]])</f>
        <v>2015</v>
      </c>
      <c r="C786" s="3">
        <f>MONTH(SalesData[[#This Row],[Order Date]])</f>
        <v>4</v>
      </c>
      <c r="D786" t="s">
        <v>18</v>
      </c>
      <c r="E786" t="s">
        <v>52</v>
      </c>
      <c r="F786" t="s">
        <v>27</v>
      </c>
      <c r="G786" t="s">
        <v>32</v>
      </c>
      <c r="H786" t="s">
        <v>33</v>
      </c>
      <c r="I786" s="2">
        <v>840.83</v>
      </c>
      <c r="J786" s="3">
        <v>5</v>
      </c>
      <c r="K786" s="2">
        <v>249.47</v>
      </c>
    </row>
    <row r="787" spans="1:11" x14ac:dyDescent="0.25">
      <c r="A787" s="4">
        <v>42102</v>
      </c>
      <c r="B787" s="3">
        <f>YEAR(SalesData[[#This Row],[Order Date]])</f>
        <v>2015</v>
      </c>
      <c r="C787" s="3">
        <f>MONTH(SalesData[[#This Row],[Order Date]])</f>
        <v>4</v>
      </c>
      <c r="D787" t="s">
        <v>20</v>
      </c>
      <c r="E787" t="s">
        <v>10</v>
      </c>
      <c r="F787" t="s">
        <v>11</v>
      </c>
      <c r="G787" t="s">
        <v>21</v>
      </c>
      <c r="H787" t="s">
        <v>22</v>
      </c>
      <c r="I787" s="2">
        <v>1941.11</v>
      </c>
      <c r="J787" s="3">
        <v>8</v>
      </c>
      <c r="K787" s="2">
        <v>517.01</v>
      </c>
    </row>
    <row r="788" spans="1:11" x14ac:dyDescent="0.25">
      <c r="A788" s="4">
        <v>42103</v>
      </c>
      <c r="B788" s="3">
        <f>YEAR(SalesData[[#This Row],[Order Date]])</f>
        <v>2015</v>
      </c>
      <c r="C788" s="3">
        <f>MONTH(SalesData[[#This Row],[Order Date]])</f>
        <v>4</v>
      </c>
      <c r="D788" t="s">
        <v>18</v>
      </c>
      <c r="E788" t="s">
        <v>37</v>
      </c>
      <c r="F788" t="s">
        <v>27</v>
      </c>
      <c r="G788" t="s">
        <v>28</v>
      </c>
      <c r="H788" t="s">
        <v>69</v>
      </c>
      <c r="I788" s="2">
        <v>589.89</v>
      </c>
      <c r="J788" s="3">
        <v>9</v>
      </c>
      <c r="K788" s="2">
        <v>131.65</v>
      </c>
    </row>
    <row r="789" spans="1:11" x14ac:dyDescent="0.25">
      <c r="A789" s="4">
        <v>42104</v>
      </c>
      <c r="B789" s="3">
        <f>YEAR(SalesData[[#This Row],[Order Date]])</f>
        <v>2015</v>
      </c>
      <c r="C789" s="3">
        <f>MONTH(SalesData[[#This Row],[Order Date]])</f>
        <v>4</v>
      </c>
      <c r="D789" t="s">
        <v>68</v>
      </c>
      <c r="E789" t="s">
        <v>37</v>
      </c>
      <c r="F789" t="s">
        <v>11</v>
      </c>
      <c r="G789" t="s">
        <v>12</v>
      </c>
      <c r="H789" t="s">
        <v>65</v>
      </c>
      <c r="I789" s="2">
        <v>1395.35</v>
      </c>
      <c r="J789" s="3">
        <v>8</v>
      </c>
      <c r="K789" s="2">
        <v>47.15</v>
      </c>
    </row>
    <row r="790" spans="1:11" x14ac:dyDescent="0.25">
      <c r="A790" s="4">
        <v>42105</v>
      </c>
      <c r="B790" s="3">
        <f>YEAR(SalesData[[#This Row],[Order Date]])</f>
        <v>2015</v>
      </c>
      <c r="C790" s="3">
        <f>MONTH(SalesData[[#This Row],[Order Date]])</f>
        <v>4</v>
      </c>
      <c r="D790" t="s">
        <v>55</v>
      </c>
      <c r="E790" t="s">
        <v>52</v>
      </c>
      <c r="F790" t="s">
        <v>27</v>
      </c>
      <c r="G790" t="s">
        <v>28</v>
      </c>
      <c r="H790" t="s">
        <v>69</v>
      </c>
      <c r="I790" s="2">
        <v>3204.97</v>
      </c>
      <c r="J790" s="3">
        <v>2</v>
      </c>
      <c r="K790" s="2">
        <v>189.01</v>
      </c>
    </row>
    <row r="791" spans="1:11" x14ac:dyDescent="0.25">
      <c r="A791" s="4">
        <v>42105</v>
      </c>
      <c r="B791" s="3">
        <f>YEAR(SalesData[[#This Row],[Order Date]])</f>
        <v>2015</v>
      </c>
      <c r="C791" s="3">
        <f>MONTH(SalesData[[#This Row],[Order Date]])</f>
        <v>4</v>
      </c>
      <c r="D791" t="s">
        <v>20</v>
      </c>
      <c r="E791" t="s">
        <v>37</v>
      </c>
      <c r="F791" t="s">
        <v>15</v>
      </c>
      <c r="G791" t="s">
        <v>16</v>
      </c>
      <c r="H791" t="s">
        <v>51</v>
      </c>
      <c r="I791" s="2">
        <v>4046.35</v>
      </c>
      <c r="J791" s="3">
        <v>2</v>
      </c>
      <c r="K791" s="2">
        <v>206.78</v>
      </c>
    </row>
    <row r="792" spans="1:11" x14ac:dyDescent="0.25">
      <c r="A792" s="4">
        <v>42106</v>
      </c>
      <c r="B792" s="3">
        <f>YEAR(SalesData[[#This Row],[Order Date]])</f>
        <v>2015</v>
      </c>
      <c r="C792" s="3">
        <f>MONTH(SalesData[[#This Row],[Order Date]])</f>
        <v>4</v>
      </c>
      <c r="D792" t="s">
        <v>18</v>
      </c>
      <c r="E792" t="s">
        <v>44</v>
      </c>
      <c r="F792" t="s">
        <v>27</v>
      </c>
      <c r="G792" t="s">
        <v>32</v>
      </c>
      <c r="H792" t="s">
        <v>53</v>
      </c>
      <c r="I792" s="2">
        <v>4320.47</v>
      </c>
      <c r="J792" s="3">
        <v>9</v>
      </c>
      <c r="K792" s="2">
        <v>299.27</v>
      </c>
    </row>
    <row r="793" spans="1:11" x14ac:dyDescent="0.25">
      <c r="A793" s="4">
        <v>42106</v>
      </c>
      <c r="B793" s="3">
        <f>YEAR(SalesData[[#This Row],[Order Date]])</f>
        <v>2015</v>
      </c>
      <c r="C793" s="3">
        <f>MONTH(SalesData[[#This Row],[Order Date]])</f>
        <v>4</v>
      </c>
      <c r="D793" t="s">
        <v>30</v>
      </c>
      <c r="E793" t="s">
        <v>34</v>
      </c>
      <c r="F793" t="s">
        <v>11</v>
      </c>
      <c r="G793" t="s">
        <v>12</v>
      </c>
      <c r="H793" t="s">
        <v>65</v>
      </c>
      <c r="I793" s="2">
        <v>3185.09</v>
      </c>
      <c r="J793" s="3">
        <v>7</v>
      </c>
      <c r="K793" s="2">
        <v>572.13</v>
      </c>
    </row>
    <row r="794" spans="1:11" x14ac:dyDescent="0.25">
      <c r="A794" s="4">
        <v>42107</v>
      </c>
      <c r="B794" s="3">
        <f>YEAR(SalesData[[#This Row],[Order Date]])</f>
        <v>2015</v>
      </c>
      <c r="C794" s="3">
        <f>MONTH(SalesData[[#This Row],[Order Date]])</f>
        <v>4</v>
      </c>
      <c r="D794" t="s">
        <v>55</v>
      </c>
      <c r="E794" t="s">
        <v>52</v>
      </c>
      <c r="F794" t="s">
        <v>15</v>
      </c>
      <c r="G794" t="s">
        <v>45</v>
      </c>
      <c r="H794" t="s">
        <v>59</v>
      </c>
      <c r="I794" s="2">
        <v>4449.55</v>
      </c>
      <c r="J794" s="3">
        <v>7</v>
      </c>
      <c r="K794" s="2">
        <v>1028.3599999999999</v>
      </c>
    </row>
    <row r="795" spans="1:11" x14ac:dyDescent="0.25">
      <c r="A795" s="4">
        <v>42107</v>
      </c>
      <c r="B795" s="3">
        <f>YEAR(SalesData[[#This Row],[Order Date]])</f>
        <v>2015</v>
      </c>
      <c r="C795" s="3">
        <f>MONTH(SalesData[[#This Row],[Order Date]])</f>
        <v>4</v>
      </c>
      <c r="D795" t="s">
        <v>30</v>
      </c>
      <c r="E795" t="s">
        <v>26</v>
      </c>
      <c r="F795" t="s">
        <v>27</v>
      </c>
      <c r="G795" t="s">
        <v>48</v>
      </c>
      <c r="H795" t="s">
        <v>49</v>
      </c>
      <c r="I795" s="2">
        <v>4749.2</v>
      </c>
      <c r="J795" s="3">
        <v>7</v>
      </c>
      <c r="K795" s="2">
        <v>493.08</v>
      </c>
    </row>
    <row r="796" spans="1:11" x14ac:dyDescent="0.25">
      <c r="A796" s="4">
        <v>42107</v>
      </c>
      <c r="B796" s="3">
        <f>YEAR(SalesData[[#This Row],[Order Date]])</f>
        <v>2015</v>
      </c>
      <c r="C796" s="3">
        <f>MONTH(SalesData[[#This Row],[Order Date]])</f>
        <v>4</v>
      </c>
      <c r="D796" t="s">
        <v>43</v>
      </c>
      <c r="E796" t="s">
        <v>60</v>
      </c>
      <c r="F796" t="s">
        <v>11</v>
      </c>
      <c r="G796" t="s">
        <v>24</v>
      </c>
      <c r="H796" t="s">
        <v>54</v>
      </c>
      <c r="I796" s="2">
        <v>4854.47</v>
      </c>
      <c r="J796" s="3">
        <v>1</v>
      </c>
      <c r="K796" s="2">
        <v>621.94000000000005</v>
      </c>
    </row>
    <row r="797" spans="1:11" x14ac:dyDescent="0.25">
      <c r="A797" s="4">
        <v>42107</v>
      </c>
      <c r="B797" s="3">
        <f>YEAR(SalesData[[#This Row],[Order Date]])</f>
        <v>2015</v>
      </c>
      <c r="C797" s="3">
        <f>MONTH(SalesData[[#This Row],[Order Date]])</f>
        <v>4</v>
      </c>
      <c r="D797" t="s">
        <v>47</v>
      </c>
      <c r="E797" t="s">
        <v>26</v>
      </c>
      <c r="F797" t="s">
        <v>11</v>
      </c>
      <c r="G797" t="s">
        <v>12</v>
      </c>
      <c r="H797" t="s">
        <v>65</v>
      </c>
      <c r="I797" s="2">
        <v>3204.44</v>
      </c>
      <c r="J797" s="3">
        <v>2</v>
      </c>
      <c r="K797" s="2">
        <v>921.75</v>
      </c>
    </row>
    <row r="798" spans="1:11" x14ac:dyDescent="0.25">
      <c r="A798" s="4">
        <v>42109</v>
      </c>
      <c r="B798" s="3">
        <f>YEAR(SalesData[[#This Row],[Order Date]])</f>
        <v>2015</v>
      </c>
      <c r="C798" s="3">
        <f>MONTH(SalesData[[#This Row],[Order Date]])</f>
        <v>4</v>
      </c>
      <c r="D798" t="s">
        <v>18</v>
      </c>
      <c r="E798" t="s">
        <v>37</v>
      </c>
      <c r="F798" t="s">
        <v>15</v>
      </c>
      <c r="G798" t="s">
        <v>45</v>
      </c>
      <c r="H798" t="s">
        <v>59</v>
      </c>
      <c r="I798" s="2">
        <v>71.12</v>
      </c>
      <c r="J798" s="3">
        <v>1</v>
      </c>
      <c r="K798" s="2">
        <v>12.51</v>
      </c>
    </row>
    <row r="799" spans="1:11" x14ac:dyDescent="0.25">
      <c r="A799" s="4">
        <v>42109</v>
      </c>
      <c r="B799" s="3">
        <f>YEAR(SalesData[[#This Row],[Order Date]])</f>
        <v>2015</v>
      </c>
      <c r="C799" s="3">
        <f>MONTH(SalesData[[#This Row],[Order Date]])</f>
        <v>4</v>
      </c>
      <c r="D799" t="s">
        <v>50</v>
      </c>
      <c r="E799" t="s">
        <v>26</v>
      </c>
      <c r="F799" t="s">
        <v>15</v>
      </c>
      <c r="G799" t="s">
        <v>45</v>
      </c>
      <c r="H799" t="s">
        <v>46</v>
      </c>
      <c r="I799" s="2">
        <v>2056.02</v>
      </c>
      <c r="J799" s="3">
        <v>2</v>
      </c>
      <c r="K799" s="2">
        <v>446.19</v>
      </c>
    </row>
    <row r="800" spans="1:11" x14ac:dyDescent="0.25">
      <c r="A800" s="4">
        <v>42109</v>
      </c>
      <c r="B800" s="3">
        <f>YEAR(SalesData[[#This Row],[Order Date]])</f>
        <v>2015</v>
      </c>
      <c r="C800" s="3">
        <f>MONTH(SalesData[[#This Row],[Order Date]])</f>
        <v>4</v>
      </c>
      <c r="D800" t="s">
        <v>50</v>
      </c>
      <c r="E800" t="s">
        <v>26</v>
      </c>
      <c r="F800" t="s">
        <v>11</v>
      </c>
      <c r="G800" t="s">
        <v>21</v>
      </c>
      <c r="H800" t="s">
        <v>22</v>
      </c>
      <c r="I800" s="2">
        <v>4995.8599999999997</v>
      </c>
      <c r="J800" s="3">
        <v>7</v>
      </c>
      <c r="K800" s="2">
        <v>1174.96</v>
      </c>
    </row>
    <row r="801" spans="1:11" x14ac:dyDescent="0.25">
      <c r="A801" s="4">
        <v>42110</v>
      </c>
      <c r="B801" s="3">
        <f>YEAR(SalesData[[#This Row],[Order Date]])</f>
        <v>2015</v>
      </c>
      <c r="C801" s="3">
        <f>MONTH(SalesData[[#This Row],[Order Date]])</f>
        <v>4</v>
      </c>
      <c r="D801" t="s">
        <v>47</v>
      </c>
      <c r="E801" t="s">
        <v>52</v>
      </c>
      <c r="F801" t="s">
        <v>27</v>
      </c>
      <c r="G801" t="s">
        <v>32</v>
      </c>
      <c r="H801" t="s">
        <v>53</v>
      </c>
      <c r="I801" s="2">
        <v>1151.57</v>
      </c>
      <c r="J801" s="3">
        <v>8</v>
      </c>
      <c r="K801" s="2">
        <v>288.51</v>
      </c>
    </row>
    <row r="802" spans="1:11" x14ac:dyDescent="0.25">
      <c r="A802" s="4">
        <v>42111</v>
      </c>
      <c r="B802" s="3">
        <f>YEAR(SalesData[[#This Row],[Order Date]])</f>
        <v>2015</v>
      </c>
      <c r="C802" s="3">
        <f>MONTH(SalesData[[#This Row],[Order Date]])</f>
        <v>4</v>
      </c>
      <c r="D802" t="s">
        <v>14</v>
      </c>
      <c r="E802" t="s">
        <v>37</v>
      </c>
      <c r="F802" t="s">
        <v>27</v>
      </c>
      <c r="G802" t="s">
        <v>28</v>
      </c>
      <c r="H802" t="s">
        <v>29</v>
      </c>
      <c r="I802" s="2">
        <v>1723.46</v>
      </c>
      <c r="J802" s="3">
        <v>1</v>
      </c>
      <c r="K802" s="2">
        <v>229.42</v>
      </c>
    </row>
    <row r="803" spans="1:11" x14ac:dyDescent="0.25">
      <c r="A803" s="4">
        <v>42112</v>
      </c>
      <c r="B803" s="3">
        <f>YEAR(SalesData[[#This Row],[Order Date]])</f>
        <v>2015</v>
      </c>
      <c r="C803" s="3">
        <f>MONTH(SalesData[[#This Row],[Order Date]])</f>
        <v>4</v>
      </c>
      <c r="D803" t="s">
        <v>55</v>
      </c>
      <c r="E803" t="s">
        <v>10</v>
      </c>
      <c r="F803" t="s">
        <v>15</v>
      </c>
      <c r="G803" t="s">
        <v>38</v>
      </c>
      <c r="H803" t="s">
        <v>39</v>
      </c>
      <c r="I803" s="2">
        <v>240.05</v>
      </c>
      <c r="J803" s="3">
        <v>5</v>
      </c>
      <c r="K803" s="2">
        <v>31.09</v>
      </c>
    </row>
    <row r="804" spans="1:11" x14ac:dyDescent="0.25">
      <c r="A804" s="4">
        <v>42113</v>
      </c>
      <c r="B804" s="3">
        <f>YEAR(SalesData[[#This Row],[Order Date]])</f>
        <v>2015</v>
      </c>
      <c r="C804" s="3">
        <f>MONTH(SalesData[[#This Row],[Order Date]])</f>
        <v>4</v>
      </c>
      <c r="D804" t="s">
        <v>43</v>
      </c>
      <c r="E804" t="s">
        <v>60</v>
      </c>
      <c r="F804" t="s">
        <v>27</v>
      </c>
      <c r="G804" t="s">
        <v>28</v>
      </c>
      <c r="H804" t="s">
        <v>29</v>
      </c>
      <c r="I804" s="2">
        <v>4640.58</v>
      </c>
      <c r="J804" s="3">
        <v>3</v>
      </c>
      <c r="K804" s="2">
        <v>1048.1300000000001</v>
      </c>
    </row>
    <row r="805" spans="1:11" x14ac:dyDescent="0.25">
      <c r="A805" s="4">
        <v>42113</v>
      </c>
      <c r="B805" s="3">
        <f>YEAR(SalesData[[#This Row],[Order Date]])</f>
        <v>2015</v>
      </c>
      <c r="C805" s="3">
        <f>MONTH(SalesData[[#This Row],[Order Date]])</f>
        <v>4</v>
      </c>
      <c r="D805" t="s">
        <v>47</v>
      </c>
      <c r="E805" t="s">
        <v>44</v>
      </c>
      <c r="F805" t="s">
        <v>11</v>
      </c>
      <c r="G805" t="s">
        <v>35</v>
      </c>
      <c r="H805" t="s">
        <v>71</v>
      </c>
      <c r="I805" s="2">
        <v>3254.3</v>
      </c>
      <c r="J805" s="3">
        <v>3</v>
      </c>
      <c r="K805" s="2">
        <v>353.65</v>
      </c>
    </row>
    <row r="806" spans="1:11" x14ac:dyDescent="0.25">
      <c r="A806" s="4">
        <v>42114</v>
      </c>
      <c r="B806" s="3">
        <f>YEAR(SalesData[[#This Row],[Order Date]])</f>
        <v>2015</v>
      </c>
      <c r="C806" s="3">
        <f>MONTH(SalesData[[#This Row],[Order Date]])</f>
        <v>4</v>
      </c>
      <c r="D806" t="s">
        <v>30</v>
      </c>
      <c r="E806" t="s">
        <v>52</v>
      </c>
      <c r="F806" t="s">
        <v>15</v>
      </c>
      <c r="G806" t="s">
        <v>63</v>
      </c>
      <c r="H806" t="s">
        <v>64</v>
      </c>
      <c r="I806" s="2">
        <v>1351.78</v>
      </c>
      <c r="J806" s="3">
        <v>10</v>
      </c>
      <c r="K806" s="2">
        <v>132.05000000000001</v>
      </c>
    </row>
    <row r="807" spans="1:11" x14ac:dyDescent="0.25">
      <c r="A807" s="4">
        <v>42114</v>
      </c>
      <c r="B807" s="3">
        <f>YEAR(SalesData[[#This Row],[Order Date]])</f>
        <v>2015</v>
      </c>
      <c r="C807" s="3">
        <f>MONTH(SalesData[[#This Row],[Order Date]])</f>
        <v>4</v>
      </c>
      <c r="D807" t="s">
        <v>47</v>
      </c>
      <c r="E807" t="s">
        <v>60</v>
      </c>
      <c r="F807" t="s">
        <v>27</v>
      </c>
      <c r="G807" t="s">
        <v>32</v>
      </c>
      <c r="H807" t="s">
        <v>53</v>
      </c>
      <c r="I807" s="2">
        <v>2511.1799999999998</v>
      </c>
      <c r="J807" s="3">
        <v>9</v>
      </c>
      <c r="K807" s="2">
        <v>356.49</v>
      </c>
    </row>
    <row r="808" spans="1:11" x14ac:dyDescent="0.25">
      <c r="A808" s="4">
        <v>42115</v>
      </c>
      <c r="B808" s="3">
        <f>YEAR(SalesData[[#This Row],[Order Date]])</f>
        <v>2015</v>
      </c>
      <c r="C808" s="3">
        <f>MONTH(SalesData[[#This Row],[Order Date]])</f>
        <v>4</v>
      </c>
      <c r="D808" t="s">
        <v>9</v>
      </c>
      <c r="E808" t="s">
        <v>40</v>
      </c>
      <c r="F808" t="s">
        <v>15</v>
      </c>
      <c r="G808" t="s">
        <v>45</v>
      </c>
      <c r="H808" t="s">
        <v>59</v>
      </c>
      <c r="I808" s="2">
        <v>3696.42</v>
      </c>
      <c r="J808" s="3">
        <v>6</v>
      </c>
      <c r="K808" s="2">
        <v>961.28</v>
      </c>
    </row>
    <row r="809" spans="1:11" x14ac:dyDescent="0.25">
      <c r="A809" s="4">
        <v>42115</v>
      </c>
      <c r="B809" s="3">
        <f>YEAR(SalesData[[#This Row],[Order Date]])</f>
        <v>2015</v>
      </c>
      <c r="C809" s="3">
        <f>MONTH(SalesData[[#This Row],[Order Date]])</f>
        <v>4</v>
      </c>
      <c r="D809" t="s">
        <v>20</v>
      </c>
      <c r="E809" t="s">
        <v>34</v>
      </c>
      <c r="F809" t="s">
        <v>11</v>
      </c>
      <c r="G809" t="s">
        <v>24</v>
      </c>
      <c r="H809" t="s">
        <v>54</v>
      </c>
      <c r="I809" s="2">
        <v>2409.75</v>
      </c>
      <c r="J809" s="3">
        <v>10</v>
      </c>
      <c r="K809" s="2">
        <v>157.79</v>
      </c>
    </row>
    <row r="810" spans="1:11" x14ac:dyDescent="0.25">
      <c r="A810" s="4">
        <v>42115</v>
      </c>
      <c r="B810" s="3">
        <f>YEAR(SalesData[[#This Row],[Order Date]])</f>
        <v>2015</v>
      </c>
      <c r="C810" s="3">
        <f>MONTH(SalesData[[#This Row],[Order Date]])</f>
        <v>4</v>
      </c>
      <c r="D810" t="s">
        <v>9</v>
      </c>
      <c r="E810" t="s">
        <v>37</v>
      </c>
      <c r="F810" t="s">
        <v>11</v>
      </c>
      <c r="G810" t="s">
        <v>12</v>
      </c>
      <c r="H810" t="s">
        <v>13</v>
      </c>
      <c r="I810" s="2">
        <v>1057.55</v>
      </c>
      <c r="J810" s="3">
        <v>5</v>
      </c>
      <c r="K810" s="2">
        <v>78.06</v>
      </c>
    </row>
    <row r="811" spans="1:11" x14ac:dyDescent="0.25">
      <c r="A811" s="4">
        <v>42115</v>
      </c>
      <c r="B811" s="3">
        <f>YEAR(SalesData[[#This Row],[Order Date]])</f>
        <v>2015</v>
      </c>
      <c r="C811" s="3">
        <f>MONTH(SalesData[[#This Row],[Order Date]])</f>
        <v>4</v>
      </c>
      <c r="D811" t="s">
        <v>30</v>
      </c>
      <c r="E811" t="s">
        <v>34</v>
      </c>
      <c r="F811" t="s">
        <v>11</v>
      </c>
      <c r="G811" t="s">
        <v>12</v>
      </c>
      <c r="H811" t="s">
        <v>65</v>
      </c>
      <c r="I811" s="2">
        <v>4767.01</v>
      </c>
      <c r="J811" s="3">
        <v>3</v>
      </c>
      <c r="K811" s="2">
        <v>1127.29</v>
      </c>
    </row>
    <row r="812" spans="1:11" x14ac:dyDescent="0.25">
      <c r="A812" s="4">
        <v>42116</v>
      </c>
      <c r="B812" s="3">
        <f>YEAR(SalesData[[#This Row],[Order Date]])</f>
        <v>2015</v>
      </c>
      <c r="C812" s="3">
        <f>MONTH(SalesData[[#This Row],[Order Date]])</f>
        <v>4</v>
      </c>
      <c r="D812" t="s">
        <v>20</v>
      </c>
      <c r="E812" t="s">
        <v>10</v>
      </c>
      <c r="F812" t="s">
        <v>15</v>
      </c>
      <c r="G812" t="s">
        <v>63</v>
      </c>
      <c r="H812" t="s">
        <v>66</v>
      </c>
      <c r="I812" s="2">
        <v>1591.61</v>
      </c>
      <c r="J812" s="3">
        <v>9</v>
      </c>
      <c r="K812" s="2">
        <v>262.33999999999997</v>
      </c>
    </row>
    <row r="813" spans="1:11" x14ac:dyDescent="0.25">
      <c r="A813" s="4">
        <v>42117</v>
      </c>
      <c r="B813" s="3">
        <f>YEAR(SalesData[[#This Row],[Order Date]])</f>
        <v>2015</v>
      </c>
      <c r="C813" s="3">
        <f>MONTH(SalesData[[#This Row],[Order Date]])</f>
        <v>4</v>
      </c>
      <c r="D813" t="s">
        <v>23</v>
      </c>
      <c r="E813" t="s">
        <v>34</v>
      </c>
      <c r="F813" t="s">
        <v>27</v>
      </c>
      <c r="G813" t="s">
        <v>48</v>
      </c>
      <c r="H813" t="s">
        <v>57</v>
      </c>
      <c r="I813" s="2">
        <v>221.33</v>
      </c>
      <c r="J813" s="3">
        <v>9</v>
      </c>
      <c r="K813" s="2">
        <v>5.7</v>
      </c>
    </row>
    <row r="814" spans="1:11" x14ac:dyDescent="0.25">
      <c r="A814" s="4">
        <v>42120</v>
      </c>
      <c r="B814" s="3">
        <f>YEAR(SalesData[[#This Row],[Order Date]])</f>
        <v>2015</v>
      </c>
      <c r="C814" s="3">
        <f>MONTH(SalesData[[#This Row],[Order Date]])</f>
        <v>4</v>
      </c>
      <c r="D814" t="s">
        <v>55</v>
      </c>
      <c r="E814" t="s">
        <v>26</v>
      </c>
      <c r="F814" t="s">
        <v>15</v>
      </c>
      <c r="G814" t="s">
        <v>63</v>
      </c>
      <c r="H814" t="s">
        <v>64</v>
      </c>
      <c r="I814" s="2">
        <v>3249.8</v>
      </c>
      <c r="J814" s="3">
        <v>8</v>
      </c>
      <c r="K814" s="2">
        <v>94.66</v>
      </c>
    </row>
    <row r="815" spans="1:11" x14ac:dyDescent="0.25">
      <c r="A815" s="4">
        <v>42120</v>
      </c>
      <c r="B815" s="3">
        <f>YEAR(SalesData[[#This Row],[Order Date]])</f>
        <v>2015</v>
      </c>
      <c r="C815" s="3">
        <f>MONTH(SalesData[[#This Row],[Order Date]])</f>
        <v>4</v>
      </c>
      <c r="D815" t="s">
        <v>9</v>
      </c>
      <c r="E815" t="s">
        <v>31</v>
      </c>
      <c r="F815" t="s">
        <v>15</v>
      </c>
      <c r="G815" t="s">
        <v>41</v>
      </c>
      <c r="H815" t="s">
        <v>42</v>
      </c>
      <c r="I815" s="2">
        <v>4731.1099999999997</v>
      </c>
      <c r="J815" s="3">
        <v>1</v>
      </c>
      <c r="K815" s="2">
        <v>443.35</v>
      </c>
    </row>
    <row r="816" spans="1:11" x14ac:dyDescent="0.25">
      <c r="A816" s="4">
        <v>42120</v>
      </c>
      <c r="B816" s="3">
        <f>YEAR(SalesData[[#This Row],[Order Date]])</f>
        <v>2015</v>
      </c>
      <c r="C816" s="3">
        <f>MONTH(SalesData[[#This Row],[Order Date]])</f>
        <v>4</v>
      </c>
      <c r="D816" t="s">
        <v>30</v>
      </c>
      <c r="E816" t="s">
        <v>60</v>
      </c>
      <c r="F816" t="s">
        <v>15</v>
      </c>
      <c r="G816" t="s">
        <v>16</v>
      </c>
      <c r="H816" t="s">
        <v>51</v>
      </c>
      <c r="I816" s="2">
        <v>2454.0100000000002</v>
      </c>
      <c r="J816" s="3">
        <v>8</v>
      </c>
      <c r="K816" s="2">
        <v>54.45</v>
      </c>
    </row>
    <row r="817" spans="1:11" x14ac:dyDescent="0.25">
      <c r="A817" s="4">
        <v>42123</v>
      </c>
      <c r="B817" s="3">
        <f>YEAR(SalesData[[#This Row],[Order Date]])</f>
        <v>2015</v>
      </c>
      <c r="C817" s="3">
        <f>MONTH(SalesData[[#This Row],[Order Date]])</f>
        <v>4</v>
      </c>
      <c r="D817" t="s">
        <v>50</v>
      </c>
      <c r="E817" t="s">
        <v>37</v>
      </c>
      <c r="F817" t="s">
        <v>15</v>
      </c>
      <c r="G817" t="s">
        <v>38</v>
      </c>
      <c r="H817" t="s">
        <v>56</v>
      </c>
      <c r="I817" s="2">
        <v>4524.72</v>
      </c>
      <c r="J817" s="3">
        <v>10</v>
      </c>
      <c r="K817" s="2">
        <v>1048.8699999999999</v>
      </c>
    </row>
    <row r="818" spans="1:11" x14ac:dyDescent="0.25">
      <c r="A818" s="4">
        <v>42123</v>
      </c>
      <c r="B818" s="3">
        <f>YEAR(SalesData[[#This Row],[Order Date]])</f>
        <v>2015</v>
      </c>
      <c r="C818" s="3">
        <f>MONTH(SalesData[[#This Row],[Order Date]])</f>
        <v>4</v>
      </c>
      <c r="D818" t="s">
        <v>18</v>
      </c>
      <c r="E818" t="s">
        <v>44</v>
      </c>
      <c r="F818" t="s">
        <v>11</v>
      </c>
      <c r="G818" t="s">
        <v>24</v>
      </c>
      <c r="H818" t="s">
        <v>25</v>
      </c>
      <c r="I818" s="2">
        <v>2978.92</v>
      </c>
      <c r="J818" s="3">
        <v>1</v>
      </c>
      <c r="K818" s="2">
        <v>822.77</v>
      </c>
    </row>
    <row r="819" spans="1:11" x14ac:dyDescent="0.25">
      <c r="A819" s="4">
        <v>42124</v>
      </c>
      <c r="B819" s="3">
        <f>YEAR(SalesData[[#This Row],[Order Date]])</f>
        <v>2015</v>
      </c>
      <c r="C819" s="3">
        <f>MONTH(SalesData[[#This Row],[Order Date]])</f>
        <v>4</v>
      </c>
      <c r="D819" t="s">
        <v>18</v>
      </c>
      <c r="E819" t="s">
        <v>10</v>
      </c>
      <c r="F819" t="s">
        <v>27</v>
      </c>
      <c r="G819" t="s">
        <v>28</v>
      </c>
      <c r="H819" t="s">
        <v>58</v>
      </c>
      <c r="I819" s="2">
        <v>2603.5300000000002</v>
      </c>
      <c r="J819" s="3">
        <v>1</v>
      </c>
      <c r="K819" s="2">
        <v>265.74</v>
      </c>
    </row>
    <row r="820" spans="1:11" x14ac:dyDescent="0.25">
      <c r="A820" s="4">
        <v>42124</v>
      </c>
      <c r="B820" s="3">
        <f>YEAR(SalesData[[#This Row],[Order Date]])</f>
        <v>2015</v>
      </c>
      <c r="C820" s="3">
        <f>MONTH(SalesData[[#This Row],[Order Date]])</f>
        <v>4</v>
      </c>
      <c r="D820" t="s">
        <v>43</v>
      </c>
      <c r="E820" t="s">
        <v>37</v>
      </c>
      <c r="F820" t="s">
        <v>15</v>
      </c>
      <c r="G820" t="s">
        <v>16</v>
      </c>
      <c r="H820" t="s">
        <v>51</v>
      </c>
      <c r="I820" s="2">
        <v>858.26</v>
      </c>
      <c r="J820" s="3">
        <v>9</v>
      </c>
      <c r="K820" s="2">
        <v>221.31</v>
      </c>
    </row>
    <row r="821" spans="1:11" x14ac:dyDescent="0.25">
      <c r="A821" s="4">
        <v>42125</v>
      </c>
      <c r="B821" s="3">
        <f>YEAR(SalesData[[#This Row],[Order Date]])</f>
        <v>2015</v>
      </c>
      <c r="C821" s="3">
        <f>MONTH(SalesData[[#This Row],[Order Date]])</f>
        <v>5</v>
      </c>
      <c r="D821" t="s">
        <v>55</v>
      </c>
      <c r="E821" t="s">
        <v>52</v>
      </c>
      <c r="F821" t="s">
        <v>27</v>
      </c>
      <c r="G821" t="s">
        <v>28</v>
      </c>
      <c r="H821" t="s">
        <v>58</v>
      </c>
      <c r="I821" s="2">
        <v>4625.49</v>
      </c>
      <c r="J821" s="3">
        <v>8</v>
      </c>
      <c r="K821" s="2">
        <v>1230.5999999999999</v>
      </c>
    </row>
    <row r="822" spans="1:11" x14ac:dyDescent="0.25">
      <c r="A822" s="4">
        <v>42126</v>
      </c>
      <c r="B822" s="3">
        <f>YEAR(SalesData[[#This Row],[Order Date]])</f>
        <v>2015</v>
      </c>
      <c r="C822" s="3">
        <f>MONTH(SalesData[[#This Row],[Order Date]])</f>
        <v>5</v>
      </c>
      <c r="D822" t="s">
        <v>20</v>
      </c>
      <c r="E822" t="s">
        <v>19</v>
      </c>
      <c r="F822" t="s">
        <v>27</v>
      </c>
      <c r="G822" t="s">
        <v>48</v>
      </c>
      <c r="H822" t="s">
        <v>49</v>
      </c>
      <c r="I822" s="2">
        <v>1373.4</v>
      </c>
      <c r="J822" s="3">
        <v>6</v>
      </c>
      <c r="K822" s="2">
        <v>173.03</v>
      </c>
    </row>
    <row r="823" spans="1:11" x14ac:dyDescent="0.25">
      <c r="A823" s="4">
        <v>42126</v>
      </c>
      <c r="B823" s="3">
        <f>YEAR(SalesData[[#This Row],[Order Date]])</f>
        <v>2015</v>
      </c>
      <c r="C823" s="3">
        <f>MONTH(SalesData[[#This Row],[Order Date]])</f>
        <v>5</v>
      </c>
      <c r="D823" t="s">
        <v>30</v>
      </c>
      <c r="E823" t="s">
        <v>19</v>
      </c>
      <c r="F823" t="s">
        <v>15</v>
      </c>
      <c r="G823" t="s">
        <v>41</v>
      </c>
      <c r="H823" t="s">
        <v>42</v>
      </c>
      <c r="I823" s="2">
        <v>637</v>
      </c>
      <c r="J823" s="3">
        <v>9</v>
      </c>
      <c r="K823" s="2">
        <v>184.47</v>
      </c>
    </row>
    <row r="824" spans="1:11" x14ac:dyDescent="0.25">
      <c r="A824" s="4">
        <v>42126</v>
      </c>
      <c r="B824" s="3">
        <f>YEAR(SalesData[[#This Row],[Order Date]])</f>
        <v>2015</v>
      </c>
      <c r="C824" s="3">
        <f>MONTH(SalesData[[#This Row],[Order Date]])</f>
        <v>5</v>
      </c>
      <c r="D824" t="s">
        <v>9</v>
      </c>
      <c r="E824" t="s">
        <v>19</v>
      </c>
      <c r="F824" t="s">
        <v>11</v>
      </c>
      <c r="G824" t="s">
        <v>24</v>
      </c>
      <c r="H824" t="s">
        <v>54</v>
      </c>
      <c r="I824" s="2">
        <v>1814.18</v>
      </c>
      <c r="J824" s="3">
        <v>8</v>
      </c>
      <c r="K824" s="2">
        <v>121.52</v>
      </c>
    </row>
    <row r="825" spans="1:11" x14ac:dyDescent="0.25">
      <c r="A825" s="4">
        <v>42127</v>
      </c>
      <c r="B825" s="3">
        <f>YEAR(SalesData[[#This Row],[Order Date]])</f>
        <v>2015</v>
      </c>
      <c r="C825" s="3">
        <f>MONTH(SalesData[[#This Row],[Order Date]])</f>
        <v>5</v>
      </c>
      <c r="D825" t="s">
        <v>50</v>
      </c>
      <c r="E825" t="s">
        <v>34</v>
      </c>
      <c r="F825" t="s">
        <v>11</v>
      </c>
      <c r="G825" t="s">
        <v>21</v>
      </c>
      <c r="H825" t="s">
        <v>67</v>
      </c>
      <c r="I825" s="2">
        <v>3700.24</v>
      </c>
      <c r="J825" s="3">
        <v>7</v>
      </c>
      <c r="K825" s="2">
        <v>1087.3699999999999</v>
      </c>
    </row>
    <row r="826" spans="1:11" x14ac:dyDescent="0.25">
      <c r="A826" s="4">
        <v>42128</v>
      </c>
      <c r="B826" s="3">
        <f>YEAR(SalesData[[#This Row],[Order Date]])</f>
        <v>2015</v>
      </c>
      <c r="C826" s="3">
        <f>MONTH(SalesData[[#This Row],[Order Date]])</f>
        <v>5</v>
      </c>
      <c r="D826" t="s">
        <v>20</v>
      </c>
      <c r="E826" t="s">
        <v>10</v>
      </c>
      <c r="F826" t="s">
        <v>27</v>
      </c>
      <c r="G826" t="s">
        <v>28</v>
      </c>
      <c r="H826" t="s">
        <v>58</v>
      </c>
      <c r="I826" s="2">
        <v>1167.56</v>
      </c>
      <c r="J826" s="3">
        <v>5</v>
      </c>
      <c r="K826" s="2">
        <v>279.74</v>
      </c>
    </row>
    <row r="827" spans="1:11" x14ac:dyDescent="0.25">
      <c r="A827" s="4">
        <v>42128</v>
      </c>
      <c r="B827" s="3">
        <f>YEAR(SalesData[[#This Row],[Order Date]])</f>
        <v>2015</v>
      </c>
      <c r="C827" s="3">
        <f>MONTH(SalesData[[#This Row],[Order Date]])</f>
        <v>5</v>
      </c>
      <c r="D827" t="s">
        <v>50</v>
      </c>
      <c r="E827" t="s">
        <v>19</v>
      </c>
      <c r="F827" t="s">
        <v>15</v>
      </c>
      <c r="G827" t="s">
        <v>16</v>
      </c>
      <c r="H827" t="s">
        <v>51</v>
      </c>
      <c r="I827" s="2">
        <v>1739.2</v>
      </c>
      <c r="J827" s="3">
        <v>6</v>
      </c>
      <c r="K827" s="2">
        <v>128.44</v>
      </c>
    </row>
    <row r="828" spans="1:11" x14ac:dyDescent="0.25">
      <c r="A828" s="4">
        <v>42128</v>
      </c>
      <c r="B828" s="3">
        <f>YEAR(SalesData[[#This Row],[Order Date]])</f>
        <v>2015</v>
      </c>
      <c r="C828" s="3">
        <f>MONTH(SalesData[[#This Row],[Order Date]])</f>
        <v>5</v>
      </c>
      <c r="D828" t="s">
        <v>55</v>
      </c>
      <c r="E828" t="s">
        <v>60</v>
      </c>
      <c r="F828" t="s">
        <v>15</v>
      </c>
      <c r="G828" t="s">
        <v>63</v>
      </c>
      <c r="H828" t="s">
        <v>66</v>
      </c>
      <c r="I828" s="2">
        <v>3000.11</v>
      </c>
      <c r="J828" s="3">
        <v>1</v>
      </c>
      <c r="K828" s="2">
        <v>378.54</v>
      </c>
    </row>
    <row r="829" spans="1:11" x14ac:dyDescent="0.25">
      <c r="A829" s="4">
        <v>42131</v>
      </c>
      <c r="B829" s="3">
        <f>YEAR(SalesData[[#This Row],[Order Date]])</f>
        <v>2015</v>
      </c>
      <c r="C829" s="3">
        <f>MONTH(SalesData[[#This Row],[Order Date]])</f>
        <v>5</v>
      </c>
      <c r="D829" t="s">
        <v>9</v>
      </c>
      <c r="E829" t="s">
        <v>40</v>
      </c>
      <c r="F829" t="s">
        <v>15</v>
      </c>
      <c r="G829" t="s">
        <v>41</v>
      </c>
      <c r="H829" t="s">
        <v>61</v>
      </c>
      <c r="I829" s="2">
        <v>2929.98</v>
      </c>
      <c r="J829" s="3">
        <v>8</v>
      </c>
      <c r="K829" s="2">
        <v>265.04000000000002</v>
      </c>
    </row>
    <row r="830" spans="1:11" x14ac:dyDescent="0.25">
      <c r="A830" s="4">
        <v>42131</v>
      </c>
      <c r="B830" s="3">
        <f>YEAR(SalesData[[#This Row],[Order Date]])</f>
        <v>2015</v>
      </c>
      <c r="C830" s="3">
        <f>MONTH(SalesData[[#This Row],[Order Date]])</f>
        <v>5</v>
      </c>
      <c r="D830" t="s">
        <v>30</v>
      </c>
      <c r="E830" t="s">
        <v>31</v>
      </c>
      <c r="F830" t="s">
        <v>15</v>
      </c>
      <c r="G830" t="s">
        <v>63</v>
      </c>
      <c r="H830" t="s">
        <v>66</v>
      </c>
      <c r="I830" s="2">
        <v>1620.77</v>
      </c>
      <c r="J830" s="3">
        <v>10</v>
      </c>
      <c r="K830" s="2">
        <v>236.23</v>
      </c>
    </row>
    <row r="831" spans="1:11" x14ac:dyDescent="0.25">
      <c r="A831" s="4">
        <v>42131</v>
      </c>
      <c r="B831" s="3">
        <f>YEAR(SalesData[[#This Row],[Order Date]])</f>
        <v>2015</v>
      </c>
      <c r="C831" s="3">
        <f>MONTH(SalesData[[#This Row],[Order Date]])</f>
        <v>5</v>
      </c>
      <c r="D831" t="s">
        <v>47</v>
      </c>
      <c r="E831" t="s">
        <v>19</v>
      </c>
      <c r="F831" t="s">
        <v>15</v>
      </c>
      <c r="G831" t="s">
        <v>41</v>
      </c>
      <c r="H831" t="s">
        <v>61</v>
      </c>
      <c r="I831" s="2">
        <v>1908.91</v>
      </c>
      <c r="J831" s="3">
        <v>2</v>
      </c>
      <c r="K831" s="2">
        <v>414.87</v>
      </c>
    </row>
    <row r="832" spans="1:11" x14ac:dyDescent="0.25">
      <c r="A832" s="4">
        <v>42132</v>
      </c>
      <c r="B832" s="3">
        <f>YEAR(SalesData[[#This Row],[Order Date]])</f>
        <v>2015</v>
      </c>
      <c r="C832" s="3">
        <f>MONTH(SalesData[[#This Row],[Order Date]])</f>
        <v>5</v>
      </c>
      <c r="D832" t="s">
        <v>23</v>
      </c>
      <c r="E832" t="s">
        <v>26</v>
      </c>
      <c r="F832" t="s">
        <v>11</v>
      </c>
      <c r="G832" t="s">
        <v>21</v>
      </c>
      <c r="H832" t="s">
        <v>22</v>
      </c>
      <c r="I832" s="2">
        <v>217.7</v>
      </c>
      <c r="J832" s="3">
        <v>9</v>
      </c>
      <c r="K832" s="2">
        <v>39.96</v>
      </c>
    </row>
    <row r="833" spans="1:11" x14ac:dyDescent="0.25">
      <c r="A833" s="4">
        <v>42132</v>
      </c>
      <c r="B833" s="3">
        <f>YEAR(SalesData[[#This Row],[Order Date]])</f>
        <v>2015</v>
      </c>
      <c r="C833" s="3">
        <f>MONTH(SalesData[[#This Row],[Order Date]])</f>
        <v>5</v>
      </c>
      <c r="D833" t="s">
        <v>23</v>
      </c>
      <c r="E833" t="s">
        <v>52</v>
      </c>
      <c r="F833" t="s">
        <v>15</v>
      </c>
      <c r="G833" t="s">
        <v>16</v>
      </c>
      <c r="H833" t="s">
        <v>17</v>
      </c>
      <c r="I833" s="2">
        <v>457.82</v>
      </c>
      <c r="J833" s="3">
        <v>6</v>
      </c>
      <c r="K833" s="2">
        <v>103.31</v>
      </c>
    </row>
    <row r="834" spans="1:11" x14ac:dyDescent="0.25">
      <c r="A834" s="4">
        <v>42132</v>
      </c>
      <c r="B834" s="3">
        <f>YEAR(SalesData[[#This Row],[Order Date]])</f>
        <v>2015</v>
      </c>
      <c r="C834" s="3">
        <f>MONTH(SalesData[[#This Row],[Order Date]])</f>
        <v>5</v>
      </c>
      <c r="D834" t="s">
        <v>47</v>
      </c>
      <c r="E834" t="s">
        <v>52</v>
      </c>
      <c r="F834" t="s">
        <v>11</v>
      </c>
      <c r="G834" t="s">
        <v>21</v>
      </c>
      <c r="H834" t="s">
        <v>67</v>
      </c>
      <c r="I834" s="2">
        <v>1515.67</v>
      </c>
      <c r="J834" s="3">
        <v>3</v>
      </c>
      <c r="K834" s="2">
        <v>359.87</v>
      </c>
    </row>
    <row r="835" spans="1:11" x14ac:dyDescent="0.25">
      <c r="A835" s="4">
        <v>42133</v>
      </c>
      <c r="B835" s="3">
        <f>YEAR(SalesData[[#This Row],[Order Date]])</f>
        <v>2015</v>
      </c>
      <c r="C835" s="3">
        <f>MONTH(SalesData[[#This Row],[Order Date]])</f>
        <v>5</v>
      </c>
      <c r="D835" t="s">
        <v>18</v>
      </c>
      <c r="E835" t="s">
        <v>44</v>
      </c>
      <c r="F835" t="s">
        <v>11</v>
      </c>
      <c r="G835" t="s">
        <v>12</v>
      </c>
      <c r="H835" t="s">
        <v>13</v>
      </c>
      <c r="I835" s="2">
        <v>2739.02</v>
      </c>
      <c r="J835" s="3">
        <v>7</v>
      </c>
      <c r="K835" s="2">
        <v>204.28</v>
      </c>
    </row>
    <row r="836" spans="1:11" x14ac:dyDescent="0.25">
      <c r="A836" s="4">
        <v>42133</v>
      </c>
      <c r="B836" s="3">
        <f>YEAR(SalesData[[#This Row],[Order Date]])</f>
        <v>2015</v>
      </c>
      <c r="C836" s="3">
        <f>MONTH(SalesData[[#This Row],[Order Date]])</f>
        <v>5</v>
      </c>
      <c r="D836" t="s">
        <v>43</v>
      </c>
      <c r="E836" t="s">
        <v>60</v>
      </c>
      <c r="F836" t="s">
        <v>15</v>
      </c>
      <c r="G836" t="s">
        <v>63</v>
      </c>
      <c r="H836" t="s">
        <v>64</v>
      </c>
      <c r="I836" s="2">
        <v>1515.75</v>
      </c>
      <c r="J836" s="3">
        <v>6</v>
      </c>
      <c r="K836" s="2">
        <v>402.96</v>
      </c>
    </row>
    <row r="837" spans="1:11" x14ac:dyDescent="0.25">
      <c r="A837" s="4">
        <v>42133</v>
      </c>
      <c r="B837" s="3">
        <f>YEAR(SalesData[[#This Row],[Order Date]])</f>
        <v>2015</v>
      </c>
      <c r="C837" s="3">
        <f>MONTH(SalesData[[#This Row],[Order Date]])</f>
        <v>5</v>
      </c>
      <c r="D837" t="s">
        <v>50</v>
      </c>
      <c r="E837" t="s">
        <v>37</v>
      </c>
      <c r="F837" t="s">
        <v>11</v>
      </c>
      <c r="G837" t="s">
        <v>21</v>
      </c>
      <c r="H837" t="s">
        <v>67</v>
      </c>
      <c r="I837" s="2">
        <v>266.47000000000003</v>
      </c>
      <c r="J837" s="3">
        <v>8</v>
      </c>
      <c r="K837" s="2">
        <v>32.39</v>
      </c>
    </row>
    <row r="838" spans="1:11" x14ac:dyDescent="0.25">
      <c r="A838" s="4">
        <v>42134</v>
      </c>
      <c r="B838" s="3">
        <f>YEAR(SalesData[[#This Row],[Order Date]])</f>
        <v>2015</v>
      </c>
      <c r="C838" s="3">
        <f>MONTH(SalesData[[#This Row],[Order Date]])</f>
        <v>5</v>
      </c>
      <c r="D838" t="s">
        <v>20</v>
      </c>
      <c r="E838" t="s">
        <v>10</v>
      </c>
      <c r="F838" t="s">
        <v>11</v>
      </c>
      <c r="G838" t="s">
        <v>21</v>
      </c>
      <c r="H838" t="s">
        <v>67</v>
      </c>
      <c r="I838" s="2">
        <v>421.53</v>
      </c>
      <c r="J838" s="3">
        <v>1</v>
      </c>
      <c r="K838" s="2">
        <v>10.24</v>
      </c>
    </row>
    <row r="839" spans="1:11" x14ac:dyDescent="0.25">
      <c r="A839" s="4">
        <v>42136</v>
      </c>
      <c r="B839" s="3">
        <f>YEAR(SalesData[[#This Row],[Order Date]])</f>
        <v>2015</v>
      </c>
      <c r="C839" s="3">
        <f>MONTH(SalesData[[#This Row],[Order Date]])</f>
        <v>5</v>
      </c>
      <c r="D839" t="s">
        <v>30</v>
      </c>
      <c r="E839" t="s">
        <v>31</v>
      </c>
      <c r="F839" t="s">
        <v>27</v>
      </c>
      <c r="G839" t="s">
        <v>48</v>
      </c>
      <c r="H839" t="s">
        <v>57</v>
      </c>
      <c r="I839" s="2">
        <v>4903.88</v>
      </c>
      <c r="J839" s="3">
        <v>6</v>
      </c>
      <c r="K839" s="2">
        <v>408.41</v>
      </c>
    </row>
    <row r="840" spans="1:11" x14ac:dyDescent="0.25">
      <c r="A840" s="4">
        <v>42137</v>
      </c>
      <c r="B840" s="3">
        <f>YEAR(SalesData[[#This Row],[Order Date]])</f>
        <v>2015</v>
      </c>
      <c r="C840" s="3">
        <f>MONTH(SalesData[[#This Row],[Order Date]])</f>
        <v>5</v>
      </c>
      <c r="D840" t="s">
        <v>23</v>
      </c>
      <c r="E840" t="s">
        <v>10</v>
      </c>
      <c r="F840" t="s">
        <v>11</v>
      </c>
      <c r="G840" t="s">
        <v>35</v>
      </c>
      <c r="H840" t="s">
        <v>70</v>
      </c>
      <c r="I840" s="2">
        <v>4312.67</v>
      </c>
      <c r="J840" s="3">
        <v>8</v>
      </c>
      <c r="K840" s="2">
        <v>876.33</v>
      </c>
    </row>
    <row r="841" spans="1:11" x14ac:dyDescent="0.25">
      <c r="A841" s="4">
        <v>42137</v>
      </c>
      <c r="B841" s="3">
        <f>YEAR(SalesData[[#This Row],[Order Date]])</f>
        <v>2015</v>
      </c>
      <c r="C841" s="3">
        <f>MONTH(SalesData[[#This Row],[Order Date]])</f>
        <v>5</v>
      </c>
      <c r="D841" t="s">
        <v>18</v>
      </c>
      <c r="E841" t="s">
        <v>44</v>
      </c>
      <c r="F841" t="s">
        <v>15</v>
      </c>
      <c r="G841" t="s">
        <v>41</v>
      </c>
      <c r="H841" t="s">
        <v>42</v>
      </c>
      <c r="I841" s="2">
        <v>3237.98</v>
      </c>
      <c r="J841" s="3">
        <v>1</v>
      </c>
      <c r="K841" s="2">
        <v>732.06</v>
      </c>
    </row>
    <row r="842" spans="1:11" x14ac:dyDescent="0.25">
      <c r="A842" s="4">
        <v>42137</v>
      </c>
      <c r="B842" s="3">
        <f>YEAR(SalesData[[#This Row],[Order Date]])</f>
        <v>2015</v>
      </c>
      <c r="C842" s="3">
        <f>MONTH(SalesData[[#This Row],[Order Date]])</f>
        <v>5</v>
      </c>
      <c r="D842" t="s">
        <v>30</v>
      </c>
      <c r="E842" t="s">
        <v>52</v>
      </c>
      <c r="F842" t="s">
        <v>15</v>
      </c>
      <c r="G842" t="s">
        <v>45</v>
      </c>
      <c r="H842" t="s">
        <v>46</v>
      </c>
      <c r="I842" s="2">
        <v>436.83</v>
      </c>
      <c r="J842" s="3">
        <v>9</v>
      </c>
      <c r="K842" s="2">
        <v>9.33</v>
      </c>
    </row>
    <row r="843" spans="1:11" x14ac:dyDescent="0.25">
      <c r="A843" s="4">
        <v>42138</v>
      </c>
      <c r="B843" s="3">
        <f>YEAR(SalesData[[#This Row],[Order Date]])</f>
        <v>2015</v>
      </c>
      <c r="C843" s="3">
        <f>MONTH(SalesData[[#This Row],[Order Date]])</f>
        <v>5</v>
      </c>
      <c r="D843" t="s">
        <v>55</v>
      </c>
      <c r="E843" t="s">
        <v>40</v>
      </c>
      <c r="F843" t="s">
        <v>11</v>
      </c>
      <c r="G843" t="s">
        <v>24</v>
      </c>
      <c r="H843" t="s">
        <v>54</v>
      </c>
      <c r="I843" s="2">
        <v>4085.57</v>
      </c>
      <c r="J843" s="3">
        <v>4</v>
      </c>
      <c r="K843" s="2">
        <v>881.47</v>
      </c>
    </row>
    <row r="844" spans="1:11" x14ac:dyDescent="0.25">
      <c r="A844" s="4">
        <v>42139</v>
      </c>
      <c r="B844" s="3">
        <f>YEAR(SalesData[[#This Row],[Order Date]])</f>
        <v>2015</v>
      </c>
      <c r="C844" s="3">
        <f>MONTH(SalesData[[#This Row],[Order Date]])</f>
        <v>5</v>
      </c>
      <c r="D844" t="s">
        <v>20</v>
      </c>
      <c r="E844" t="s">
        <v>44</v>
      </c>
      <c r="F844" t="s">
        <v>15</v>
      </c>
      <c r="G844" t="s">
        <v>45</v>
      </c>
      <c r="H844" t="s">
        <v>59</v>
      </c>
      <c r="I844" s="2">
        <v>4736.84</v>
      </c>
      <c r="J844" s="3">
        <v>7</v>
      </c>
      <c r="K844" s="2">
        <v>373.62</v>
      </c>
    </row>
    <row r="845" spans="1:11" x14ac:dyDescent="0.25">
      <c r="A845" s="4">
        <v>42139</v>
      </c>
      <c r="B845" s="3">
        <f>YEAR(SalesData[[#This Row],[Order Date]])</f>
        <v>2015</v>
      </c>
      <c r="C845" s="3">
        <f>MONTH(SalesData[[#This Row],[Order Date]])</f>
        <v>5</v>
      </c>
      <c r="D845" t="s">
        <v>43</v>
      </c>
      <c r="E845" t="s">
        <v>34</v>
      </c>
      <c r="F845" t="s">
        <v>15</v>
      </c>
      <c r="G845" t="s">
        <v>41</v>
      </c>
      <c r="H845" t="s">
        <v>42</v>
      </c>
      <c r="I845" s="2">
        <v>4474.6000000000004</v>
      </c>
      <c r="J845" s="3">
        <v>2</v>
      </c>
      <c r="K845" s="2">
        <v>918.21</v>
      </c>
    </row>
    <row r="846" spans="1:11" x14ac:dyDescent="0.25">
      <c r="A846" s="4">
        <v>42140</v>
      </c>
      <c r="B846" s="3">
        <f>YEAR(SalesData[[#This Row],[Order Date]])</f>
        <v>2015</v>
      </c>
      <c r="C846" s="3">
        <f>MONTH(SalesData[[#This Row],[Order Date]])</f>
        <v>5</v>
      </c>
      <c r="D846" t="s">
        <v>9</v>
      </c>
      <c r="E846" t="s">
        <v>60</v>
      </c>
      <c r="F846" t="s">
        <v>11</v>
      </c>
      <c r="G846" t="s">
        <v>24</v>
      </c>
      <c r="H846" t="s">
        <v>25</v>
      </c>
      <c r="I846" s="2">
        <v>1088.51</v>
      </c>
      <c r="J846" s="3">
        <v>1</v>
      </c>
      <c r="K846" s="2">
        <v>157.38</v>
      </c>
    </row>
    <row r="847" spans="1:11" x14ac:dyDescent="0.25">
      <c r="A847" s="4">
        <v>42140</v>
      </c>
      <c r="B847" s="3">
        <f>YEAR(SalesData[[#This Row],[Order Date]])</f>
        <v>2015</v>
      </c>
      <c r="C847" s="3">
        <f>MONTH(SalesData[[#This Row],[Order Date]])</f>
        <v>5</v>
      </c>
      <c r="D847" t="s">
        <v>20</v>
      </c>
      <c r="E847" t="s">
        <v>31</v>
      </c>
      <c r="F847" t="s">
        <v>15</v>
      </c>
      <c r="G847" t="s">
        <v>16</v>
      </c>
      <c r="H847" t="s">
        <v>51</v>
      </c>
      <c r="I847" s="2">
        <v>2162.58</v>
      </c>
      <c r="J847" s="3">
        <v>1</v>
      </c>
      <c r="K847" s="2">
        <v>47.58</v>
      </c>
    </row>
    <row r="848" spans="1:11" x14ac:dyDescent="0.25">
      <c r="A848" s="4">
        <v>42141</v>
      </c>
      <c r="B848" s="3">
        <f>YEAR(SalesData[[#This Row],[Order Date]])</f>
        <v>2015</v>
      </c>
      <c r="C848" s="3">
        <f>MONTH(SalesData[[#This Row],[Order Date]])</f>
        <v>5</v>
      </c>
      <c r="D848" t="s">
        <v>20</v>
      </c>
      <c r="E848" t="s">
        <v>40</v>
      </c>
      <c r="F848" t="s">
        <v>27</v>
      </c>
      <c r="G848" t="s">
        <v>32</v>
      </c>
      <c r="H848" t="s">
        <v>33</v>
      </c>
      <c r="I848" s="2">
        <v>106.64</v>
      </c>
      <c r="J848" s="3">
        <v>2</v>
      </c>
      <c r="K848" s="2">
        <v>6.33</v>
      </c>
    </row>
    <row r="849" spans="1:11" x14ac:dyDescent="0.25">
      <c r="A849" s="4">
        <v>42142</v>
      </c>
      <c r="B849" s="3">
        <f>YEAR(SalesData[[#This Row],[Order Date]])</f>
        <v>2015</v>
      </c>
      <c r="C849" s="3">
        <f>MONTH(SalesData[[#This Row],[Order Date]])</f>
        <v>5</v>
      </c>
      <c r="D849" t="s">
        <v>47</v>
      </c>
      <c r="E849" t="s">
        <v>37</v>
      </c>
      <c r="F849" t="s">
        <v>15</v>
      </c>
      <c r="G849" t="s">
        <v>63</v>
      </c>
      <c r="H849" t="s">
        <v>66</v>
      </c>
      <c r="I849" s="2">
        <v>1125.17</v>
      </c>
      <c r="J849" s="3">
        <v>6</v>
      </c>
      <c r="K849" s="2">
        <v>243.66</v>
      </c>
    </row>
    <row r="850" spans="1:11" x14ac:dyDescent="0.25">
      <c r="A850" s="4">
        <v>42143</v>
      </c>
      <c r="B850" s="3">
        <f>YEAR(SalesData[[#This Row],[Order Date]])</f>
        <v>2015</v>
      </c>
      <c r="C850" s="3">
        <f>MONTH(SalesData[[#This Row],[Order Date]])</f>
        <v>5</v>
      </c>
      <c r="D850" t="s">
        <v>47</v>
      </c>
      <c r="E850" t="s">
        <v>31</v>
      </c>
      <c r="F850" t="s">
        <v>11</v>
      </c>
      <c r="G850" t="s">
        <v>21</v>
      </c>
      <c r="H850" t="s">
        <v>67</v>
      </c>
      <c r="I850" s="2">
        <v>1419.34</v>
      </c>
      <c r="J850" s="3">
        <v>3</v>
      </c>
      <c r="K850" s="2">
        <v>16.399999999999999</v>
      </c>
    </row>
    <row r="851" spans="1:11" x14ac:dyDescent="0.25">
      <c r="A851" s="4">
        <v>42144</v>
      </c>
      <c r="B851" s="3">
        <f>YEAR(SalesData[[#This Row],[Order Date]])</f>
        <v>2015</v>
      </c>
      <c r="C851" s="3">
        <f>MONTH(SalesData[[#This Row],[Order Date]])</f>
        <v>5</v>
      </c>
      <c r="D851" t="s">
        <v>9</v>
      </c>
      <c r="E851" t="s">
        <v>44</v>
      </c>
      <c r="F851" t="s">
        <v>11</v>
      </c>
      <c r="G851" t="s">
        <v>35</v>
      </c>
      <c r="H851" t="s">
        <v>36</v>
      </c>
      <c r="I851" s="2">
        <v>3960.68</v>
      </c>
      <c r="J851" s="3">
        <v>6</v>
      </c>
      <c r="K851" s="2">
        <v>992.54</v>
      </c>
    </row>
    <row r="852" spans="1:11" x14ac:dyDescent="0.25">
      <c r="A852" s="4">
        <v>42145</v>
      </c>
      <c r="B852" s="3">
        <f>YEAR(SalesData[[#This Row],[Order Date]])</f>
        <v>2015</v>
      </c>
      <c r="C852" s="3">
        <f>MONTH(SalesData[[#This Row],[Order Date]])</f>
        <v>5</v>
      </c>
      <c r="D852" t="s">
        <v>55</v>
      </c>
      <c r="E852" t="s">
        <v>44</v>
      </c>
      <c r="F852" t="s">
        <v>11</v>
      </c>
      <c r="G852" t="s">
        <v>12</v>
      </c>
      <c r="H852" t="s">
        <v>13</v>
      </c>
      <c r="I852" s="2">
        <v>682.6</v>
      </c>
      <c r="J852" s="3">
        <v>2</v>
      </c>
      <c r="K852" s="2">
        <v>147.91</v>
      </c>
    </row>
    <row r="853" spans="1:11" x14ac:dyDescent="0.25">
      <c r="A853" s="4">
        <v>42145</v>
      </c>
      <c r="B853" s="3">
        <f>YEAR(SalesData[[#This Row],[Order Date]])</f>
        <v>2015</v>
      </c>
      <c r="C853" s="3">
        <f>MONTH(SalesData[[#This Row],[Order Date]])</f>
        <v>5</v>
      </c>
      <c r="D853" t="s">
        <v>18</v>
      </c>
      <c r="E853" t="s">
        <v>10</v>
      </c>
      <c r="F853" t="s">
        <v>15</v>
      </c>
      <c r="G853" t="s">
        <v>38</v>
      </c>
      <c r="H853" t="s">
        <v>39</v>
      </c>
      <c r="I853" s="2">
        <v>1789.97</v>
      </c>
      <c r="J853" s="3">
        <v>8</v>
      </c>
      <c r="K853" s="2">
        <v>421.76</v>
      </c>
    </row>
    <row r="854" spans="1:11" x14ac:dyDescent="0.25">
      <c r="A854" s="4">
        <v>42145</v>
      </c>
      <c r="B854" s="3">
        <f>YEAR(SalesData[[#This Row],[Order Date]])</f>
        <v>2015</v>
      </c>
      <c r="C854" s="3">
        <f>MONTH(SalesData[[#This Row],[Order Date]])</f>
        <v>5</v>
      </c>
      <c r="D854" t="s">
        <v>62</v>
      </c>
      <c r="E854" t="s">
        <v>19</v>
      </c>
      <c r="F854" t="s">
        <v>15</v>
      </c>
      <c r="G854" t="s">
        <v>45</v>
      </c>
      <c r="H854" t="s">
        <v>46</v>
      </c>
      <c r="I854" s="2">
        <v>2477.6</v>
      </c>
      <c r="J854" s="3">
        <v>6</v>
      </c>
      <c r="K854" s="2">
        <v>194.35</v>
      </c>
    </row>
    <row r="855" spans="1:11" x14ac:dyDescent="0.25">
      <c r="A855" s="4">
        <v>42147</v>
      </c>
      <c r="B855" s="3">
        <f>YEAR(SalesData[[#This Row],[Order Date]])</f>
        <v>2015</v>
      </c>
      <c r="C855" s="3">
        <f>MONTH(SalesData[[#This Row],[Order Date]])</f>
        <v>5</v>
      </c>
      <c r="D855" t="s">
        <v>9</v>
      </c>
      <c r="E855" t="s">
        <v>60</v>
      </c>
      <c r="F855" t="s">
        <v>27</v>
      </c>
      <c r="G855" t="s">
        <v>28</v>
      </c>
      <c r="H855" t="s">
        <v>69</v>
      </c>
      <c r="I855" s="2">
        <v>224.36</v>
      </c>
      <c r="J855" s="3">
        <v>4</v>
      </c>
      <c r="K855" s="2">
        <v>6.85</v>
      </c>
    </row>
    <row r="856" spans="1:11" x14ac:dyDescent="0.25">
      <c r="A856" s="4">
        <v>42148</v>
      </c>
      <c r="B856" s="3">
        <f>YEAR(SalesData[[#This Row],[Order Date]])</f>
        <v>2015</v>
      </c>
      <c r="C856" s="3">
        <f>MONTH(SalesData[[#This Row],[Order Date]])</f>
        <v>5</v>
      </c>
      <c r="D856" t="s">
        <v>9</v>
      </c>
      <c r="E856" t="s">
        <v>10</v>
      </c>
      <c r="F856" t="s">
        <v>27</v>
      </c>
      <c r="G856" t="s">
        <v>48</v>
      </c>
      <c r="H856" t="s">
        <v>49</v>
      </c>
      <c r="I856" s="2">
        <v>788.24</v>
      </c>
      <c r="J856" s="3">
        <v>1</v>
      </c>
      <c r="K856" s="2">
        <v>69.17</v>
      </c>
    </row>
    <row r="857" spans="1:11" x14ac:dyDescent="0.25">
      <c r="A857" s="4">
        <v>42148</v>
      </c>
      <c r="B857" s="3">
        <f>YEAR(SalesData[[#This Row],[Order Date]])</f>
        <v>2015</v>
      </c>
      <c r="C857" s="3">
        <f>MONTH(SalesData[[#This Row],[Order Date]])</f>
        <v>5</v>
      </c>
      <c r="D857" t="s">
        <v>43</v>
      </c>
      <c r="E857" t="s">
        <v>40</v>
      </c>
      <c r="F857" t="s">
        <v>11</v>
      </c>
      <c r="G857" t="s">
        <v>24</v>
      </c>
      <c r="H857" t="s">
        <v>54</v>
      </c>
      <c r="I857" s="2">
        <v>2367.48</v>
      </c>
      <c r="J857" s="3">
        <v>5</v>
      </c>
      <c r="K857" s="2">
        <v>242.47</v>
      </c>
    </row>
    <row r="858" spans="1:11" x14ac:dyDescent="0.25">
      <c r="A858" s="4">
        <v>42149</v>
      </c>
      <c r="B858" s="3">
        <f>YEAR(SalesData[[#This Row],[Order Date]])</f>
        <v>2015</v>
      </c>
      <c r="C858" s="3">
        <f>MONTH(SalesData[[#This Row],[Order Date]])</f>
        <v>5</v>
      </c>
      <c r="D858" t="s">
        <v>62</v>
      </c>
      <c r="E858" t="s">
        <v>40</v>
      </c>
      <c r="F858" t="s">
        <v>27</v>
      </c>
      <c r="G858" t="s">
        <v>32</v>
      </c>
      <c r="H858" t="s">
        <v>33</v>
      </c>
      <c r="I858" s="2">
        <v>2792.5</v>
      </c>
      <c r="J858" s="3">
        <v>3</v>
      </c>
      <c r="K858" s="2">
        <v>651.20000000000005</v>
      </c>
    </row>
    <row r="859" spans="1:11" x14ac:dyDescent="0.25">
      <c r="A859" s="4">
        <v>42149</v>
      </c>
      <c r="B859" s="3">
        <f>YEAR(SalesData[[#This Row],[Order Date]])</f>
        <v>2015</v>
      </c>
      <c r="C859" s="3">
        <f>MONTH(SalesData[[#This Row],[Order Date]])</f>
        <v>5</v>
      </c>
      <c r="D859" t="s">
        <v>23</v>
      </c>
      <c r="E859" t="s">
        <v>19</v>
      </c>
      <c r="F859" t="s">
        <v>27</v>
      </c>
      <c r="G859" t="s">
        <v>32</v>
      </c>
      <c r="H859" t="s">
        <v>53</v>
      </c>
      <c r="I859" s="2">
        <v>3284.45</v>
      </c>
      <c r="J859" s="3">
        <v>5</v>
      </c>
      <c r="K859" s="2">
        <v>321.36</v>
      </c>
    </row>
    <row r="860" spans="1:11" x14ac:dyDescent="0.25">
      <c r="A860" s="4">
        <v>42150</v>
      </c>
      <c r="B860" s="3">
        <f>YEAR(SalesData[[#This Row],[Order Date]])</f>
        <v>2015</v>
      </c>
      <c r="C860" s="3">
        <f>MONTH(SalesData[[#This Row],[Order Date]])</f>
        <v>5</v>
      </c>
      <c r="D860" t="s">
        <v>62</v>
      </c>
      <c r="E860" t="s">
        <v>26</v>
      </c>
      <c r="F860" t="s">
        <v>15</v>
      </c>
      <c r="G860" t="s">
        <v>38</v>
      </c>
      <c r="H860" t="s">
        <v>39</v>
      </c>
      <c r="I860" s="2">
        <v>1042.76</v>
      </c>
      <c r="J860" s="3">
        <v>1</v>
      </c>
      <c r="K860" s="2">
        <v>174.37</v>
      </c>
    </row>
    <row r="861" spans="1:11" x14ac:dyDescent="0.25">
      <c r="A861" s="4">
        <v>42150</v>
      </c>
      <c r="B861" s="3">
        <f>YEAR(SalesData[[#This Row],[Order Date]])</f>
        <v>2015</v>
      </c>
      <c r="C861" s="3">
        <f>MONTH(SalesData[[#This Row],[Order Date]])</f>
        <v>5</v>
      </c>
      <c r="D861" t="s">
        <v>14</v>
      </c>
      <c r="E861" t="s">
        <v>19</v>
      </c>
      <c r="F861" t="s">
        <v>15</v>
      </c>
      <c r="G861" t="s">
        <v>16</v>
      </c>
      <c r="H861" t="s">
        <v>51</v>
      </c>
      <c r="I861" s="2">
        <v>2439.12</v>
      </c>
      <c r="J861" s="3">
        <v>7</v>
      </c>
      <c r="K861" s="2">
        <v>140.27000000000001</v>
      </c>
    </row>
    <row r="862" spans="1:11" x14ac:dyDescent="0.25">
      <c r="A862" s="4">
        <v>42151</v>
      </c>
      <c r="B862" s="3">
        <f>YEAR(SalesData[[#This Row],[Order Date]])</f>
        <v>2015</v>
      </c>
      <c r="C862" s="3">
        <f>MONTH(SalesData[[#This Row],[Order Date]])</f>
        <v>5</v>
      </c>
      <c r="D862" t="s">
        <v>47</v>
      </c>
      <c r="E862" t="s">
        <v>10</v>
      </c>
      <c r="F862" t="s">
        <v>11</v>
      </c>
      <c r="G862" t="s">
        <v>12</v>
      </c>
      <c r="H862" t="s">
        <v>65</v>
      </c>
      <c r="I862" s="2">
        <v>439.68</v>
      </c>
      <c r="J862" s="3">
        <v>1</v>
      </c>
      <c r="K862" s="2">
        <v>23.32</v>
      </c>
    </row>
    <row r="863" spans="1:11" x14ac:dyDescent="0.25">
      <c r="A863" s="4">
        <v>42152</v>
      </c>
      <c r="B863" s="3">
        <f>YEAR(SalesData[[#This Row],[Order Date]])</f>
        <v>2015</v>
      </c>
      <c r="C863" s="3">
        <f>MONTH(SalesData[[#This Row],[Order Date]])</f>
        <v>5</v>
      </c>
      <c r="D863" t="s">
        <v>43</v>
      </c>
      <c r="E863" t="s">
        <v>40</v>
      </c>
      <c r="F863" t="s">
        <v>11</v>
      </c>
      <c r="G863" t="s">
        <v>35</v>
      </c>
      <c r="H863" t="s">
        <v>70</v>
      </c>
      <c r="I863" s="2">
        <v>3464.17</v>
      </c>
      <c r="J863" s="3">
        <v>2</v>
      </c>
      <c r="K863" s="2">
        <v>791.92</v>
      </c>
    </row>
    <row r="864" spans="1:11" x14ac:dyDescent="0.25">
      <c r="A864" s="4">
        <v>42153</v>
      </c>
      <c r="B864" s="3">
        <f>YEAR(SalesData[[#This Row],[Order Date]])</f>
        <v>2015</v>
      </c>
      <c r="C864" s="3">
        <f>MONTH(SalesData[[#This Row],[Order Date]])</f>
        <v>5</v>
      </c>
      <c r="D864" t="s">
        <v>30</v>
      </c>
      <c r="E864" t="s">
        <v>31</v>
      </c>
      <c r="F864" t="s">
        <v>15</v>
      </c>
      <c r="G864" t="s">
        <v>16</v>
      </c>
      <c r="H864" t="s">
        <v>17</v>
      </c>
      <c r="I864" s="2">
        <v>2795.18</v>
      </c>
      <c r="J864" s="3">
        <v>4</v>
      </c>
      <c r="K864" s="2">
        <v>580.02</v>
      </c>
    </row>
    <row r="865" spans="1:11" x14ac:dyDescent="0.25">
      <c r="A865" s="4">
        <v>42153</v>
      </c>
      <c r="B865" s="3">
        <f>YEAR(SalesData[[#This Row],[Order Date]])</f>
        <v>2015</v>
      </c>
      <c r="C865" s="3">
        <f>MONTH(SalesData[[#This Row],[Order Date]])</f>
        <v>5</v>
      </c>
      <c r="D865" t="s">
        <v>43</v>
      </c>
      <c r="E865" t="s">
        <v>34</v>
      </c>
      <c r="F865" t="s">
        <v>15</v>
      </c>
      <c r="G865" t="s">
        <v>16</v>
      </c>
      <c r="H865" t="s">
        <v>51</v>
      </c>
      <c r="I865" s="2">
        <v>3670.77</v>
      </c>
      <c r="J865" s="3">
        <v>2</v>
      </c>
      <c r="K865" s="2">
        <v>575.86</v>
      </c>
    </row>
    <row r="866" spans="1:11" x14ac:dyDescent="0.25">
      <c r="A866" s="4">
        <v>42154</v>
      </c>
      <c r="B866" s="3">
        <f>YEAR(SalesData[[#This Row],[Order Date]])</f>
        <v>2015</v>
      </c>
      <c r="C866" s="3">
        <f>MONTH(SalesData[[#This Row],[Order Date]])</f>
        <v>5</v>
      </c>
      <c r="D866" t="s">
        <v>68</v>
      </c>
      <c r="E866" t="s">
        <v>60</v>
      </c>
      <c r="F866" t="s">
        <v>15</v>
      </c>
      <c r="G866" t="s">
        <v>63</v>
      </c>
      <c r="H866" t="s">
        <v>66</v>
      </c>
      <c r="I866" s="2">
        <v>613.75</v>
      </c>
      <c r="J866" s="3">
        <v>6</v>
      </c>
      <c r="K866" s="2">
        <v>156.43</v>
      </c>
    </row>
    <row r="867" spans="1:11" x14ac:dyDescent="0.25">
      <c r="A867" s="4">
        <v>42154</v>
      </c>
      <c r="B867" s="3">
        <f>YEAR(SalesData[[#This Row],[Order Date]])</f>
        <v>2015</v>
      </c>
      <c r="C867" s="3">
        <f>MONTH(SalesData[[#This Row],[Order Date]])</f>
        <v>5</v>
      </c>
      <c r="D867" t="s">
        <v>47</v>
      </c>
      <c r="E867" t="s">
        <v>34</v>
      </c>
      <c r="F867" t="s">
        <v>15</v>
      </c>
      <c r="G867" t="s">
        <v>41</v>
      </c>
      <c r="H867" t="s">
        <v>42</v>
      </c>
      <c r="I867" s="2">
        <v>3545.14</v>
      </c>
      <c r="J867" s="3">
        <v>7</v>
      </c>
      <c r="K867" s="2">
        <v>886.72</v>
      </c>
    </row>
    <row r="868" spans="1:11" x14ac:dyDescent="0.25">
      <c r="A868" s="4">
        <v>42155</v>
      </c>
      <c r="B868" s="3">
        <f>YEAR(SalesData[[#This Row],[Order Date]])</f>
        <v>2015</v>
      </c>
      <c r="C868" s="3">
        <f>MONTH(SalesData[[#This Row],[Order Date]])</f>
        <v>5</v>
      </c>
      <c r="D868" t="s">
        <v>18</v>
      </c>
      <c r="E868" t="s">
        <v>52</v>
      </c>
      <c r="F868" t="s">
        <v>27</v>
      </c>
      <c r="G868" t="s">
        <v>28</v>
      </c>
      <c r="H868" t="s">
        <v>29</v>
      </c>
      <c r="I868" s="2">
        <v>862.56</v>
      </c>
      <c r="J868" s="3">
        <v>7</v>
      </c>
      <c r="K868" s="2">
        <v>14.45</v>
      </c>
    </row>
    <row r="869" spans="1:11" x14ac:dyDescent="0.25">
      <c r="A869" s="4">
        <v>42155</v>
      </c>
      <c r="B869" s="3">
        <f>YEAR(SalesData[[#This Row],[Order Date]])</f>
        <v>2015</v>
      </c>
      <c r="C869" s="3">
        <f>MONTH(SalesData[[#This Row],[Order Date]])</f>
        <v>5</v>
      </c>
      <c r="D869" t="s">
        <v>18</v>
      </c>
      <c r="E869" t="s">
        <v>31</v>
      </c>
      <c r="F869" t="s">
        <v>11</v>
      </c>
      <c r="G869" t="s">
        <v>24</v>
      </c>
      <c r="H869" t="s">
        <v>25</v>
      </c>
      <c r="I869" s="2">
        <v>27.27</v>
      </c>
      <c r="J869" s="3">
        <v>9</v>
      </c>
      <c r="K869" s="2">
        <v>0.65</v>
      </c>
    </row>
    <row r="870" spans="1:11" x14ac:dyDescent="0.25">
      <c r="A870" s="4">
        <v>42156</v>
      </c>
      <c r="B870" s="3">
        <f>YEAR(SalesData[[#This Row],[Order Date]])</f>
        <v>2015</v>
      </c>
      <c r="C870" s="3">
        <f>MONTH(SalesData[[#This Row],[Order Date]])</f>
        <v>6</v>
      </c>
      <c r="D870" t="s">
        <v>14</v>
      </c>
      <c r="E870" t="s">
        <v>37</v>
      </c>
      <c r="F870" t="s">
        <v>11</v>
      </c>
      <c r="G870" t="s">
        <v>12</v>
      </c>
      <c r="H870" t="s">
        <v>65</v>
      </c>
      <c r="I870" s="2">
        <v>1693.13</v>
      </c>
      <c r="J870" s="3">
        <v>4</v>
      </c>
      <c r="K870" s="2">
        <v>386.19</v>
      </c>
    </row>
    <row r="871" spans="1:11" x14ac:dyDescent="0.25">
      <c r="A871" s="4">
        <v>42158</v>
      </c>
      <c r="B871" s="3">
        <f>YEAR(SalesData[[#This Row],[Order Date]])</f>
        <v>2015</v>
      </c>
      <c r="C871" s="3">
        <f>MONTH(SalesData[[#This Row],[Order Date]])</f>
        <v>6</v>
      </c>
      <c r="D871" t="s">
        <v>43</v>
      </c>
      <c r="E871" t="s">
        <v>60</v>
      </c>
      <c r="F871" t="s">
        <v>15</v>
      </c>
      <c r="G871" t="s">
        <v>45</v>
      </c>
      <c r="H871" t="s">
        <v>59</v>
      </c>
      <c r="I871" s="2">
        <v>3332.18</v>
      </c>
      <c r="J871" s="3">
        <v>5</v>
      </c>
      <c r="K871" s="2">
        <v>485.88</v>
      </c>
    </row>
    <row r="872" spans="1:11" x14ac:dyDescent="0.25">
      <c r="A872" s="4">
        <v>42158</v>
      </c>
      <c r="B872" s="3">
        <f>YEAR(SalesData[[#This Row],[Order Date]])</f>
        <v>2015</v>
      </c>
      <c r="C872" s="3">
        <f>MONTH(SalesData[[#This Row],[Order Date]])</f>
        <v>6</v>
      </c>
      <c r="D872" t="s">
        <v>47</v>
      </c>
      <c r="E872" t="s">
        <v>60</v>
      </c>
      <c r="F872" t="s">
        <v>15</v>
      </c>
      <c r="G872" t="s">
        <v>41</v>
      </c>
      <c r="H872" t="s">
        <v>42</v>
      </c>
      <c r="I872" s="2">
        <v>704.01</v>
      </c>
      <c r="J872" s="3">
        <v>8</v>
      </c>
      <c r="K872" s="2">
        <v>94.71</v>
      </c>
    </row>
    <row r="873" spans="1:11" x14ac:dyDescent="0.25">
      <c r="A873" s="4">
        <v>42159</v>
      </c>
      <c r="B873" s="3">
        <f>YEAR(SalesData[[#This Row],[Order Date]])</f>
        <v>2015</v>
      </c>
      <c r="C873" s="3">
        <f>MONTH(SalesData[[#This Row],[Order Date]])</f>
        <v>6</v>
      </c>
      <c r="D873" t="s">
        <v>47</v>
      </c>
      <c r="E873" t="s">
        <v>31</v>
      </c>
      <c r="F873" t="s">
        <v>11</v>
      </c>
      <c r="G873" t="s">
        <v>35</v>
      </c>
      <c r="H873" t="s">
        <v>36</v>
      </c>
      <c r="I873" s="2">
        <v>2327.69</v>
      </c>
      <c r="J873" s="3">
        <v>7</v>
      </c>
      <c r="K873" s="2">
        <v>293.29000000000002</v>
      </c>
    </row>
    <row r="874" spans="1:11" x14ac:dyDescent="0.25">
      <c r="A874" s="4">
        <v>42159</v>
      </c>
      <c r="B874" s="3">
        <f>YEAR(SalesData[[#This Row],[Order Date]])</f>
        <v>2015</v>
      </c>
      <c r="C874" s="3">
        <f>MONTH(SalesData[[#This Row],[Order Date]])</f>
        <v>6</v>
      </c>
      <c r="D874" t="s">
        <v>43</v>
      </c>
      <c r="E874" t="s">
        <v>26</v>
      </c>
      <c r="F874" t="s">
        <v>15</v>
      </c>
      <c r="G874" t="s">
        <v>63</v>
      </c>
      <c r="H874" t="s">
        <v>64</v>
      </c>
      <c r="I874" s="2">
        <v>4379.9799999999996</v>
      </c>
      <c r="J874" s="3">
        <v>8</v>
      </c>
      <c r="K874" s="2">
        <v>774.49</v>
      </c>
    </row>
    <row r="875" spans="1:11" x14ac:dyDescent="0.25">
      <c r="A875" s="4">
        <v>42161</v>
      </c>
      <c r="B875" s="3">
        <f>YEAR(SalesData[[#This Row],[Order Date]])</f>
        <v>2015</v>
      </c>
      <c r="C875" s="3">
        <f>MONTH(SalesData[[#This Row],[Order Date]])</f>
        <v>6</v>
      </c>
      <c r="D875" t="s">
        <v>68</v>
      </c>
      <c r="E875" t="s">
        <v>10</v>
      </c>
      <c r="F875" t="s">
        <v>15</v>
      </c>
      <c r="G875" t="s">
        <v>63</v>
      </c>
      <c r="H875" t="s">
        <v>64</v>
      </c>
      <c r="I875" s="2">
        <v>3674.77</v>
      </c>
      <c r="J875" s="3">
        <v>4</v>
      </c>
      <c r="K875" s="2">
        <v>635.70000000000005</v>
      </c>
    </row>
    <row r="876" spans="1:11" x14ac:dyDescent="0.25">
      <c r="A876" s="4">
        <v>42161</v>
      </c>
      <c r="B876" s="3">
        <f>YEAR(SalesData[[#This Row],[Order Date]])</f>
        <v>2015</v>
      </c>
      <c r="C876" s="3">
        <f>MONTH(SalesData[[#This Row],[Order Date]])</f>
        <v>6</v>
      </c>
      <c r="D876" t="s">
        <v>50</v>
      </c>
      <c r="E876" t="s">
        <v>44</v>
      </c>
      <c r="F876" t="s">
        <v>15</v>
      </c>
      <c r="G876" t="s">
        <v>63</v>
      </c>
      <c r="H876" t="s">
        <v>66</v>
      </c>
      <c r="I876" s="2">
        <v>982.37</v>
      </c>
      <c r="J876" s="3">
        <v>5</v>
      </c>
      <c r="K876" s="2">
        <v>31.92</v>
      </c>
    </row>
    <row r="877" spans="1:11" x14ac:dyDescent="0.25">
      <c r="A877" s="4">
        <v>42162</v>
      </c>
      <c r="B877" s="3">
        <f>YEAR(SalesData[[#This Row],[Order Date]])</f>
        <v>2015</v>
      </c>
      <c r="C877" s="3">
        <f>MONTH(SalesData[[#This Row],[Order Date]])</f>
        <v>6</v>
      </c>
      <c r="D877" t="s">
        <v>18</v>
      </c>
      <c r="E877" t="s">
        <v>26</v>
      </c>
      <c r="F877" t="s">
        <v>15</v>
      </c>
      <c r="G877" t="s">
        <v>41</v>
      </c>
      <c r="H877" t="s">
        <v>61</v>
      </c>
      <c r="I877" s="2">
        <v>426.32</v>
      </c>
      <c r="J877" s="3">
        <v>4</v>
      </c>
      <c r="K877" s="2">
        <v>33.74</v>
      </c>
    </row>
    <row r="878" spans="1:11" x14ac:dyDescent="0.25">
      <c r="A878" s="4">
        <v>42162</v>
      </c>
      <c r="B878" s="3">
        <f>YEAR(SalesData[[#This Row],[Order Date]])</f>
        <v>2015</v>
      </c>
      <c r="C878" s="3">
        <f>MONTH(SalesData[[#This Row],[Order Date]])</f>
        <v>6</v>
      </c>
      <c r="D878" t="s">
        <v>23</v>
      </c>
      <c r="E878" t="s">
        <v>10</v>
      </c>
      <c r="F878" t="s">
        <v>27</v>
      </c>
      <c r="G878" t="s">
        <v>28</v>
      </c>
      <c r="H878" t="s">
        <v>29</v>
      </c>
      <c r="I878" s="2">
        <v>3106.65</v>
      </c>
      <c r="J878" s="3">
        <v>6</v>
      </c>
      <c r="K878" s="2">
        <v>427</v>
      </c>
    </row>
    <row r="879" spans="1:11" x14ac:dyDescent="0.25">
      <c r="A879" s="4">
        <v>42162</v>
      </c>
      <c r="B879" s="3">
        <f>YEAR(SalesData[[#This Row],[Order Date]])</f>
        <v>2015</v>
      </c>
      <c r="C879" s="3">
        <f>MONTH(SalesData[[#This Row],[Order Date]])</f>
        <v>6</v>
      </c>
      <c r="D879" t="s">
        <v>68</v>
      </c>
      <c r="E879" t="s">
        <v>52</v>
      </c>
      <c r="F879" t="s">
        <v>27</v>
      </c>
      <c r="G879" t="s">
        <v>28</v>
      </c>
      <c r="H879" t="s">
        <v>58</v>
      </c>
      <c r="I879" s="2">
        <v>2875.9</v>
      </c>
      <c r="J879" s="3">
        <v>3</v>
      </c>
      <c r="K879" s="2">
        <v>151.30000000000001</v>
      </c>
    </row>
    <row r="880" spans="1:11" x14ac:dyDescent="0.25">
      <c r="A880" s="4">
        <v>42162</v>
      </c>
      <c r="B880" s="3">
        <f>YEAR(SalesData[[#This Row],[Order Date]])</f>
        <v>2015</v>
      </c>
      <c r="C880" s="3">
        <f>MONTH(SalesData[[#This Row],[Order Date]])</f>
        <v>6</v>
      </c>
      <c r="D880" t="s">
        <v>18</v>
      </c>
      <c r="E880" t="s">
        <v>37</v>
      </c>
      <c r="F880" t="s">
        <v>11</v>
      </c>
      <c r="G880" t="s">
        <v>12</v>
      </c>
      <c r="H880" t="s">
        <v>65</v>
      </c>
      <c r="I880" s="2">
        <v>842.35</v>
      </c>
      <c r="J880" s="3">
        <v>4</v>
      </c>
      <c r="K880" s="2">
        <v>68.430000000000007</v>
      </c>
    </row>
    <row r="881" spans="1:11" x14ac:dyDescent="0.25">
      <c r="A881" s="4">
        <v>42163</v>
      </c>
      <c r="B881" s="3">
        <f>YEAR(SalesData[[#This Row],[Order Date]])</f>
        <v>2015</v>
      </c>
      <c r="C881" s="3">
        <f>MONTH(SalesData[[#This Row],[Order Date]])</f>
        <v>6</v>
      </c>
      <c r="D881" t="s">
        <v>47</v>
      </c>
      <c r="E881" t="s">
        <v>37</v>
      </c>
      <c r="F881" t="s">
        <v>27</v>
      </c>
      <c r="G881" t="s">
        <v>48</v>
      </c>
      <c r="H881" t="s">
        <v>57</v>
      </c>
      <c r="I881" s="2">
        <v>4558.62</v>
      </c>
      <c r="J881" s="3">
        <v>1</v>
      </c>
      <c r="K881" s="2">
        <v>1110.7</v>
      </c>
    </row>
    <row r="882" spans="1:11" x14ac:dyDescent="0.25">
      <c r="A882" s="4">
        <v>42164</v>
      </c>
      <c r="B882" s="3">
        <f>YEAR(SalesData[[#This Row],[Order Date]])</f>
        <v>2015</v>
      </c>
      <c r="C882" s="3">
        <f>MONTH(SalesData[[#This Row],[Order Date]])</f>
        <v>6</v>
      </c>
      <c r="D882" t="s">
        <v>14</v>
      </c>
      <c r="E882" t="s">
        <v>52</v>
      </c>
      <c r="F882" t="s">
        <v>15</v>
      </c>
      <c r="G882" t="s">
        <v>38</v>
      </c>
      <c r="H882" t="s">
        <v>39</v>
      </c>
      <c r="I882" s="2">
        <v>823.51</v>
      </c>
      <c r="J882" s="3">
        <v>1</v>
      </c>
      <c r="K882" s="2">
        <v>42.81</v>
      </c>
    </row>
    <row r="883" spans="1:11" x14ac:dyDescent="0.25">
      <c r="A883" s="4">
        <v>42164</v>
      </c>
      <c r="B883" s="3">
        <f>YEAR(SalesData[[#This Row],[Order Date]])</f>
        <v>2015</v>
      </c>
      <c r="C883" s="3">
        <f>MONTH(SalesData[[#This Row],[Order Date]])</f>
        <v>6</v>
      </c>
      <c r="D883" t="s">
        <v>9</v>
      </c>
      <c r="E883" t="s">
        <v>19</v>
      </c>
      <c r="F883" t="s">
        <v>11</v>
      </c>
      <c r="G883" t="s">
        <v>12</v>
      </c>
      <c r="H883" t="s">
        <v>13</v>
      </c>
      <c r="I883" s="2">
        <v>2241</v>
      </c>
      <c r="J883" s="3">
        <v>8</v>
      </c>
      <c r="K883" s="2">
        <v>483.85</v>
      </c>
    </row>
    <row r="884" spans="1:11" x14ac:dyDescent="0.25">
      <c r="A884" s="4">
        <v>42164</v>
      </c>
      <c r="B884" s="3">
        <f>YEAR(SalesData[[#This Row],[Order Date]])</f>
        <v>2015</v>
      </c>
      <c r="C884" s="3">
        <f>MONTH(SalesData[[#This Row],[Order Date]])</f>
        <v>6</v>
      </c>
      <c r="D884" t="s">
        <v>68</v>
      </c>
      <c r="E884" t="s">
        <v>52</v>
      </c>
      <c r="F884" t="s">
        <v>27</v>
      </c>
      <c r="G884" t="s">
        <v>32</v>
      </c>
      <c r="H884" t="s">
        <v>33</v>
      </c>
      <c r="I884" s="2">
        <v>4011.08</v>
      </c>
      <c r="J884" s="3">
        <v>2</v>
      </c>
      <c r="K884" s="2">
        <v>700.9</v>
      </c>
    </row>
    <row r="885" spans="1:11" x14ac:dyDescent="0.25">
      <c r="A885" s="4">
        <v>42164</v>
      </c>
      <c r="B885" s="3">
        <f>YEAR(SalesData[[#This Row],[Order Date]])</f>
        <v>2015</v>
      </c>
      <c r="C885" s="3">
        <f>MONTH(SalesData[[#This Row],[Order Date]])</f>
        <v>6</v>
      </c>
      <c r="D885" t="s">
        <v>14</v>
      </c>
      <c r="E885" t="s">
        <v>31</v>
      </c>
      <c r="F885" t="s">
        <v>27</v>
      </c>
      <c r="G885" t="s">
        <v>32</v>
      </c>
      <c r="H885" t="s">
        <v>33</v>
      </c>
      <c r="I885" s="2">
        <v>4949.59</v>
      </c>
      <c r="J885" s="3">
        <v>9</v>
      </c>
      <c r="K885" s="2">
        <v>766.8</v>
      </c>
    </row>
    <row r="886" spans="1:11" x14ac:dyDescent="0.25">
      <c r="A886" s="4">
        <v>42165</v>
      </c>
      <c r="B886" s="3">
        <f>YEAR(SalesData[[#This Row],[Order Date]])</f>
        <v>2015</v>
      </c>
      <c r="C886" s="3">
        <f>MONTH(SalesData[[#This Row],[Order Date]])</f>
        <v>6</v>
      </c>
      <c r="D886" t="s">
        <v>43</v>
      </c>
      <c r="E886" t="s">
        <v>19</v>
      </c>
      <c r="F886" t="s">
        <v>11</v>
      </c>
      <c r="G886" t="s">
        <v>24</v>
      </c>
      <c r="H886" t="s">
        <v>25</v>
      </c>
      <c r="I886" s="2">
        <v>1458.78</v>
      </c>
      <c r="J886" s="3">
        <v>4</v>
      </c>
      <c r="K886" s="2">
        <v>411.67</v>
      </c>
    </row>
    <row r="887" spans="1:11" x14ac:dyDescent="0.25">
      <c r="A887" s="4">
        <v>42166</v>
      </c>
      <c r="B887" s="3">
        <f>YEAR(SalesData[[#This Row],[Order Date]])</f>
        <v>2015</v>
      </c>
      <c r="C887" s="3">
        <f>MONTH(SalesData[[#This Row],[Order Date]])</f>
        <v>6</v>
      </c>
      <c r="D887" t="s">
        <v>30</v>
      </c>
      <c r="E887" t="s">
        <v>10</v>
      </c>
      <c r="F887" t="s">
        <v>27</v>
      </c>
      <c r="G887" t="s">
        <v>32</v>
      </c>
      <c r="H887" t="s">
        <v>53</v>
      </c>
      <c r="I887" s="2">
        <v>188.09</v>
      </c>
      <c r="J887" s="3">
        <v>8</v>
      </c>
      <c r="K887" s="2">
        <v>16.989999999999998</v>
      </c>
    </row>
    <row r="888" spans="1:11" x14ac:dyDescent="0.25">
      <c r="A888" s="4">
        <v>42168</v>
      </c>
      <c r="B888" s="3">
        <f>YEAR(SalesData[[#This Row],[Order Date]])</f>
        <v>2015</v>
      </c>
      <c r="C888" s="3">
        <f>MONTH(SalesData[[#This Row],[Order Date]])</f>
        <v>6</v>
      </c>
      <c r="D888" t="s">
        <v>68</v>
      </c>
      <c r="E888" t="s">
        <v>37</v>
      </c>
      <c r="F888" t="s">
        <v>27</v>
      </c>
      <c r="G888" t="s">
        <v>28</v>
      </c>
      <c r="H888" t="s">
        <v>29</v>
      </c>
      <c r="I888" s="2">
        <v>3392.64</v>
      </c>
      <c r="J888" s="3">
        <v>8</v>
      </c>
      <c r="K888" s="2">
        <v>662.44</v>
      </c>
    </row>
    <row r="889" spans="1:11" x14ac:dyDescent="0.25">
      <c r="A889" s="4">
        <v>42168</v>
      </c>
      <c r="B889" s="3">
        <f>YEAR(SalesData[[#This Row],[Order Date]])</f>
        <v>2015</v>
      </c>
      <c r="C889" s="3">
        <f>MONTH(SalesData[[#This Row],[Order Date]])</f>
        <v>6</v>
      </c>
      <c r="D889" t="s">
        <v>50</v>
      </c>
      <c r="E889" t="s">
        <v>26</v>
      </c>
      <c r="F889" t="s">
        <v>27</v>
      </c>
      <c r="G889" t="s">
        <v>48</v>
      </c>
      <c r="H889" t="s">
        <v>57</v>
      </c>
      <c r="I889" s="2">
        <v>430.44</v>
      </c>
      <c r="J889" s="3">
        <v>5</v>
      </c>
      <c r="K889" s="2">
        <v>39.99</v>
      </c>
    </row>
    <row r="890" spans="1:11" x14ac:dyDescent="0.25">
      <c r="A890" s="4">
        <v>42169</v>
      </c>
      <c r="B890" s="3">
        <f>YEAR(SalesData[[#This Row],[Order Date]])</f>
        <v>2015</v>
      </c>
      <c r="C890" s="3">
        <f>MONTH(SalesData[[#This Row],[Order Date]])</f>
        <v>6</v>
      </c>
      <c r="D890" t="s">
        <v>62</v>
      </c>
      <c r="E890" t="s">
        <v>60</v>
      </c>
      <c r="F890" t="s">
        <v>11</v>
      </c>
      <c r="G890" t="s">
        <v>12</v>
      </c>
      <c r="H890" t="s">
        <v>65</v>
      </c>
      <c r="I890" s="2">
        <v>3979.64</v>
      </c>
      <c r="J890" s="3">
        <v>8</v>
      </c>
      <c r="K890" s="2">
        <v>86.53</v>
      </c>
    </row>
    <row r="891" spans="1:11" x14ac:dyDescent="0.25">
      <c r="A891" s="4">
        <v>42169</v>
      </c>
      <c r="B891" s="3">
        <f>YEAR(SalesData[[#This Row],[Order Date]])</f>
        <v>2015</v>
      </c>
      <c r="C891" s="3">
        <f>MONTH(SalesData[[#This Row],[Order Date]])</f>
        <v>6</v>
      </c>
      <c r="D891" t="s">
        <v>68</v>
      </c>
      <c r="E891" t="s">
        <v>10</v>
      </c>
      <c r="F891" t="s">
        <v>11</v>
      </c>
      <c r="G891" t="s">
        <v>12</v>
      </c>
      <c r="H891" t="s">
        <v>13</v>
      </c>
      <c r="I891" s="2">
        <v>189.96</v>
      </c>
      <c r="J891" s="3">
        <v>1</v>
      </c>
      <c r="K891" s="2">
        <v>54.78</v>
      </c>
    </row>
    <row r="892" spans="1:11" x14ac:dyDescent="0.25">
      <c r="A892" s="4">
        <v>42170</v>
      </c>
      <c r="B892" s="3">
        <f>YEAR(SalesData[[#This Row],[Order Date]])</f>
        <v>2015</v>
      </c>
      <c r="C892" s="3">
        <f>MONTH(SalesData[[#This Row],[Order Date]])</f>
        <v>6</v>
      </c>
      <c r="D892" t="s">
        <v>20</v>
      </c>
      <c r="E892" t="s">
        <v>26</v>
      </c>
      <c r="F892" t="s">
        <v>27</v>
      </c>
      <c r="G892" t="s">
        <v>28</v>
      </c>
      <c r="H892" t="s">
        <v>29</v>
      </c>
      <c r="I892" s="2">
        <v>4173.25</v>
      </c>
      <c r="J892" s="3">
        <v>10</v>
      </c>
      <c r="K892" s="2">
        <v>238.22</v>
      </c>
    </row>
    <row r="893" spans="1:11" x14ac:dyDescent="0.25">
      <c r="A893" s="4">
        <v>42171</v>
      </c>
      <c r="B893" s="3">
        <f>YEAR(SalesData[[#This Row],[Order Date]])</f>
        <v>2015</v>
      </c>
      <c r="C893" s="3">
        <f>MONTH(SalesData[[#This Row],[Order Date]])</f>
        <v>6</v>
      </c>
      <c r="D893" t="s">
        <v>55</v>
      </c>
      <c r="E893" t="s">
        <v>10</v>
      </c>
      <c r="F893" t="s">
        <v>11</v>
      </c>
      <c r="G893" t="s">
        <v>35</v>
      </c>
      <c r="H893" t="s">
        <v>70</v>
      </c>
      <c r="I893" s="2">
        <v>3072.59</v>
      </c>
      <c r="J893" s="3">
        <v>3</v>
      </c>
      <c r="K893" s="2">
        <v>901.69</v>
      </c>
    </row>
    <row r="894" spans="1:11" x14ac:dyDescent="0.25">
      <c r="A894" s="4">
        <v>42172</v>
      </c>
      <c r="B894" s="3">
        <f>YEAR(SalesData[[#This Row],[Order Date]])</f>
        <v>2015</v>
      </c>
      <c r="C894" s="3">
        <f>MONTH(SalesData[[#This Row],[Order Date]])</f>
        <v>6</v>
      </c>
      <c r="D894" t="s">
        <v>23</v>
      </c>
      <c r="E894" t="s">
        <v>31</v>
      </c>
      <c r="F894" t="s">
        <v>11</v>
      </c>
      <c r="G894" t="s">
        <v>24</v>
      </c>
      <c r="H894" t="s">
        <v>25</v>
      </c>
      <c r="I894" s="2">
        <v>3685.26</v>
      </c>
      <c r="J894" s="3">
        <v>9</v>
      </c>
      <c r="K894" s="2">
        <v>19.73</v>
      </c>
    </row>
    <row r="895" spans="1:11" x14ac:dyDescent="0.25">
      <c r="A895" s="4">
        <v>42173</v>
      </c>
      <c r="B895" s="3">
        <f>YEAR(SalesData[[#This Row],[Order Date]])</f>
        <v>2015</v>
      </c>
      <c r="C895" s="3">
        <f>MONTH(SalesData[[#This Row],[Order Date]])</f>
        <v>6</v>
      </c>
      <c r="D895" t="s">
        <v>9</v>
      </c>
      <c r="E895" t="s">
        <v>34</v>
      </c>
      <c r="F895" t="s">
        <v>27</v>
      </c>
      <c r="G895" t="s">
        <v>28</v>
      </c>
      <c r="H895" t="s">
        <v>58</v>
      </c>
      <c r="I895" s="2">
        <v>2762.07</v>
      </c>
      <c r="J895" s="3">
        <v>10</v>
      </c>
      <c r="K895" s="2">
        <v>161.69</v>
      </c>
    </row>
    <row r="896" spans="1:11" x14ac:dyDescent="0.25">
      <c r="A896" s="4">
        <v>42174</v>
      </c>
      <c r="B896" s="3">
        <f>YEAR(SalesData[[#This Row],[Order Date]])</f>
        <v>2015</v>
      </c>
      <c r="C896" s="3">
        <f>MONTH(SalesData[[#This Row],[Order Date]])</f>
        <v>6</v>
      </c>
      <c r="D896" t="s">
        <v>30</v>
      </c>
      <c r="E896" t="s">
        <v>31</v>
      </c>
      <c r="F896" t="s">
        <v>11</v>
      </c>
      <c r="G896" t="s">
        <v>24</v>
      </c>
      <c r="H896" t="s">
        <v>25</v>
      </c>
      <c r="I896" s="2">
        <v>2649.29</v>
      </c>
      <c r="J896" s="3">
        <v>3</v>
      </c>
      <c r="K896" s="2">
        <v>498.39</v>
      </c>
    </row>
    <row r="897" spans="1:11" x14ac:dyDescent="0.25">
      <c r="A897" s="4">
        <v>42175</v>
      </c>
      <c r="B897" s="3">
        <f>YEAR(SalesData[[#This Row],[Order Date]])</f>
        <v>2015</v>
      </c>
      <c r="C897" s="3">
        <f>MONTH(SalesData[[#This Row],[Order Date]])</f>
        <v>6</v>
      </c>
      <c r="D897" t="s">
        <v>9</v>
      </c>
      <c r="E897" t="s">
        <v>34</v>
      </c>
      <c r="F897" t="s">
        <v>11</v>
      </c>
      <c r="G897" t="s">
        <v>21</v>
      </c>
      <c r="H897" t="s">
        <v>67</v>
      </c>
      <c r="I897" s="2">
        <v>853.46</v>
      </c>
      <c r="J897" s="3">
        <v>1</v>
      </c>
      <c r="K897" s="2">
        <v>167.68</v>
      </c>
    </row>
    <row r="898" spans="1:11" x14ac:dyDescent="0.25">
      <c r="A898" s="4">
        <v>42175</v>
      </c>
      <c r="B898" s="3">
        <f>YEAR(SalesData[[#This Row],[Order Date]])</f>
        <v>2015</v>
      </c>
      <c r="C898" s="3">
        <f>MONTH(SalesData[[#This Row],[Order Date]])</f>
        <v>6</v>
      </c>
      <c r="D898" t="s">
        <v>9</v>
      </c>
      <c r="E898" t="s">
        <v>19</v>
      </c>
      <c r="F898" t="s">
        <v>11</v>
      </c>
      <c r="G898" t="s">
        <v>24</v>
      </c>
      <c r="H898" t="s">
        <v>54</v>
      </c>
      <c r="I898" s="2">
        <v>3564.31</v>
      </c>
      <c r="J898" s="3">
        <v>2</v>
      </c>
      <c r="K898" s="2">
        <v>776.63</v>
      </c>
    </row>
    <row r="899" spans="1:11" x14ac:dyDescent="0.25">
      <c r="A899" s="4">
        <v>42175</v>
      </c>
      <c r="B899" s="3">
        <f>YEAR(SalesData[[#This Row],[Order Date]])</f>
        <v>2015</v>
      </c>
      <c r="C899" s="3">
        <f>MONTH(SalesData[[#This Row],[Order Date]])</f>
        <v>6</v>
      </c>
      <c r="D899" t="s">
        <v>30</v>
      </c>
      <c r="E899" t="s">
        <v>44</v>
      </c>
      <c r="F899" t="s">
        <v>27</v>
      </c>
      <c r="G899" t="s">
        <v>32</v>
      </c>
      <c r="H899" t="s">
        <v>53</v>
      </c>
      <c r="I899" s="2">
        <v>1249.53</v>
      </c>
      <c r="J899" s="3">
        <v>8</v>
      </c>
      <c r="K899" s="2">
        <v>210.56</v>
      </c>
    </row>
    <row r="900" spans="1:11" x14ac:dyDescent="0.25">
      <c r="A900" s="4">
        <v>42175</v>
      </c>
      <c r="B900" s="3">
        <f>YEAR(SalesData[[#This Row],[Order Date]])</f>
        <v>2015</v>
      </c>
      <c r="C900" s="3">
        <f>MONTH(SalesData[[#This Row],[Order Date]])</f>
        <v>6</v>
      </c>
      <c r="D900" t="s">
        <v>20</v>
      </c>
      <c r="E900" t="s">
        <v>34</v>
      </c>
      <c r="F900" t="s">
        <v>11</v>
      </c>
      <c r="G900" t="s">
        <v>24</v>
      </c>
      <c r="H900" t="s">
        <v>25</v>
      </c>
      <c r="I900" s="2">
        <v>297.45</v>
      </c>
      <c r="J900" s="3">
        <v>5</v>
      </c>
      <c r="K900" s="2">
        <v>7.35</v>
      </c>
    </row>
    <row r="901" spans="1:11" x14ac:dyDescent="0.25">
      <c r="A901" s="4">
        <v>42176</v>
      </c>
      <c r="B901" s="3">
        <f>YEAR(SalesData[[#This Row],[Order Date]])</f>
        <v>2015</v>
      </c>
      <c r="C901" s="3">
        <f>MONTH(SalesData[[#This Row],[Order Date]])</f>
        <v>6</v>
      </c>
      <c r="D901" t="s">
        <v>14</v>
      </c>
      <c r="E901" t="s">
        <v>52</v>
      </c>
      <c r="F901" t="s">
        <v>11</v>
      </c>
      <c r="G901" t="s">
        <v>12</v>
      </c>
      <c r="H901" t="s">
        <v>65</v>
      </c>
      <c r="I901" s="2">
        <v>4269.1400000000003</v>
      </c>
      <c r="J901" s="3">
        <v>5</v>
      </c>
      <c r="K901" s="2">
        <v>43.39</v>
      </c>
    </row>
    <row r="902" spans="1:11" x14ac:dyDescent="0.25">
      <c r="A902" s="4">
        <v>42179</v>
      </c>
      <c r="B902" s="3">
        <f>YEAR(SalesData[[#This Row],[Order Date]])</f>
        <v>2015</v>
      </c>
      <c r="C902" s="3">
        <f>MONTH(SalesData[[#This Row],[Order Date]])</f>
        <v>6</v>
      </c>
      <c r="D902" t="s">
        <v>68</v>
      </c>
      <c r="E902" t="s">
        <v>10</v>
      </c>
      <c r="F902" t="s">
        <v>11</v>
      </c>
      <c r="G902" t="s">
        <v>21</v>
      </c>
      <c r="H902" t="s">
        <v>67</v>
      </c>
      <c r="I902" s="2">
        <v>4731.24</v>
      </c>
      <c r="J902" s="3">
        <v>6</v>
      </c>
      <c r="K902" s="2">
        <v>1361.08</v>
      </c>
    </row>
    <row r="903" spans="1:11" x14ac:dyDescent="0.25">
      <c r="A903" s="4">
        <v>42180</v>
      </c>
      <c r="B903" s="3">
        <f>YEAR(SalesData[[#This Row],[Order Date]])</f>
        <v>2015</v>
      </c>
      <c r="C903" s="3">
        <f>MONTH(SalesData[[#This Row],[Order Date]])</f>
        <v>6</v>
      </c>
      <c r="D903" t="s">
        <v>9</v>
      </c>
      <c r="E903" t="s">
        <v>34</v>
      </c>
      <c r="F903" t="s">
        <v>15</v>
      </c>
      <c r="G903" t="s">
        <v>45</v>
      </c>
      <c r="H903" t="s">
        <v>59</v>
      </c>
      <c r="I903" s="2">
        <v>1397.35</v>
      </c>
      <c r="J903" s="3">
        <v>6</v>
      </c>
      <c r="K903" s="2">
        <v>298</v>
      </c>
    </row>
    <row r="904" spans="1:11" x14ac:dyDescent="0.25">
      <c r="A904" s="4">
        <v>42182</v>
      </c>
      <c r="B904" s="3">
        <f>YEAR(SalesData[[#This Row],[Order Date]])</f>
        <v>2015</v>
      </c>
      <c r="C904" s="3">
        <f>MONTH(SalesData[[#This Row],[Order Date]])</f>
        <v>6</v>
      </c>
      <c r="D904" t="s">
        <v>68</v>
      </c>
      <c r="E904" t="s">
        <v>31</v>
      </c>
      <c r="F904" t="s">
        <v>27</v>
      </c>
      <c r="G904" t="s">
        <v>32</v>
      </c>
      <c r="H904" t="s">
        <v>33</v>
      </c>
      <c r="I904" s="2">
        <v>3198.11</v>
      </c>
      <c r="J904" s="3">
        <v>2</v>
      </c>
      <c r="K904" s="2">
        <v>851.13</v>
      </c>
    </row>
    <row r="905" spans="1:11" x14ac:dyDescent="0.25">
      <c r="A905" s="4">
        <v>42182</v>
      </c>
      <c r="B905" s="3">
        <f>YEAR(SalesData[[#This Row],[Order Date]])</f>
        <v>2015</v>
      </c>
      <c r="C905" s="3">
        <f>MONTH(SalesData[[#This Row],[Order Date]])</f>
        <v>6</v>
      </c>
      <c r="D905" t="s">
        <v>20</v>
      </c>
      <c r="E905" t="s">
        <v>19</v>
      </c>
      <c r="F905" t="s">
        <v>11</v>
      </c>
      <c r="G905" t="s">
        <v>35</v>
      </c>
      <c r="H905" t="s">
        <v>71</v>
      </c>
      <c r="I905" s="2">
        <v>4476.29</v>
      </c>
      <c r="J905" s="3">
        <v>9</v>
      </c>
      <c r="K905" s="2">
        <v>1045.07</v>
      </c>
    </row>
    <row r="906" spans="1:11" x14ac:dyDescent="0.25">
      <c r="A906" s="4">
        <v>42182</v>
      </c>
      <c r="B906" s="3">
        <f>YEAR(SalesData[[#This Row],[Order Date]])</f>
        <v>2015</v>
      </c>
      <c r="C906" s="3">
        <f>MONTH(SalesData[[#This Row],[Order Date]])</f>
        <v>6</v>
      </c>
      <c r="D906" t="s">
        <v>55</v>
      </c>
      <c r="E906" t="s">
        <v>40</v>
      </c>
      <c r="F906" t="s">
        <v>15</v>
      </c>
      <c r="G906" t="s">
        <v>45</v>
      </c>
      <c r="H906" t="s">
        <v>59</v>
      </c>
      <c r="I906" s="2">
        <v>2501.48</v>
      </c>
      <c r="J906" s="3">
        <v>2</v>
      </c>
      <c r="K906" s="2">
        <v>99.25</v>
      </c>
    </row>
    <row r="907" spans="1:11" x14ac:dyDescent="0.25">
      <c r="A907" s="4">
        <v>42182</v>
      </c>
      <c r="B907" s="3">
        <f>YEAR(SalesData[[#This Row],[Order Date]])</f>
        <v>2015</v>
      </c>
      <c r="C907" s="3">
        <f>MONTH(SalesData[[#This Row],[Order Date]])</f>
        <v>6</v>
      </c>
      <c r="D907" t="s">
        <v>55</v>
      </c>
      <c r="E907" t="s">
        <v>52</v>
      </c>
      <c r="F907" t="s">
        <v>11</v>
      </c>
      <c r="G907" t="s">
        <v>35</v>
      </c>
      <c r="H907" t="s">
        <v>36</v>
      </c>
      <c r="I907" s="2">
        <v>4199.28</v>
      </c>
      <c r="J907" s="3">
        <v>8</v>
      </c>
      <c r="K907" s="2">
        <v>988.11</v>
      </c>
    </row>
    <row r="908" spans="1:11" x14ac:dyDescent="0.25">
      <c r="A908" s="4">
        <v>42182</v>
      </c>
      <c r="B908" s="3">
        <f>YEAR(SalesData[[#This Row],[Order Date]])</f>
        <v>2015</v>
      </c>
      <c r="C908" s="3">
        <f>MONTH(SalesData[[#This Row],[Order Date]])</f>
        <v>6</v>
      </c>
      <c r="D908" t="s">
        <v>30</v>
      </c>
      <c r="E908" t="s">
        <v>40</v>
      </c>
      <c r="F908" t="s">
        <v>15</v>
      </c>
      <c r="G908" t="s">
        <v>38</v>
      </c>
      <c r="H908" t="s">
        <v>39</v>
      </c>
      <c r="I908" s="2">
        <v>3795.47</v>
      </c>
      <c r="J908" s="3">
        <v>7</v>
      </c>
      <c r="K908" s="2">
        <v>419.18</v>
      </c>
    </row>
    <row r="909" spans="1:11" x14ac:dyDescent="0.25">
      <c r="A909" s="4">
        <v>42182</v>
      </c>
      <c r="B909" s="3">
        <f>YEAR(SalesData[[#This Row],[Order Date]])</f>
        <v>2015</v>
      </c>
      <c r="C909" s="3">
        <f>MONTH(SalesData[[#This Row],[Order Date]])</f>
        <v>6</v>
      </c>
      <c r="D909" t="s">
        <v>62</v>
      </c>
      <c r="E909" t="s">
        <v>40</v>
      </c>
      <c r="F909" t="s">
        <v>11</v>
      </c>
      <c r="G909" t="s">
        <v>12</v>
      </c>
      <c r="H909" t="s">
        <v>65</v>
      </c>
      <c r="I909" s="2">
        <v>604.99</v>
      </c>
      <c r="J909" s="3">
        <v>6</v>
      </c>
      <c r="K909" s="2">
        <v>180.69</v>
      </c>
    </row>
    <row r="910" spans="1:11" x14ac:dyDescent="0.25">
      <c r="A910" s="4">
        <v>42184</v>
      </c>
      <c r="B910" s="3">
        <f>YEAR(SalesData[[#This Row],[Order Date]])</f>
        <v>2015</v>
      </c>
      <c r="C910" s="3">
        <f>MONTH(SalesData[[#This Row],[Order Date]])</f>
        <v>6</v>
      </c>
      <c r="D910" t="s">
        <v>68</v>
      </c>
      <c r="E910" t="s">
        <v>44</v>
      </c>
      <c r="F910" t="s">
        <v>15</v>
      </c>
      <c r="G910" t="s">
        <v>45</v>
      </c>
      <c r="H910" t="s">
        <v>46</v>
      </c>
      <c r="I910" s="2">
        <v>1110.74</v>
      </c>
      <c r="J910" s="3">
        <v>2</v>
      </c>
      <c r="K910" s="2">
        <v>323.95999999999998</v>
      </c>
    </row>
    <row r="911" spans="1:11" x14ac:dyDescent="0.25">
      <c r="A911" s="4">
        <v>42187</v>
      </c>
      <c r="B911" s="3">
        <f>YEAR(SalesData[[#This Row],[Order Date]])</f>
        <v>2015</v>
      </c>
      <c r="C911" s="3">
        <f>MONTH(SalesData[[#This Row],[Order Date]])</f>
        <v>7</v>
      </c>
      <c r="D911" t="s">
        <v>18</v>
      </c>
      <c r="E911" t="s">
        <v>60</v>
      </c>
      <c r="F911" t="s">
        <v>15</v>
      </c>
      <c r="G911" t="s">
        <v>63</v>
      </c>
      <c r="H911" t="s">
        <v>64</v>
      </c>
      <c r="I911" s="2">
        <v>509.06</v>
      </c>
      <c r="J911" s="3">
        <v>2</v>
      </c>
      <c r="K911" s="2">
        <v>2.73</v>
      </c>
    </row>
    <row r="912" spans="1:11" x14ac:dyDescent="0.25">
      <c r="A912" s="4">
        <v>42187</v>
      </c>
      <c r="B912" s="3">
        <f>YEAR(SalesData[[#This Row],[Order Date]])</f>
        <v>2015</v>
      </c>
      <c r="C912" s="3">
        <f>MONTH(SalesData[[#This Row],[Order Date]])</f>
        <v>7</v>
      </c>
      <c r="D912" t="s">
        <v>9</v>
      </c>
      <c r="E912" t="s">
        <v>10</v>
      </c>
      <c r="F912" t="s">
        <v>11</v>
      </c>
      <c r="G912" t="s">
        <v>24</v>
      </c>
      <c r="H912" t="s">
        <v>25</v>
      </c>
      <c r="I912" s="2">
        <v>3925.76</v>
      </c>
      <c r="J912" s="3">
        <v>6</v>
      </c>
      <c r="K912" s="2">
        <v>92.72</v>
      </c>
    </row>
    <row r="913" spans="1:11" x14ac:dyDescent="0.25">
      <c r="A913" s="4">
        <v>42187</v>
      </c>
      <c r="B913" s="3">
        <f>YEAR(SalesData[[#This Row],[Order Date]])</f>
        <v>2015</v>
      </c>
      <c r="C913" s="3">
        <f>MONTH(SalesData[[#This Row],[Order Date]])</f>
        <v>7</v>
      </c>
      <c r="D913" t="s">
        <v>14</v>
      </c>
      <c r="E913" t="s">
        <v>31</v>
      </c>
      <c r="F913" t="s">
        <v>11</v>
      </c>
      <c r="G913" t="s">
        <v>35</v>
      </c>
      <c r="H913" t="s">
        <v>36</v>
      </c>
      <c r="I913" s="2">
        <v>4467.49</v>
      </c>
      <c r="J913" s="3">
        <v>5</v>
      </c>
      <c r="K913" s="2">
        <v>311.01</v>
      </c>
    </row>
    <row r="914" spans="1:11" x14ac:dyDescent="0.25">
      <c r="A914" s="4">
        <v>42188</v>
      </c>
      <c r="B914" s="3">
        <f>YEAR(SalesData[[#This Row],[Order Date]])</f>
        <v>2015</v>
      </c>
      <c r="C914" s="3">
        <f>MONTH(SalesData[[#This Row],[Order Date]])</f>
        <v>7</v>
      </c>
      <c r="D914" t="s">
        <v>47</v>
      </c>
      <c r="E914" t="s">
        <v>60</v>
      </c>
      <c r="F914" t="s">
        <v>27</v>
      </c>
      <c r="G914" t="s">
        <v>48</v>
      </c>
      <c r="H914" t="s">
        <v>57</v>
      </c>
      <c r="I914" s="2">
        <v>328.35</v>
      </c>
      <c r="J914" s="3">
        <v>2</v>
      </c>
      <c r="K914" s="2">
        <v>65.06</v>
      </c>
    </row>
    <row r="915" spans="1:11" x14ac:dyDescent="0.25">
      <c r="A915" s="4">
        <v>42188</v>
      </c>
      <c r="B915" s="3">
        <f>YEAR(SalesData[[#This Row],[Order Date]])</f>
        <v>2015</v>
      </c>
      <c r="C915" s="3">
        <f>MONTH(SalesData[[#This Row],[Order Date]])</f>
        <v>7</v>
      </c>
      <c r="D915" t="s">
        <v>55</v>
      </c>
      <c r="E915" t="s">
        <v>52</v>
      </c>
      <c r="F915" t="s">
        <v>11</v>
      </c>
      <c r="G915" t="s">
        <v>21</v>
      </c>
      <c r="H915" t="s">
        <v>22</v>
      </c>
      <c r="I915" s="2">
        <v>1030.1199999999999</v>
      </c>
      <c r="J915" s="3">
        <v>9</v>
      </c>
      <c r="K915" s="2">
        <v>171.38</v>
      </c>
    </row>
    <row r="916" spans="1:11" x14ac:dyDescent="0.25">
      <c r="A916" s="4">
        <v>42188</v>
      </c>
      <c r="B916" s="3">
        <f>YEAR(SalesData[[#This Row],[Order Date]])</f>
        <v>2015</v>
      </c>
      <c r="C916" s="3">
        <f>MONTH(SalesData[[#This Row],[Order Date]])</f>
        <v>7</v>
      </c>
      <c r="D916" t="s">
        <v>50</v>
      </c>
      <c r="E916" t="s">
        <v>37</v>
      </c>
      <c r="F916" t="s">
        <v>11</v>
      </c>
      <c r="G916" t="s">
        <v>24</v>
      </c>
      <c r="H916" t="s">
        <v>25</v>
      </c>
      <c r="I916" s="2">
        <v>2003.12</v>
      </c>
      <c r="J916" s="3">
        <v>4</v>
      </c>
      <c r="K916" s="2">
        <v>491.43</v>
      </c>
    </row>
    <row r="917" spans="1:11" x14ac:dyDescent="0.25">
      <c r="A917" s="4">
        <v>42189</v>
      </c>
      <c r="B917" s="3">
        <f>YEAR(SalesData[[#This Row],[Order Date]])</f>
        <v>2015</v>
      </c>
      <c r="C917" s="3">
        <f>MONTH(SalesData[[#This Row],[Order Date]])</f>
        <v>7</v>
      </c>
      <c r="D917" t="s">
        <v>18</v>
      </c>
      <c r="E917" t="s">
        <v>10</v>
      </c>
      <c r="F917" t="s">
        <v>27</v>
      </c>
      <c r="G917" t="s">
        <v>28</v>
      </c>
      <c r="H917" t="s">
        <v>58</v>
      </c>
      <c r="I917" s="2">
        <v>1232.28</v>
      </c>
      <c r="J917" s="3">
        <v>5</v>
      </c>
      <c r="K917" s="2">
        <v>35.28</v>
      </c>
    </row>
    <row r="918" spans="1:11" x14ac:dyDescent="0.25">
      <c r="A918" s="4">
        <v>42189</v>
      </c>
      <c r="B918" s="3">
        <f>YEAR(SalesData[[#This Row],[Order Date]])</f>
        <v>2015</v>
      </c>
      <c r="C918" s="3">
        <f>MONTH(SalesData[[#This Row],[Order Date]])</f>
        <v>7</v>
      </c>
      <c r="D918" t="s">
        <v>47</v>
      </c>
      <c r="E918" t="s">
        <v>26</v>
      </c>
      <c r="F918" t="s">
        <v>27</v>
      </c>
      <c r="G918" t="s">
        <v>48</v>
      </c>
      <c r="H918" t="s">
        <v>49</v>
      </c>
      <c r="I918" s="2">
        <v>2851.67</v>
      </c>
      <c r="J918" s="3">
        <v>7</v>
      </c>
      <c r="K918" s="2">
        <v>508.12</v>
      </c>
    </row>
    <row r="919" spans="1:11" x14ac:dyDescent="0.25">
      <c r="A919" s="4">
        <v>42189</v>
      </c>
      <c r="B919" s="3">
        <f>YEAR(SalesData[[#This Row],[Order Date]])</f>
        <v>2015</v>
      </c>
      <c r="C919" s="3">
        <f>MONTH(SalesData[[#This Row],[Order Date]])</f>
        <v>7</v>
      </c>
      <c r="D919" t="s">
        <v>68</v>
      </c>
      <c r="E919" t="s">
        <v>26</v>
      </c>
      <c r="F919" t="s">
        <v>27</v>
      </c>
      <c r="G919" t="s">
        <v>28</v>
      </c>
      <c r="H919" t="s">
        <v>29</v>
      </c>
      <c r="I919" s="2">
        <v>1594.09</v>
      </c>
      <c r="J919" s="3">
        <v>1</v>
      </c>
      <c r="K919" s="2">
        <v>200.72</v>
      </c>
    </row>
    <row r="920" spans="1:11" x14ac:dyDescent="0.25">
      <c r="A920" s="4">
        <v>42191</v>
      </c>
      <c r="B920" s="3">
        <f>YEAR(SalesData[[#This Row],[Order Date]])</f>
        <v>2015</v>
      </c>
      <c r="C920" s="3">
        <f>MONTH(SalesData[[#This Row],[Order Date]])</f>
        <v>7</v>
      </c>
      <c r="D920" t="s">
        <v>43</v>
      </c>
      <c r="E920" t="s">
        <v>52</v>
      </c>
      <c r="F920" t="s">
        <v>15</v>
      </c>
      <c r="G920" t="s">
        <v>45</v>
      </c>
      <c r="H920" t="s">
        <v>46</v>
      </c>
      <c r="I920" s="2">
        <v>4257.3</v>
      </c>
      <c r="J920" s="3">
        <v>5</v>
      </c>
      <c r="K920" s="2">
        <v>294.14</v>
      </c>
    </row>
    <row r="921" spans="1:11" x14ac:dyDescent="0.25">
      <c r="A921" s="4">
        <v>42191</v>
      </c>
      <c r="B921" s="3">
        <f>YEAR(SalesData[[#This Row],[Order Date]])</f>
        <v>2015</v>
      </c>
      <c r="C921" s="3">
        <f>MONTH(SalesData[[#This Row],[Order Date]])</f>
        <v>7</v>
      </c>
      <c r="D921" t="s">
        <v>68</v>
      </c>
      <c r="E921" t="s">
        <v>31</v>
      </c>
      <c r="F921" t="s">
        <v>27</v>
      </c>
      <c r="G921" t="s">
        <v>32</v>
      </c>
      <c r="H921" t="s">
        <v>53</v>
      </c>
      <c r="I921" s="2">
        <v>4443.07</v>
      </c>
      <c r="J921" s="3">
        <v>2</v>
      </c>
      <c r="K921" s="2">
        <v>827.13</v>
      </c>
    </row>
    <row r="922" spans="1:11" x14ac:dyDescent="0.25">
      <c r="A922" s="4">
        <v>42191</v>
      </c>
      <c r="B922" s="3">
        <f>YEAR(SalesData[[#This Row],[Order Date]])</f>
        <v>2015</v>
      </c>
      <c r="C922" s="3">
        <f>MONTH(SalesData[[#This Row],[Order Date]])</f>
        <v>7</v>
      </c>
      <c r="D922" t="s">
        <v>50</v>
      </c>
      <c r="E922" t="s">
        <v>31</v>
      </c>
      <c r="F922" t="s">
        <v>11</v>
      </c>
      <c r="G922" t="s">
        <v>12</v>
      </c>
      <c r="H922" t="s">
        <v>13</v>
      </c>
      <c r="I922" s="2">
        <v>2806.83</v>
      </c>
      <c r="J922" s="3">
        <v>2</v>
      </c>
      <c r="K922" s="2">
        <v>678.93</v>
      </c>
    </row>
    <row r="923" spans="1:11" x14ac:dyDescent="0.25">
      <c r="A923" s="4">
        <v>42191</v>
      </c>
      <c r="B923" s="3">
        <f>YEAR(SalesData[[#This Row],[Order Date]])</f>
        <v>2015</v>
      </c>
      <c r="C923" s="3">
        <f>MONTH(SalesData[[#This Row],[Order Date]])</f>
        <v>7</v>
      </c>
      <c r="D923" t="s">
        <v>20</v>
      </c>
      <c r="E923" t="s">
        <v>40</v>
      </c>
      <c r="F923" t="s">
        <v>27</v>
      </c>
      <c r="G923" t="s">
        <v>48</v>
      </c>
      <c r="H923" t="s">
        <v>57</v>
      </c>
      <c r="I923" s="2">
        <v>4976.9799999999996</v>
      </c>
      <c r="J923" s="3">
        <v>9</v>
      </c>
      <c r="K923" s="2">
        <v>744.65</v>
      </c>
    </row>
    <row r="924" spans="1:11" x14ac:dyDescent="0.25">
      <c r="A924" s="4">
        <v>42191</v>
      </c>
      <c r="B924" s="3">
        <f>YEAR(SalesData[[#This Row],[Order Date]])</f>
        <v>2015</v>
      </c>
      <c r="C924" s="3">
        <f>MONTH(SalesData[[#This Row],[Order Date]])</f>
        <v>7</v>
      </c>
      <c r="D924" t="s">
        <v>18</v>
      </c>
      <c r="E924" t="s">
        <v>34</v>
      </c>
      <c r="F924" t="s">
        <v>27</v>
      </c>
      <c r="G924" t="s">
        <v>32</v>
      </c>
      <c r="H924" t="s">
        <v>33</v>
      </c>
      <c r="I924" s="2">
        <v>4892.22</v>
      </c>
      <c r="J924" s="3">
        <v>9</v>
      </c>
      <c r="K924" s="2">
        <v>372.75</v>
      </c>
    </row>
    <row r="925" spans="1:11" x14ac:dyDescent="0.25">
      <c r="A925" s="4">
        <v>42192</v>
      </c>
      <c r="B925" s="3">
        <f>YEAR(SalesData[[#This Row],[Order Date]])</f>
        <v>2015</v>
      </c>
      <c r="C925" s="3">
        <f>MONTH(SalesData[[#This Row],[Order Date]])</f>
        <v>7</v>
      </c>
      <c r="D925" t="s">
        <v>9</v>
      </c>
      <c r="E925" t="s">
        <v>31</v>
      </c>
      <c r="F925" t="s">
        <v>27</v>
      </c>
      <c r="G925" t="s">
        <v>28</v>
      </c>
      <c r="H925" t="s">
        <v>58</v>
      </c>
      <c r="I925" s="2">
        <v>850.39</v>
      </c>
      <c r="J925" s="3">
        <v>10</v>
      </c>
      <c r="K925" s="2">
        <v>209.42</v>
      </c>
    </row>
    <row r="926" spans="1:11" x14ac:dyDescent="0.25">
      <c r="A926" s="4">
        <v>42193</v>
      </c>
      <c r="B926" s="3">
        <f>YEAR(SalesData[[#This Row],[Order Date]])</f>
        <v>2015</v>
      </c>
      <c r="C926" s="3">
        <f>MONTH(SalesData[[#This Row],[Order Date]])</f>
        <v>7</v>
      </c>
      <c r="D926" t="s">
        <v>47</v>
      </c>
      <c r="E926" t="s">
        <v>60</v>
      </c>
      <c r="F926" t="s">
        <v>27</v>
      </c>
      <c r="G926" t="s">
        <v>32</v>
      </c>
      <c r="H926" t="s">
        <v>53</v>
      </c>
      <c r="I926" s="2">
        <v>720.02</v>
      </c>
      <c r="J926" s="3">
        <v>6</v>
      </c>
      <c r="K926" s="2">
        <v>115.8</v>
      </c>
    </row>
    <row r="927" spans="1:11" x14ac:dyDescent="0.25">
      <c r="A927" s="4">
        <v>42193</v>
      </c>
      <c r="B927" s="3">
        <f>YEAR(SalesData[[#This Row],[Order Date]])</f>
        <v>2015</v>
      </c>
      <c r="C927" s="3">
        <f>MONTH(SalesData[[#This Row],[Order Date]])</f>
        <v>7</v>
      </c>
      <c r="D927" t="s">
        <v>30</v>
      </c>
      <c r="E927" t="s">
        <v>26</v>
      </c>
      <c r="F927" t="s">
        <v>11</v>
      </c>
      <c r="G927" t="s">
        <v>24</v>
      </c>
      <c r="H927" t="s">
        <v>25</v>
      </c>
      <c r="I927" s="2">
        <v>1516.15</v>
      </c>
      <c r="J927" s="3">
        <v>2</v>
      </c>
      <c r="K927" s="2">
        <v>130.84</v>
      </c>
    </row>
    <row r="928" spans="1:11" x14ac:dyDescent="0.25">
      <c r="A928" s="4">
        <v>42193</v>
      </c>
      <c r="B928" s="3">
        <f>YEAR(SalesData[[#This Row],[Order Date]])</f>
        <v>2015</v>
      </c>
      <c r="C928" s="3">
        <f>MONTH(SalesData[[#This Row],[Order Date]])</f>
        <v>7</v>
      </c>
      <c r="D928" t="s">
        <v>43</v>
      </c>
      <c r="E928" t="s">
        <v>31</v>
      </c>
      <c r="F928" t="s">
        <v>11</v>
      </c>
      <c r="G928" t="s">
        <v>24</v>
      </c>
      <c r="H928" t="s">
        <v>25</v>
      </c>
      <c r="I928" s="2">
        <v>1608.25</v>
      </c>
      <c r="J928" s="3">
        <v>7</v>
      </c>
      <c r="K928" s="2">
        <v>129.47999999999999</v>
      </c>
    </row>
    <row r="929" spans="1:11" x14ac:dyDescent="0.25">
      <c r="A929" s="4">
        <v>42194</v>
      </c>
      <c r="B929" s="3">
        <f>YEAR(SalesData[[#This Row],[Order Date]])</f>
        <v>2015</v>
      </c>
      <c r="C929" s="3">
        <f>MONTH(SalesData[[#This Row],[Order Date]])</f>
        <v>7</v>
      </c>
      <c r="D929" t="s">
        <v>14</v>
      </c>
      <c r="E929" t="s">
        <v>10</v>
      </c>
      <c r="F929" t="s">
        <v>11</v>
      </c>
      <c r="G929" t="s">
        <v>35</v>
      </c>
      <c r="H929" t="s">
        <v>71</v>
      </c>
      <c r="I929" s="2">
        <v>3756.85</v>
      </c>
      <c r="J929" s="3">
        <v>7</v>
      </c>
      <c r="K929" s="2">
        <v>241.44</v>
      </c>
    </row>
    <row r="930" spans="1:11" x14ac:dyDescent="0.25">
      <c r="A930" s="4">
        <v>42194</v>
      </c>
      <c r="B930" s="3">
        <f>YEAR(SalesData[[#This Row],[Order Date]])</f>
        <v>2015</v>
      </c>
      <c r="C930" s="3">
        <f>MONTH(SalesData[[#This Row],[Order Date]])</f>
        <v>7</v>
      </c>
      <c r="D930" t="s">
        <v>18</v>
      </c>
      <c r="E930" t="s">
        <v>37</v>
      </c>
      <c r="F930" t="s">
        <v>15</v>
      </c>
      <c r="G930" t="s">
        <v>16</v>
      </c>
      <c r="H930" t="s">
        <v>17</v>
      </c>
      <c r="I930" s="2">
        <v>3966.19</v>
      </c>
      <c r="J930" s="3">
        <v>6</v>
      </c>
      <c r="K930" s="2">
        <v>1178.79</v>
      </c>
    </row>
    <row r="931" spans="1:11" x14ac:dyDescent="0.25">
      <c r="A931" s="4">
        <v>42194</v>
      </c>
      <c r="B931" s="3">
        <f>YEAR(SalesData[[#This Row],[Order Date]])</f>
        <v>2015</v>
      </c>
      <c r="C931" s="3">
        <f>MONTH(SalesData[[#This Row],[Order Date]])</f>
        <v>7</v>
      </c>
      <c r="D931" t="s">
        <v>62</v>
      </c>
      <c r="E931" t="s">
        <v>34</v>
      </c>
      <c r="F931" t="s">
        <v>27</v>
      </c>
      <c r="G931" t="s">
        <v>28</v>
      </c>
      <c r="H931" t="s">
        <v>29</v>
      </c>
      <c r="I931" s="2">
        <v>3682.82</v>
      </c>
      <c r="J931" s="3">
        <v>2</v>
      </c>
      <c r="K931" s="2">
        <v>411.33</v>
      </c>
    </row>
    <row r="932" spans="1:11" x14ac:dyDescent="0.25">
      <c r="A932" s="4">
        <v>42194</v>
      </c>
      <c r="B932" s="3">
        <f>YEAR(SalesData[[#This Row],[Order Date]])</f>
        <v>2015</v>
      </c>
      <c r="C932" s="3">
        <f>MONTH(SalesData[[#This Row],[Order Date]])</f>
        <v>7</v>
      </c>
      <c r="D932" t="s">
        <v>62</v>
      </c>
      <c r="E932" t="s">
        <v>31</v>
      </c>
      <c r="F932" t="s">
        <v>27</v>
      </c>
      <c r="G932" t="s">
        <v>48</v>
      </c>
      <c r="H932" t="s">
        <v>57</v>
      </c>
      <c r="I932" s="2">
        <v>3453.91</v>
      </c>
      <c r="J932" s="3">
        <v>9</v>
      </c>
      <c r="K932" s="2">
        <v>105.16</v>
      </c>
    </row>
    <row r="933" spans="1:11" x14ac:dyDescent="0.25">
      <c r="A933" s="4">
        <v>42195</v>
      </c>
      <c r="B933" s="3">
        <f>YEAR(SalesData[[#This Row],[Order Date]])</f>
        <v>2015</v>
      </c>
      <c r="C933" s="3">
        <f>MONTH(SalesData[[#This Row],[Order Date]])</f>
        <v>7</v>
      </c>
      <c r="D933" t="s">
        <v>30</v>
      </c>
      <c r="E933" t="s">
        <v>60</v>
      </c>
      <c r="F933" t="s">
        <v>15</v>
      </c>
      <c r="G933" t="s">
        <v>38</v>
      </c>
      <c r="H933" t="s">
        <v>39</v>
      </c>
      <c r="I933" s="2">
        <v>3042.25</v>
      </c>
      <c r="J933" s="3">
        <v>1</v>
      </c>
      <c r="K933" s="2">
        <v>758.4</v>
      </c>
    </row>
    <row r="934" spans="1:11" x14ac:dyDescent="0.25">
      <c r="A934" s="4">
        <v>42195</v>
      </c>
      <c r="B934" s="3">
        <f>YEAR(SalesData[[#This Row],[Order Date]])</f>
        <v>2015</v>
      </c>
      <c r="C934" s="3">
        <f>MONTH(SalesData[[#This Row],[Order Date]])</f>
        <v>7</v>
      </c>
      <c r="D934" t="s">
        <v>23</v>
      </c>
      <c r="E934" t="s">
        <v>44</v>
      </c>
      <c r="F934" t="s">
        <v>11</v>
      </c>
      <c r="G934" t="s">
        <v>12</v>
      </c>
      <c r="H934" t="s">
        <v>13</v>
      </c>
      <c r="I934" s="2">
        <v>4215.1099999999997</v>
      </c>
      <c r="J934" s="3">
        <v>2</v>
      </c>
      <c r="K934" s="2">
        <v>592.59</v>
      </c>
    </row>
    <row r="935" spans="1:11" x14ac:dyDescent="0.25">
      <c r="A935" s="4">
        <v>42195</v>
      </c>
      <c r="B935" s="3">
        <f>YEAR(SalesData[[#This Row],[Order Date]])</f>
        <v>2015</v>
      </c>
      <c r="C935" s="3">
        <f>MONTH(SalesData[[#This Row],[Order Date]])</f>
        <v>7</v>
      </c>
      <c r="D935" t="s">
        <v>20</v>
      </c>
      <c r="E935" t="s">
        <v>52</v>
      </c>
      <c r="F935" t="s">
        <v>27</v>
      </c>
      <c r="G935" t="s">
        <v>32</v>
      </c>
      <c r="H935" t="s">
        <v>53</v>
      </c>
      <c r="I935" s="2">
        <v>2456.87</v>
      </c>
      <c r="J935" s="3">
        <v>6</v>
      </c>
      <c r="K935" s="2">
        <v>597.4</v>
      </c>
    </row>
    <row r="936" spans="1:11" x14ac:dyDescent="0.25">
      <c r="A936" s="4">
        <v>42196</v>
      </c>
      <c r="B936" s="3">
        <f>YEAR(SalesData[[#This Row],[Order Date]])</f>
        <v>2015</v>
      </c>
      <c r="C936" s="3">
        <f>MONTH(SalesData[[#This Row],[Order Date]])</f>
        <v>7</v>
      </c>
      <c r="D936" t="s">
        <v>55</v>
      </c>
      <c r="E936" t="s">
        <v>40</v>
      </c>
      <c r="F936" t="s">
        <v>27</v>
      </c>
      <c r="G936" t="s">
        <v>28</v>
      </c>
      <c r="H936" t="s">
        <v>69</v>
      </c>
      <c r="I936" s="2">
        <v>2453.31</v>
      </c>
      <c r="J936" s="3">
        <v>5</v>
      </c>
      <c r="K936" s="2">
        <v>461.48</v>
      </c>
    </row>
    <row r="937" spans="1:11" x14ac:dyDescent="0.25">
      <c r="A937" s="4">
        <v>42198</v>
      </c>
      <c r="B937" s="3">
        <f>YEAR(SalesData[[#This Row],[Order Date]])</f>
        <v>2015</v>
      </c>
      <c r="C937" s="3">
        <f>MONTH(SalesData[[#This Row],[Order Date]])</f>
        <v>7</v>
      </c>
      <c r="D937" t="s">
        <v>62</v>
      </c>
      <c r="E937" t="s">
        <v>40</v>
      </c>
      <c r="F937" t="s">
        <v>11</v>
      </c>
      <c r="G937" t="s">
        <v>12</v>
      </c>
      <c r="H937" t="s">
        <v>13</v>
      </c>
      <c r="I937" s="2">
        <v>3503.1</v>
      </c>
      <c r="J937" s="3">
        <v>9</v>
      </c>
      <c r="K937" s="2">
        <v>318.39</v>
      </c>
    </row>
    <row r="938" spans="1:11" x14ac:dyDescent="0.25">
      <c r="A938" s="4">
        <v>42198</v>
      </c>
      <c r="B938" s="3">
        <f>YEAR(SalesData[[#This Row],[Order Date]])</f>
        <v>2015</v>
      </c>
      <c r="C938" s="3">
        <f>MONTH(SalesData[[#This Row],[Order Date]])</f>
        <v>7</v>
      </c>
      <c r="D938" t="s">
        <v>20</v>
      </c>
      <c r="E938" t="s">
        <v>19</v>
      </c>
      <c r="F938" t="s">
        <v>11</v>
      </c>
      <c r="G938" t="s">
        <v>12</v>
      </c>
      <c r="H938" t="s">
        <v>65</v>
      </c>
      <c r="I938" s="2">
        <v>1064.1600000000001</v>
      </c>
      <c r="J938" s="3">
        <v>10</v>
      </c>
      <c r="K938" s="2">
        <v>303.56</v>
      </c>
    </row>
    <row r="939" spans="1:11" x14ac:dyDescent="0.25">
      <c r="A939" s="4">
        <v>42199</v>
      </c>
      <c r="B939" s="3">
        <f>YEAR(SalesData[[#This Row],[Order Date]])</f>
        <v>2015</v>
      </c>
      <c r="C939" s="3">
        <f>MONTH(SalesData[[#This Row],[Order Date]])</f>
        <v>7</v>
      </c>
      <c r="D939" t="s">
        <v>9</v>
      </c>
      <c r="E939" t="s">
        <v>34</v>
      </c>
      <c r="F939" t="s">
        <v>11</v>
      </c>
      <c r="G939" t="s">
        <v>12</v>
      </c>
      <c r="H939" t="s">
        <v>13</v>
      </c>
      <c r="I939" s="2">
        <v>2016.66</v>
      </c>
      <c r="J939" s="3">
        <v>2</v>
      </c>
      <c r="K939" s="2">
        <v>508.42</v>
      </c>
    </row>
    <row r="940" spans="1:11" x14ac:dyDescent="0.25">
      <c r="A940" s="4">
        <v>42199</v>
      </c>
      <c r="B940" s="3">
        <f>YEAR(SalesData[[#This Row],[Order Date]])</f>
        <v>2015</v>
      </c>
      <c r="C940" s="3">
        <f>MONTH(SalesData[[#This Row],[Order Date]])</f>
        <v>7</v>
      </c>
      <c r="D940" t="s">
        <v>30</v>
      </c>
      <c r="E940" t="s">
        <v>10</v>
      </c>
      <c r="F940" t="s">
        <v>11</v>
      </c>
      <c r="G940" t="s">
        <v>35</v>
      </c>
      <c r="H940" t="s">
        <v>71</v>
      </c>
      <c r="I940" s="2">
        <v>4014.75</v>
      </c>
      <c r="J940" s="3">
        <v>6</v>
      </c>
      <c r="K940" s="2">
        <v>1030.79</v>
      </c>
    </row>
    <row r="941" spans="1:11" x14ac:dyDescent="0.25">
      <c r="A941" s="4">
        <v>42200</v>
      </c>
      <c r="B941" s="3">
        <f>YEAR(SalesData[[#This Row],[Order Date]])</f>
        <v>2015</v>
      </c>
      <c r="C941" s="3">
        <f>MONTH(SalesData[[#This Row],[Order Date]])</f>
        <v>7</v>
      </c>
      <c r="D941" t="s">
        <v>30</v>
      </c>
      <c r="E941" t="s">
        <v>31</v>
      </c>
      <c r="F941" t="s">
        <v>15</v>
      </c>
      <c r="G941" t="s">
        <v>38</v>
      </c>
      <c r="H941" t="s">
        <v>39</v>
      </c>
      <c r="I941" s="2">
        <v>1214.99</v>
      </c>
      <c r="J941" s="3">
        <v>10</v>
      </c>
      <c r="K941" s="2">
        <v>162.94999999999999</v>
      </c>
    </row>
    <row r="942" spans="1:11" x14ac:dyDescent="0.25">
      <c r="A942" s="4">
        <v>42200</v>
      </c>
      <c r="B942" s="3">
        <f>YEAR(SalesData[[#This Row],[Order Date]])</f>
        <v>2015</v>
      </c>
      <c r="C942" s="3">
        <f>MONTH(SalesData[[#This Row],[Order Date]])</f>
        <v>7</v>
      </c>
      <c r="D942" t="s">
        <v>55</v>
      </c>
      <c r="E942" t="s">
        <v>10</v>
      </c>
      <c r="F942" t="s">
        <v>15</v>
      </c>
      <c r="G942" t="s">
        <v>38</v>
      </c>
      <c r="H942" t="s">
        <v>39</v>
      </c>
      <c r="I942" s="2">
        <v>3245.29</v>
      </c>
      <c r="J942" s="3">
        <v>6</v>
      </c>
      <c r="K942" s="2">
        <v>56.11</v>
      </c>
    </row>
    <row r="943" spans="1:11" x14ac:dyDescent="0.25">
      <c r="A943" s="4">
        <v>42201</v>
      </c>
      <c r="B943" s="3">
        <f>YEAR(SalesData[[#This Row],[Order Date]])</f>
        <v>2015</v>
      </c>
      <c r="C943" s="3">
        <f>MONTH(SalesData[[#This Row],[Order Date]])</f>
        <v>7</v>
      </c>
      <c r="D943" t="s">
        <v>18</v>
      </c>
      <c r="E943" t="s">
        <v>19</v>
      </c>
      <c r="F943" t="s">
        <v>27</v>
      </c>
      <c r="G943" t="s">
        <v>28</v>
      </c>
      <c r="H943" t="s">
        <v>69</v>
      </c>
      <c r="I943" s="2">
        <v>4537.62</v>
      </c>
      <c r="J943" s="3">
        <v>6</v>
      </c>
      <c r="K943" s="2">
        <v>609.64</v>
      </c>
    </row>
    <row r="944" spans="1:11" x14ac:dyDescent="0.25">
      <c r="A944" s="4">
        <v>42202</v>
      </c>
      <c r="B944" s="3">
        <f>YEAR(SalesData[[#This Row],[Order Date]])</f>
        <v>2015</v>
      </c>
      <c r="C944" s="3">
        <f>MONTH(SalesData[[#This Row],[Order Date]])</f>
        <v>7</v>
      </c>
      <c r="D944" t="s">
        <v>9</v>
      </c>
      <c r="E944" t="s">
        <v>10</v>
      </c>
      <c r="F944" t="s">
        <v>11</v>
      </c>
      <c r="G944" t="s">
        <v>35</v>
      </c>
      <c r="H944" t="s">
        <v>36</v>
      </c>
      <c r="I944" s="2">
        <v>3524.76</v>
      </c>
      <c r="J944" s="3">
        <v>7</v>
      </c>
      <c r="K944" s="2">
        <v>457.04</v>
      </c>
    </row>
    <row r="945" spans="1:11" x14ac:dyDescent="0.25">
      <c r="A945" s="4">
        <v>42203</v>
      </c>
      <c r="B945" s="3">
        <f>YEAR(SalesData[[#This Row],[Order Date]])</f>
        <v>2015</v>
      </c>
      <c r="C945" s="3">
        <f>MONTH(SalesData[[#This Row],[Order Date]])</f>
        <v>7</v>
      </c>
      <c r="D945" t="s">
        <v>18</v>
      </c>
      <c r="E945" t="s">
        <v>26</v>
      </c>
      <c r="F945" t="s">
        <v>27</v>
      </c>
      <c r="G945" t="s">
        <v>48</v>
      </c>
      <c r="H945" t="s">
        <v>57</v>
      </c>
      <c r="I945" s="2">
        <v>796.28</v>
      </c>
      <c r="J945" s="3">
        <v>7</v>
      </c>
      <c r="K945" s="2">
        <v>66.28</v>
      </c>
    </row>
    <row r="946" spans="1:11" x14ac:dyDescent="0.25">
      <c r="A946" s="4">
        <v>42203</v>
      </c>
      <c r="B946" s="3">
        <f>YEAR(SalesData[[#This Row],[Order Date]])</f>
        <v>2015</v>
      </c>
      <c r="C946" s="3">
        <f>MONTH(SalesData[[#This Row],[Order Date]])</f>
        <v>7</v>
      </c>
      <c r="D946" t="s">
        <v>50</v>
      </c>
      <c r="E946" t="s">
        <v>10</v>
      </c>
      <c r="F946" t="s">
        <v>11</v>
      </c>
      <c r="G946" t="s">
        <v>21</v>
      </c>
      <c r="H946" t="s">
        <v>22</v>
      </c>
      <c r="I946" s="2">
        <v>177.55</v>
      </c>
      <c r="J946" s="3">
        <v>4</v>
      </c>
      <c r="K946" s="2">
        <v>7.33</v>
      </c>
    </row>
    <row r="947" spans="1:11" x14ac:dyDescent="0.25">
      <c r="A947" s="4">
        <v>42203</v>
      </c>
      <c r="B947" s="3">
        <f>YEAR(SalesData[[#This Row],[Order Date]])</f>
        <v>2015</v>
      </c>
      <c r="C947" s="3">
        <f>MONTH(SalesData[[#This Row],[Order Date]])</f>
        <v>7</v>
      </c>
      <c r="D947" t="s">
        <v>50</v>
      </c>
      <c r="E947" t="s">
        <v>40</v>
      </c>
      <c r="F947" t="s">
        <v>15</v>
      </c>
      <c r="G947" t="s">
        <v>41</v>
      </c>
      <c r="H947" t="s">
        <v>42</v>
      </c>
      <c r="I947" s="2">
        <v>802.97</v>
      </c>
      <c r="J947" s="3">
        <v>4</v>
      </c>
      <c r="K947" s="2">
        <v>149.31</v>
      </c>
    </row>
    <row r="948" spans="1:11" x14ac:dyDescent="0.25">
      <c r="A948" s="4">
        <v>42203</v>
      </c>
      <c r="B948" s="3">
        <f>YEAR(SalesData[[#This Row],[Order Date]])</f>
        <v>2015</v>
      </c>
      <c r="C948" s="3">
        <f>MONTH(SalesData[[#This Row],[Order Date]])</f>
        <v>7</v>
      </c>
      <c r="D948" t="s">
        <v>43</v>
      </c>
      <c r="E948" t="s">
        <v>44</v>
      </c>
      <c r="F948" t="s">
        <v>27</v>
      </c>
      <c r="G948" t="s">
        <v>32</v>
      </c>
      <c r="H948" t="s">
        <v>33</v>
      </c>
      <c r="I948" s="2">
        <v>4718.1099999999997</v>
      </c>
      <c r="J948" s="3">
        <v>3</v>
      </c>
      <c r="K948" s="2">
        <v>577.92999999999995</v>
      </c>
    </row>
    <row r="949" spans="1:11" x14ac:dyDescent="0.25">
      <c r="A949" s="4">
        <v>42204</v>
      </c>
      <c r="B949" s="3">
        <f>YEAR(SalesData[[#This Row],[Order Date]])</f>
        <v>2015</v>
      </c>
      <c r="C949" s="3">
        <f>MONTH(SalesData[[#This Row],[Order Date]])</f>
        <v>7</v>
      </c>
      <c r="D949" t="s">
        <v>23</v>
      </c>
      <c r="E949" t="s">
        <v>40</v>
      </c>
      <c r="F949" t="s">
        <v>15</v>
      </c>
      <c r="G949" t="s">
        <v>45</v>
      </c>
      <c r="H949" t="s">
        <v>46</v>
      </c>
      <c r="I949" s="2">
        <v>683.99</v>
      </c>
      <c r="J949" s="3">
        <v>9</v>
      </c>
      <c r="K949" s="2">
        <v>189.76</v>
      </c>
    </row>
    <row r="950" spans="1:11" x14ac:dyDescent="0.25">
      <c r="A950" s="4">
        <v>42205</v>
      </c>
      <c r="B950" s="3">
        <f>YEAR(SalesData[[#This Row],[Order Date]])</f>
        <v>2015</v>
      </c>
      <c r="C950" s="3">
        <f>MONTH(SalesData[[#This Row],[Order Date]])</f>
        <v>7</v>
      </c>
      <c r="D950" t="s">
        <v>50</v>
      </c>
      <c r="E950" t="s">
        <v>44</v>
      </c>
      <c r="F950" t="s">
        <v>11</v>
      </c>
      <c r="G950" t="s">
        <v>24</v>
      </c>
      <c r="H950" t="s">
        <v>25</v>
      </c>
      <c r="I950" s="2">
        <v>1106.93</v>
      </c>
      <c r="J950" s="3">
        <v>2</v>
      </c>
      <c r="K950" s="2">
        <v>6.49</v>
      </c>
    </row>
    <row r="951" spans="1:11" x14ac:dyDescent="0.25">
      <c r="A951" s="4">
        <v>42205</v>
      </c>
      <c r="B951" s="3">
        <f>YEAR(SalesData[[#This Row],[Order Date]])</f>
        <v>2015</v>
      </c>
      <c r="C951" s="3">
        <f>MONTH(SalesData[[#This Row],[Order Date]])</f>
        <v>7</v>
      </c>
      <c r="D951" t="s">
        <v>20</v>
      </c>
      <c r="E951" t="s">
        <v>52</v>
      </c>
      <c r="F951" t="s">
        <v>27</v>
      </c>
      <c r="G951" t="s">
        <v>32</v>
      </c>
      <c r="H951" t="s">
        <v>53</v>
      </c>
      <c r="I951" s="2">
        <v>4243.59</v>
      </c>
      <c r="J951" s="3">
        <v>7</v>
      </c>
      <c r="K951" s="2">
        <v>839.93</v>
      </c>
    </row>
    <row r="952" spans="1:11" x14ac:dyDescent="0.25">
      <c r="A952" s="4">
        <v>42205</v>
      </c>
      <c r="B952" s="3">
        <f>YEAR(SalesData[[#This Row],[Order Date]])</f>
        <v>2015</v>
      </c>
      <c r="C952" s="3">
        <f>MONTH(SalesData[[#This Row],[Order Date]])</f>
        <v>7</v>
      </c>
      <c r="D952" t="s">
        <v>9</v>
      </c>
      <c r="E952" t="s">
        <v>10</v>
      </c>
      <c r="F952" t="s">
        <v>15</v>
      </c>
      <c r="G952" t="s">
        <v>63</v>
      </c>
      <c r="H952" t="s">
        <v>66</v>
      </c>
      <c r="I952" s="2">
        <v>3945.5</v>
      </c>
      <c r="J952" s="3">
        <v>2</v>
      </c>
      <c r="K952" s="2">
        <v>1135.8399999999999</v>
      </c>
    </row>
    <row r="953" spans="1:11" x14ac:dyDescent="0.25">
      <c r="A953" s="4">
        <v>42206</v>
      </c>
      <c r="B953" s="3">
        <f>YEAR(SalesData[[#This Row],[Order Date]])</f>
        <v>2015</v>
      </c>
      <c r="C953" s="3">
        <f>MONTH(SalesData[[#This Row],[Order Date]])</f>
        <v>7</v>
      </c>
      <c r="D953" t="s">
        <v>9</v>
      </c>
      <c r="E953" t="s">
        <v>10</v>
      </c>
      <c r="F953" t="s">
        <v>15</v>
      </c>
      <c r="G953" t="s">
        <v>63</v>
      </c>
      <c r="H953" t="s">
        <v>64</v>
      </c>
      <c r="I953" s="2">
        <v>3729.78</v>
      </c>
      <c r="J953" s="3">
        <v>9</v>
      </c>
      <c r="K953" s="2">
        <v>704.65</v>
      </c>
    </row>
    <row r="954" spans="1:11" x14ac:dyDescent="0.25">
      <c r="A954" s="4">
        <v>42207</v>
      </c>
      <c r="B954" s="3">
        <f>YEAR(SalesData[[#This Row],[Order Date]])</f>
        <v>2015</v>
      </c>
      <c r="C954" s="3">
        <f>MONTH(SalesData[[#This Row],[Order Date]])</f>
        <v>7</v>
      </c>
      <c r="D954" t="s">
        <v>62</v>
      </c>
      <c r="E954" t="s">
        <v>31</v>
      </c>
      <c r="F954" t="s">
        <v>15</v>
      </c>
      <c r="G954" t="s">
        <v>41</v>
      </c>
      <c r="H954" t="s">
        <v>61</v>
      </c>
      <c r="I954" s="2">
        <v>293.20999999999998</v>
      </c>
      <c r="J954" s="3">
        <v>3</v>
      </c>
      <c r="K954" s="2">
        <v>14.98</v>
      </c>
    </row>
    <row r="955" spans="1:11" x14ac:dyDescent="0.25">
      <c r="A955" s="4">
        <v>42207</v>
      </c>
      <c r="B955" s="3">
        <f>YEAR(SalesData[[#This Row],[Order Date]])</f>
        <v>2015</v>
      </c>
      <c r="C955" s="3">
        <f>MONTH(SalesData[[#This Row],[Order Date]])</f>
        <v>7</v>
      </c>
      <c r="D955" t="s">
        <v>18</v>
      </c>
      <c r="E955" t="s">
        <v>37</v>
      </c>
      <c r="F955" t="s">
        <v>15</v>
      </c>
      <c r="G955" t="s">
        <v>45</v>
      </c>
      <c r="H955" t="s">
        <v>46</v>
      </c>
      <c r="I955" s="2">
        <v>2843.75</v>
      </c>
      <c r="J955" s="3">
        <v>6</v>
      </c>
      <c r="K955" s="2">
        <v>551.58000000000004</v>
      </c>
    </row>
    <row r="956" spans="1:11" x14ac:dyDescent="0.25">
      <c r="A956" s="4">
        <v>42207</v>
      </c>
      <c r="B956" s="3">
        <f>YEAR(SalesData[[#This Row],[Order Date]])</f>
        <v>2015</v>
      </c>
      <c r="C956" s="3">
        <f>MONTH(SalesData[[#This Row],[Order Date]])</f>
        <v>7</v>
      </c>
      <c r="D956" t="s">
        <v>68</v>
      </c>
      <c r="E956" t="s">
        <v>60</v>
      </c>
      <c r="F956" t="s">
        <v>27</v>
      </c>
      <c r="G956" t="s">
        <v>32</v>
      </c>
      <c r="H956" t="s">
        <v>33</v>
      </c>
      <c r="I956" s="2">
        <v>2684.22</v>
      </c>
      <c r="J956" s="3">
        <v>3</v>
      </c>
      <c r="K956" s="2">
        <v>659.35</v>
      </c>
    </row>
    <row r="957" spans="1:11" x14ac:dyDescent="0.25">
      <c r="A957" s="4">
        <v>42209</v>
      </c>
      <c r="B957" s="3">
        <f>YEAR(SalesData[[#This Row],[Order Date]])</f>
        <v>2015</v>
      </c>
      <c r="C957" s="3">
        <f>MONTH(SalesData[[#This Row],[Order Date]])</f>
        <v>7</v>
      </c>
      <c r="D957" t="s">
        <v>62</v>
      </c>
      <c r="E957" t="s">
        <v>37</v>
      </c>
      <c r="F957" t="s">
        <v>15</v>
      </c>
      <c r="G957" t="s">
        <v>41</v>
      </c>
      <c r="H957" t="s">
        <v>61</v>
      </c>
      <c r="I957" s="2">
        <v>2528.5500000000002</v>
      </c>
      <c r="J957" s="3">
        <v>4</v>
      </c>
      <c r="K957" s="2">
        <v>118.1</v>
      </c>
    </row>
    <row r="958" spans="1:11" x14ac:dyDescent="0.25">
      <c r="A958" s="4">
        <v>42209</v>
      </c>
      <c r="B958" s="3">
        <f>YEAR(SalesData[[#This Row],[Order Date]])</f>
        <v>2015</v>
      </c>
      <c r="C958" s="3">
        <f>MONTH(SalesData[[#This Row],[Order Date]])</f>
        <v>7</v>
      </c>
      <c r="D958" t="s">
        <v>50</v>
      </c>
      <c r="E958" t="s">
        <v>44</v>
      </c>
      <c r="F958" t="s">
        <v>11</v>
      </c>
      <c r="G958" t="s">
        <v>24</v>
      </c>
      <c r="H958" t="s">
        <v>25</v>
      </c>
      <c r="I958" s="2">
        <v>2712.95</v>
      </c>
      <c r="J958" s="3">
        <v>5</v>
      </c>
      <c r="K958" s="2">
        <v>195.84</v>
      </c>
    </row>
    <row r="959" spans="1:11" x14ac:dyDescent="0.25">
      <c r="A959" s="4">
        <v>42210</v>
      </c>
      <c r="B959" s="3">
        <f>YEAR(SalesData[[#This Row],[Order Date]])</f>
        <v>2015</v>
      </c>
      <c r="C959" s="3">
        <f>MONTH(SalesData[[#This Row],[Order Date]])</f>
        <v>7</v>
      </c>
      <c r="D959" t="s">
        <v>9</v>
      </c>
      <c r="E959" t="s">
        <v>19</v>
      </c>
      <c r="F959" t="s">
        <v>15</v>
      </c>
      <c r="G959" t="s">
        <v>41</v>
      </c>
      <c r="H959" t="s">
        <v>42</v>
      </c>
      <c r="I959" s="2">
        <v>3440.87</v>
      </c>
      <c r="J959" s="3">
        <v>3</v>
      </c>
      <c r="K959" s="2">
        <v>895.92</v>
      </c>
    </row>
    <row r="960" spans="1:11" x14ac:dyDescent="0.25">
      <c r="A960" s="4">
        <v>42210</v>
      </c>
      <c r="B960" s="3">
        <f>YEAR(SalesData[[#This Row],[Order Date]])</f>
        <v>2015</v>
      </c>
      <c r="C960" s="3">
        <f>MONTH(SalesData[[#This Row],[Order Date]])</f>
        <v>7</v>
      </c>
      <c r="D960" t="s">
        <v>68</v>
      </c>
      <c r="E960" t="s">
        <v>44</v>
      </c>
      <c r="F960" t="s">
        <v>15</v>
      </c>
      <c r="G960" t="s">
        <v>16</v>
      </c>
      <c r="H960" t="s">
        <v>17</v>
      </c>
      <c r="I960" s="2">
        <v>4149.1899999999996</v>
      </c>
      <c r="J960" s="3">
        <v>6</v>
      </c>
      <c r="K960" s="2">
        <v>1056.51</v>
      </c>
    </row>
    <row r="961" spans="1:11" x14ac:dyDescent="0.25">
      <c r="A961" s="4">
        <v>42210</v>
      </c>
      <c r="B961" s="3">
        <f>YEAR(SalesData[[#This Row],[Order Date]])</f>
        <v>2015</v>
      </c>
      <c r="C961" s="3">
        <f>MONTH(SalesData[[#This Row],[Order Date]])</f>
        <v>7</v>
      </c>
      <c r="D961" t="s">
        <v>62</v>
      </c>
      <c r="E961" t="s">
        <v>26</v>
      </c>
      <c r="F961" t="s">
        <v>27</v>
      </c>
      <c r="G961" t="s">
        <v>48</v>
      </c>
      <c r="H961" t="s">
        <v>49</v>
      </c>
      <c r="I961" s="2">
        <v>1722.73</v>
      </c>
      <c r="J961" s="3">
        <v>9</v>
      </c>
      <c r="K961" s="2">
        <v>380.73</v>
      </c>
    </row>
    <row r="962" spans="1:11" x14ac:dyDescent="0.25">
      <c r="A962" s="4">
        <v>42211</v>
      </c>
      <c r="B962" s="3">
        <f>YEAR(SalesData[[#This Row],[Order Date]])</f>
        <v>2015</v>
      </c>
      <c r="C962" s="3">
        <f>MONTH(SalesData[[#This Row],[Order Date]])</f>
        <v>7</v>
      </c>
      <c r="D962" t="s">
        <v>14</v>
      </c>
      <c r="E962" t="s">
        <v>44</v>
      </c>
      <c r="F962" t="s">
        <v>15</v>
      </c>
      <c r="G962" t="s">
        <v>63</v>
      </c>
      <c r="H962" t="s">
        <v>66</v>
      </c>
      <c r="I962" s="2">
        <v>3339.73</v>
      </c>
      <c r="J962" s="3">
        <v>1</v>
      </c>
      <c r="K962" s="2">
        <v>655.34</v>
      </c>
    </row>
    <row r="963" spans="1:11" x14ac:dyDescent="0.25">
      <c r="A963" s="4">
        <v>42211</v>
      </c>
      <c r="B963" s="3">
        <f>YEAR(SalesData[[#This Row],[Order Date]])</f>
        <v>2015</v>
      </c>
      <c r="C963" s="3">
        <f>MONTH(SalesData[[#This Row],[Order Date]])</f>
        <v>7</v>
      </c>
      <c r="D963" t="s">
        <v>50</v>
      </c>
      <c r="E963" t="s">
        <v>60</v>
      </c>
      <c r="F963" t="s">
        <v>27</v>
      </c>
      <c r="G963" t="s">
        <v>32</v>
      </c>
      <c r="H963" t="s">
        <v>33</v>
      </c>
      <c r="I963" s="2">
        <v>343.14</v>
      </c>
      <c r="J963" s="3">
        <v>1</v>
      </c>
      <c r="K963" s="2">
        <v>92.56</v>
      </c>
    </row>
    <row r="964" spans="1:11" x14ac:dyDescent="0.25">
      <c r="A964" s="4">
        <v>42212</v>
      </c>
      <c r="B964" s="3">
        <f>YEAR(SalesData[[#This Row],[Order Date]])</f>
        <v>2015</v>
      </c>
      <c r="C964" s="3">
        <f>MONTH(SalesData[[#This Row],[Order Date]])</f>
        <v>7</v>
      </c>
      <c r="D964" t="s">
        <v>47</v>
      </c>
      <c r="E964" t="s">
        <v>52</v>
      </c>
      <c r="F964" t="s">
        <v>15</v>
      </c>
      <c r="G964" t="s">
        <v>38</v>
      </c>
      <c r="H964" t="s">
        <v>56</v>
      </c>
      <c r="I964" s="2">
        <v>1356.08</v>
      </c>
      <c r="J964" s="3">
        <v>9</v>
      </c>
      <c r="K964" s="2">
        <v>28.88</v>
      </c>
    </row>
    <row r="965" spans="1:11" x14ac:dyDescent="0.25">
      <c r="A965" s="4">
        <v>42214</v>
      </c>
      <c r="B965" s="3">
        <f>YEAR(SalesData[[#This Row],[Order Date]])</f>
        <v>2015</v>
      </c>
      <c r="C965" s="3">
        <f>MONTH(SalesData[[#This Row],[Order Date]])</f>
        <v>7</v>
      </c>
      <c r="D965" t="s">
        <v>55</v>
      </c>
      <c r="E965" t="s">
        <v>26</v>
      </c>
      <c r="F965" t="s">
        <v>15</v>
      </c>
      <c r="G965" t="s">
        <v>38</v>
      </c>
      <c r="H965" t="s">
        <v>56</v>
      </c>
      <c r="I965" s="2">
        <v>2979.37</v>
      </c>
      <c r="J965" s="3">
        <v>10</v>
      </c>
      <c r="K965" s="2">
        <v>418.82</v>
      </c>
    </row>
    <row r="966" spans="1:11" x14ac:dyDescent="0.25">
      <c r="A966" s="4">
        <v>42215</v>
      </c>
      <c r="B966" s="3">
        <f>YEAR(SalesData[[#This Row],[Order Date]])</f>
        <v>2015</v>
      </c>
      <c r="C966" s="3">
        <f>MONTH(SalesData[[#This Row],[Order Date]])</f>
        <v>7</v>
      </c>
      <c r="D966" t="s">
        <v>23</v>
      </c>
      <c r="E966" t="s">
        <v>52</v>
      </c>
      <c r="F966" t="s">
        <v>27</v>
      </c>
      <c r="G966" t="s">
        <v>48</v>
      </c>
      <c r="H966" t="s">
        <v>57</v>
      </c>
      <c r="I966" s="2">
        <v>4330.1899999999996</v>
      </c>
      <c r="J966" s="3">
        <v>1</v>
      </c>
      <c r="K966" s="2">
        <v>887.4</v>
      </c>
    </row>
    <row r="967" spans="1:11" x14ac:dyDescent="0.25">
      <c r="A967" s="4">
        <v>42216</v>
      </c>
      <c r="B967" s="3">
        <f>YEAR(SalesData[[#This Row],[Order Date]])</f>
        <v>2015</v>
      </c>
      <c r="C967" s="3">
        <f>MONTH(SalesData[[#This Row],[Order Date]])</f>
        <v>7</v>
      </c>
      <c r="D967" t="s">
        <v>20</v>
      </c>
      <c r="E967" t="s">
        <v>10</v>
      </c>
      <c r="F967" t="s">
        <v>15</v>
      </c>
      <c r="G967" t="s">
        <v>38</v>
      </c>
      <c r="H967" t="s">
        <v>56</v>
      </c>
      <c r="I967" s="2">
        <v>3824.11</v>
      </c>
      <c r="J967" s="3">
        <v>7</v>
      </c>
      <c r="K967" s="2">
        <v>518.19000000000005</v>
      </c>
    </row>
    <row r="968" spans="1:11" x14ac:dyDescent="0.25">
      <c r="A968" s="4">
        <v>42216</v>
      </c>
      <c r="B968" s="3">
        <f>YEAR(SalesData[[#This Row],[Order Date]])</f>
        <v>2015</v>
      </c>
      <c r="C968" s="3">
        <f>MONTH(SalesData[[#This Row],[Order Date]])</f>
        <v>7</v>
      </c>
      <c r="D968" t="s">
        <v>50</v>
      </c>
      <c r="E968" t="s">
        <v>52</v>
      </c>
      <c r="F968" t="s">
        <v>15</v>
      </c>
      <c r="G968" t="s">
        <v>63</v>
      </c>
      <c r="H968" t="s">
        <v>66</v>
      </c>
      <c r="I968" s="2">
        <v>3937.17</v>
      </c>
      <c r="J968" s="3">
        <v>4</v>
      </c>
      <c r="K968" s="2">
        <v>239.18</v>
      </c>
    </row>
    <row r="969" spans="1:11" x14ac:dyDescent="0.25">
      <c r="A969" s="4">
        <v>42217</v>
      </c>
      <c r="B969" s="3">
        <f>YEAR(SalesData[[#This Row],[Order Date]])</f>
        <v>2015</v>
      </c>
      <c r="C969" s="3">
        <f>MONTH(SalesData[[#This Row],[Order Date]])</f>
        <v>8</v>
      </c>
      <c r="D969" t="s">
        <v>55</v>
      </c>
      <c r="E969" t="s">
        <v>40</v>
      </c>
      <c r="F969" t="s">
        <v>27</v>
      </c>
      <c r="G969" t="s">
        <v>48</v>
      </c>
      <c r="H969" t="s">
        <v>49</v>
      </c>
      <c r="I969" s="2">
        <v>2347.4499999999998</v>
      </c>
      <c r="J969" s="3">
        <v>1</v>
      </c>
      <c r="K969" s="2">
        <v>22.48</v>
      </c>
    </row>
    <row r="970" spans="1:11" x14ac:dyDescent="0.25">
      <c r="A970" s="4">
        <v>42218</v>
      </c>
      <c r="B970" s="3">
        <f>YEAR(SalesData[[#This Row],[Order Date]])</f>
        <v>2015</v>
      </c>
      <c r="C970" s="3">
        <f>MONTH(SalesData[[#This Row],[Order Date]])</f>
        <v>8</v>
      </c>
      <c r="D970" t="s">
        <v>68</v>
      </c>
      <c r="E970" t="s">
        <v>60</v>
      </c>
      <c r="F970" t="s">
        <v>27</v>
      </c>
      <c r="G970" t="s">
        <v>48</v>
      </c>
      <c r="H970" t="s">
        <v>57</v>
      </c>
      <c r="I970" s="2">
        <v>1734.97</v>
      </c>
      <c r="J970" s="3">
        <v>1</v>
      </c>
      <c r="K970" s="2">
        <v>312.92</v>
      </c>
    </row>
    <row r="971" spans="1:11" x14ac:dyDescent="0.25">
      <c r="A971" s="4">
        <v>42218</v>
      </c>
      <c r="B971" s="3">
        <f>YEAR(SalesData[[#This Row],[Order Date]])</f>
        <v>2015</v>
      </c>
      <c r="C971" s="3">
        <f>MONTH(SalesData[[#This Row],[Order Date]])</f>
        <v>8</v>
      </c>
      <c r="D971" t="s">
        <v>43</v>
      </c>
      <c r="E971" t="s">
        <v>19</v>
      </c>
      <c r="F971" t="s">
        <v>15</v>
      </c>
      <c r="G971" t="s">
        <v>41</v>
      </c>
      <c r="H971" t="s">
        <v>42</v>
      </c>
      <c r="I971" s="2">
        <v>1438.72</v>
      </c>
      <c r="J971" s="3">
        <v>7</v>
      </c>
      <c r="K971" s="2">
        <v>135.63999999999999</v>
      </c>
    </row>
    <row r="972" spans="1:11" x14ac:dyDescent="0.25">
      <c r="A972" s="4">
        <v>42219</v>
      </c>
      <c r="B972" s="3">
        <f>YEAR(SalesData[[#This Row],[Order Date]])</f>
        <v>2015</v>
      </c>
      <c r="C972" s="3">
        <f>MONTH(SalesData[[#This Row],[Order Date]])</f>
        <v>8</v>
      </c>
      <c r="D972" t="s">
        <v>55</v>
      </c>
      <c r="E972" t="s">
        <v>31</v>
      </c>
      <c r="F972" t="s">
        <v>15</v>
      </c>
      <c r="G972" t="s">
        <v>41</v>
      </c>
      <c r="H972" t="s">
        <v>61</v>
      </c>
      <c r="I972" s="2">
        <v>1504.11</v>
      </c>
      <c r="J972" s="3">
        <v>5</v>
      </c>
      <c r="K972" s="2">
        <v>210.71</v>
      </c>
    </row>
    <row r="973" spans="1:11" x14ac:dyDescent="0.25">
      <c r="A973" s="4">
        <v>42220</v>
      </c>
      <c r="B973" s="3">
        <f>YEAR(SalesData[[#This Row],[Order Date]])</f>
        <v>2015</v>
      </c>
      <c r="C973" s="3">
        <f>MONTH(SalesData[[#This Row],[Order Date]])</f>
        <v>8</v>
      </c>
      <c r="D973" t="s">
        <v>68</v>
      </c>
      <c r="E973" t="s">
        <v>60</v>
      </c>
      <c r="F973" t="s">
        <v>27</v>
      </c>
      <c r="G973" t="s">
        <v>32</v>
      </c>
      <c r="H973" t="s">
        <v>33</v>
      </c>
      <c r="I973" s="2">
        <v>1634.73</v>
      </c>
      <c r="J973" s="3">
        <v>3</v>
      </c>
      <c r="K973" s="2">
        <v>22.07</v>
      </c>
    </row>
    <row r="974" spans="1:11" x14ac:dyDescent="0.25">
      <c r="A974" s="4">
        <v>42220</v>
      </c>
      <c r="B974" s="3">
        <f>YEAR(SalesData[[#This Row],[Order Date]])</f>
        <v>2015</v>
      </c>
      <c r="C974" s="3">
        <f>MONTH(SalesData[[#This Row],[Order Date]])</f>
        <v>8</v>
      </c>
      <c r="D974" t="s">
        <v>43</v>
      </c>
      <c r="E974" t="s">
        <v>26</v>
      </c>
      <c r="F974" t="s">
        <v>11</v>
      </c>
      <c r="G974" t="s">
        <v>35</v>
      </c>
      <c r="H974" t="s">
        <v>36</v>
      </c>
      <c r="I974" s="2">
        <v>4705.93</v>
      </c>
      <c r="J974" s="3">
        <v>10</v>
      </c>
      <c r="K974" s="2">
        <v>64.290000000000006</v>
      </c>
    </row>
    <row r="975" spans="1:11" x14ac:dyDescent="0.25">
      <c r="A975" s="4">
        <v>42221</v>
      </c>
      <c r="B975" s="3">
        <f>YEAR(SalesData[[#This Row],[Order Date]])</f>
        <v>2015</v>
      </c>
      <c r="C975" s="3">
        <f>MONTH(SalesData[[#This Row],[Order Date]])</f>
        <v>8</v>
      </c>
      <c r="D975" t="s">
        <v>62</v>
      </c>
      <c r="E975" t="s">
        <v>44</v>
      </c>
      <c r="F975" t="s">
        <v>27</v>
      </c>
      <c r="G975" t="s">
        <v>32</v>
      </c>
      <c r="H975" t="s">
        <v>53</v>
      </c>
      <c r="I975" s="2">
        <v>2848.81</v>
      </c>
      <c r="J975" s="3">
        <v>9</v>
      </c>
      <c r="K975" s="2">
        <v>677.47</v>
      </c>
    </row>
    <row r="976" spans="1:11" x14ac:dyDescent="0.25">
      <c r="A976" s="4">
        <v>42222</v>
      </c>
      <c r="B976" s="3">
        <f>YEAR(SalesData[[#This Row],[Order Date]])</f>
        <v>2015</v>
      </c>
      <c r="C976" s="3">
        <f>MONTH(SalesData[[#This Row],[Order Date]])</f>
        <v>8</v>
      </c>
      <c r="D976" t="s">
        <v>55</v>
      </c>
      <c r="E976" t="s">
        <v>37</v>
      </c>
      <c r="F976" t="s">
        <v>15</v>
      </c>
      <c r="G976" t="s">
        <v>45</v>
      </c>
      <c r="H976" t="s">
        <v>46</v>
      </c>
      <c r="I976" s="2">
        <v>2526.0300000000002</v>
      </c>
      <c r="J976" s="3">
        <v>9</v>
      </c>
      <c r="K976" s="2">
        <v>601.73</v>
      </c>
    </row>
    <row r="977" spans="1:11" x14ac:dyDescent="0.25">
      <c r="A977" s="4">
        <v>42222</v>
      </c>
      <c r="B977" s="3">
        <f>YEAR(SalesData[[#This Row],[Order Date]])</f>
        <v>2015</v>
      </c>
      <c r="C977" s="3">
        <f>MONTH(SalesData[[#This Row],[Order Date]])</f>
        <v>8</v>
      </c>
      <c r="D977" t="s">
        <v>9</v>
      </c>
      <c r="E977" t="s">
        <v>37</v>
      </c>
      <c r="F977" t="s">
        <v>11</v>
      </c>
      <c r="G977" t="s">
        <v>24</v>
      </c>
      <c r="H977" t="s">
        <v>54</v>
      </c>
      <c r="I977" s="2">
        <v>4475.3500000000004</v>
      </c>
      <c r="J977" s="3">
        <v>9</v>
      </c>
      <c r="K977" s="2">
        <v>198.59</v>
      </c>
    </row>
    <row r="978" spans="1:11" x14ac:dyDescent="0.25">
      <c r="A978" s="4">
        <v>42223</v>
      </c>
      <c r="B978" s="3">
        <f>YEAR(SalesData[[#This Row],[Order Date]])</f>
        <v>2015</v>
      </c>
      <c r="C978" s="3">
        <f>MONTH(SalesData[[#This Row],[Order Date]])</f>
        <v>8</v>
      </c>
      <c r="D978" t="s">
        <v>20</v>
      </c>
      <c r="E978" t="s">
        <v>37</v>
      </c>
      <c r="F978" t="s">
        <v>27</v>
      </c>
      <c r="G978" t="s">
        <v>28</v>
      </c>
      <c r="H978" t="s">
        <v>29</v>
      </c>
      <c r="I978" s="2">
        <v>2246.06</v>
      </c>
      <c r="J978" s="3">
        <v>6</v>
      </c>
      <c r="K978" s="2">
        <v>150.84</v>
      </c>
    </row>
    <row r="979" spans="1:11" x14ac:dyDescent="0.25">
      <c r="A979" s="4">
        <v>42223</v>
      </c>
      <c r="B979" s="3">
        <f>YEAR(SalesData[[#This Row],[Order Date]])</f>
        <v>2015</v>
      </c>
      <c r="C979" s="3">
        <f>MONTH(SalesData[[#This Row],[Order Date]])</f>
        <v>8</v>
      </c>
      <c r="D979" t="s">
        <v>62</v>
      </c>
      <c r="E979" t="s">
        <v>34</v>
      </c>
      <c r="F979" t="s">
        <v>11</v>
      </c>
      <c r="G979" t="s">
        <v>35</v>
      </c>
      <c r="H979" t="s">
        <v>36</v>
      </c>
      <c r="I979" s="2">
        <v>151.66999999999999</v>
      </c>
      <c r="J979" s="3">
        <v>3</v>
      </c>
      <c r="K979" s="2">
        <v>38.119999999999997</v>
      </c>
    </row>
    <row r="980" spans="1:11" x14ac:dyDescent="0.25">
      <c r="A980" s="4">
        <v>42223</v>
      </c>
      <c r="B980" s="3">
        <f>YEAR(SalesData[[#This Row],[Order Date]])</f>
        <v>2015</v>
      </c>
      <c r="C980" s="3">
        <f>MONTH(SalesData[[#This Row],[Order Date]])</f>
        <v>8</v>
      </c>
      <c r="D980" t="s">
        <v>20</v>
      </c>
      <c r="E980" t="s">
        <v>37</v>
      </c>
      <c r="F980" t="s">
        <v>15</v>
      </c>
      <c r="G980" t="s">
        <v>16</v>
      </c>
      <c r="H980" t="s">
        <v>17</v>
      </c>
      <c r="I980" s="2">
        <v>288.20999999999998</v>
      </c>
      <c r="J980" s="3">
        <v>9</v>
      </c>
      <c r="K980" s="2">
        <v>28.16</v>
      </c>
    </row>
    <row r="981" spans="1:11" x14ac:dyDescent="0.25">
      <c r="A981" s="4">
        <v>42223</v>
      </c>
      <c r="B981" s="3">
        <f>YEAR(SalesData[[#This Row],[Order Date]])</f>
        <v>2015</v>
      </c>
      <c r="C981" s="3">
        <f>MONTH(SalesData[[#This Row],[Order Date]])</f>
        <v>8</v>
      </c>
      <c r="D981" t="s">
        <v>62</v>
      </c>
      <c r="E981" t="s">
        <v>44</v>
      </c>
      <c r="F981" t="s">
        <v>27</v>
      </c>
      <c r="G981" t="s">
        <v>32</v>
      </c>
      <c r="H981" t="s">
        <v>53</v>
      </c>
      <c r="I981" s="2">
        <v>3130.32</v>
      </c>
      <c r="J981" s="3">
        <v>7</v>
      </c>
      <c r="K981" s="2">
        <v>767.21</v>
      </c>
    </row>
    <row r="982" spans="1:11" x14ac:dyDescent="0.25">
      <c r="A982" s="4">
        <v>42224</v>
      </c>
      <c r="B982" s="3">
        <f>YEAR(SalesData[[#This Row],[Order Date]])</f>
        <v>2015</v>
      </c>
      <c r="C982" s="3">
        <f>MONTH(SalesData[[#This Row],[Order Date]])</f>
        <v>8</v>
      </c>
      <c r="D982" t="s">
        <v>43</v>
      </c>
      <c r="E982" t="s">
        <v>40</v>
      </c>
      <c r="F982" t="s">
        <v>27</v>
      </c>
      <c r="G982" t="s">
        <v>28</v>
      </c>
      <c r="H982" t="s">
        <v>58</v>
      </c>
      <c r="I982" s="2">
        <v>3110.97</v>
      </c>
      <c r="J982" s="3">
        <v>1</v>
      </c>
      <c r="K982" s="2">
        <v>886.36</v>
      </c>
    </row>
    <row r="983" spans="1:11" x14ac:dyDescent="0.25">
      <c r="A983" s="4">
        <v>42226</v>
      </c>
      <c r="B983" s="3">
        <f>YEAR(SalesData[[#This Row],[Order Date]])</f>
        <v>2015</v>
      </c>
      <c r="C983" s="3">
        <f>MONTH(SalesData[[#This Row],[Order Date]])</f>
        <v>8</v>
      </c>
      <c r="D983" t="s">
        <v>30</v>
      </c>
      <c r="E983" t="s">
        <v>10</v>
      </c>
      <c r="F983" t="s">
        <v>11</v>
      </c>
      <c r="G983" t="s">
        <v>24</v>
      </c>
      <c r="H983" t="s">
        <v>54</v>
      </c>
      <c r="I983" s="2">
        <v>2754.44</v>
      </c>
      <c r="J983" s="3">
        <v>10</v>
      </c>
      <c r="K983" s="2">
        <v>151.26</v>
      </c>
    </row>
    <row r="984" spans="1:11" x14ac:dyDescent="0.25">
      <c r="A984" s="4">
        <v>42228</v>
      </c>
      <c r="B984" s="3">
        <f>YEAR(SalesData[[#This Row],[Order Date]])</f>
        <v>2015</v>
      </c>
      <c r="C984" s="3">
        <f>MONTH(SalesData[[#This Row],[Order Date]])</f>
        <v>8</v>
      </c>
      <c r="D984" t="s">
        <v>55</v>
      </c>
      <c r="E984" t="s">
        <v>40</v>
      </c>
      <c r="F984" t="s">
        <v>11</v>
      </c>
      <c r="G984" t="s">
        <v>12</v>
      </c>
      <c r="H984" t="s">
        <v>65</v>
      </c>
      <c r="I984" s="2">
        <v>938.31</v>
      </c>
      <c r="J984" s="3">
        <v>10</v>
      </c>
      <c r="K984" s="2">
        <v>202.3</v>
      </c>
    </row>
    <row r="985" spans="1:11" x14ac:dyDescent="0.25">
      <c r="A985" s="4">
        <v>42229</v>
      </c>
      <c r="B985" s="3">
        <f>YEAR(SalesData[[#This Row],[Order Date]])</f>
        <v>2015</v>
      </c>
      <c r="C985" s="3">
        <f>MONTH(SalesData[[#This Row],[Order Date]])</f>
        <v>8</v>
      </c>
      <c r="D985" t="s">
        <v>23</v>
      </c>
      <c r="E985" t="s">
        <v>26</v>
      </c>
      <c r="F985" t="s">
        <v>15</v>
      </c>
      <c r="G985" t="s">
        <v>16</v>
      </c>
      <c r="H985" t="s">
        <v>17</v>
      </c>
      <c r="I985" s="2">
        <v>3940.56</v>
      </c>
      <c r="J985" s="3">
        <v>9</v>
      </c>
      <c r="K985" s="2">
        <v>336.84</v>
      </c>
    </row>
    <row r="986" spans="1:11" x14ac:dyDescent="0.25">
      <c r="A986" s="4">
        <v>42229</v>
      </c>
      <c r="B986" s="3">
        <f>YEAR(SalesData[[#This Row],[Order Date]])</f>
        <v>2015</v>
      </c>
      <c r="C986" s="3">
        <f>MONTH(SalesData[[#This Row],[Order Date]])</f>
        <v>8</v>
      </c>
      <c r="D986" t="s">
        <v>9</v>
      </c>
      <c r="E986" t="s">
        <v>10</v>
      </c>
      <c r="F986" t="s">
        <v>11</v>
      </c>
      <c r="G986" t="s">
        <v>24</v>
      </c>
      <c r="H986" t="s">
        <v>54</v>
      </c>
      <c r="I986" s="2">
        <v>3400.28</v>
      </c>
      <c r="J986" s="3">
        <v>7</v>
      </c>
      <c r="K986" s="2">
        <v>484.96</v>
      </c>
    </row>
    <row r="987" spans="1:11" x14ac:dyDescent="0.25">
      <c r="A987" s="4">
        <v>42230</v>
      </c>
      <c r="B987" s="3">
        <f>YEAR(SalesData[[#This Row],[Order Date]])</f>
        <v>2015</v>
      </c>
      <c r="C987" s="3">
        <f>MONTH(SalesData[[#This Row],[Order Date]])</f>
        <v>8</v>
      </c>
      <c r="D987" t="s">
        <v>20</v>
      </c>
      <c r="E987" t="s">
        <v>40</v>
      </c>
      <c r="F987" t="s">
        <v>11</v>
      </c>
      <c r="G987" t="s">
        <v>12</v>
      </c>
      <c r="H987" t="s">
        <v>65</v>
      </c>
      <c r="I987" s="2">
        <v>2919.81</v>
      </c>
      <c r="J987" s="3">
        <v>5</v>
      </c>
      <c r="K987" s="2">
        <v>111.76</v>
      </c>
    </row>
    <row r="988" spans="1:11" x14ac:dyDescent="0.25">
      <c r="A988" s="4">
        <v>42230</v>
      </c>
      <c r="B988" s="3">
        <f>YEAR(SalesData[[#This Row],[Order Date]])</f>
        <v>2015</v>
      </c>
      <c r="C988" s="3">
        <f>MONTH(SalesData[[#This Row],[Order Date]])</f>
        <v>8</v>
      </c>
      <c r="D988" t="s">
        <v>20</v>
      </c>
      <c r="E988" t="s">
        <v>37</v>
      </c>
      <c r="F988" t="s">
        <v>11</v>
      </c>
      <c r="G988" t="s">
        <v>35</v>
      </c>
      <c r="H988" t="s">
        <v>36</v>
      </c>
      <c r="I988" s="2">
        <v>545.47</v>
      </c>
      <c r="J988" s="3">
        <v>2</v>
      </c>
      <c r="K988" s="2">
        <v>19.329999999999998</v>
      </c>
    </row>
    <row r="989" spans="1:11" x14ac:dyDescent="0.25">
      <c r="A989" s="4">
        <v>42231</v>
      </c>
      <c r="B989" s="3">
        <f>YEAR(SalesData[[#This Row],[Order Date]])</f>
        <v>2015</v>
      </c>
      <c r="C989" s="3">
        <f>MONTH(SalesData[[#This Row],[Order Date]])</f>
        <v>8</v>
      </c>
      <c r="D989" t="s">
        <v>30</v>
      </c>
      <c r="E989" t="s">
        <v>26</v>
      </c>
      <c r="F989" t="s">
        <v>27</v>
      </c>
      <c r="G989" t="s">
        <v>48</v>
      </c>
      <c r="H989" t="s">
        <v>57</v>
      </c>
      <c r="I989" s="2">
        <v>2965.03</v>
      </c>
      <c r="J989" s="3">
        <v>8</v>
      </c>
      <c r="K989" s="2">
        <v>830.16</v>
      </c>
    </row>
    <row r="990" spans="1:11" x14ac:dyDescent="0.25">
      <c r="A990" s="4">
        <v>42231</v>
      </c>
      <c r="B990" s="3">
        <f>YEAR(SalesData[[#This Row],[Order Date]])</f>
        <v>2015</v>
      </c>
      <c r="C990" s="3">
        <f>MONTH(SalesData[[#This Row],[Order Date]])</f>
        <v>8</v>
      </c>
      <c r="D990" t="s">
        <v>30</v>
      </c>
      <c r="E990" t="s">
        <v>10</v>
      </c>
      <c r="F990" t="s">
        <v>27</v>
      </c>
      <c r="G990" t="s">
        <v>32</v>
      </c>
      <c r="H990" t="s">
        <v>53</v>
      </c>
      <c r="I990" s="2">
        <v>322.88</v>
      </c>
      <c r="J990" s="3">
        <v>5</v>
      </c>
      <c r="K990" s="2">
        <v>77.25</v>
      </c>
    </row>
    <row r="991" spans="1:11" x14ac:dyDescent="0.25">
      <c r="A991" s="4">
        <v>42231</v>
      </c>
      <c r="B991" s="3">
        <f>YEAR(SalesData[[#This Row],[Order Date]])</f>
        <v>2015</v>
      </c>
      <c r="C991" s="3">
        <f>MONTH(SalesData[[#This Row],[Order Date]])</f>
        <v>8</v>
      </c>
      <c r="D991" t="s">
        <v>47</v>
      </c>
      <c r="E991" t="s">
        <v>26</v>
      </c>
      <c r="F991" t="s">
        <v>15</v>
      </c>
      <c r="G991" t="s">
        <v>38</v>
      </c>
      <c r="H991" t="s">
        <v>39</v>
      </c>
      <c r="I991" s="2">
        <v>2517.15</v>
      </c>
      <c r="J991" s="3">
        <v>4</v>
      </c>
      <c r="K991" s="2">
        <v>728.37</v>
      </c>
    </row>
    <row r="992" spans="1:11" x14ac:dyDescent="0.25">
      <c r="A992" s="4">
        <v>42231</v>
      </c>
      <c r="B992" s="3">
        <f>YEAR(SalesData[[#This Row],[Order Date]])</f>
        <v>2015</v>
      </c>
      <c r="C992" s="3">
        <f>MONTH(SalesData[[#This Row],[Order Date]])</f>
        <v>8</v>
      </c>
      <c r="D992" t="s">
        <v>68</v>
      </c>
      <c r="E992" t="s">
        <v>19</v>
      </c>
      <c r="F992" t="s">
        <v>27</v>
      </c>
      <c r="G992" t="s">
        <v>32</v>
      </c>
      <c r="H992" t="s">
        <v>53</v>
      </c>
      <c r="I992" s="2">
        <v>3248.95</v>
      </c>
      <c r="J992" s="3">
        <v>6</v>
      </c>
      <c r="K992" s="2">
        <v>418.42</v>
      </c>
    </row>
    <row r="993" spans="1:11" x14ac:dyDescent="0.25">
      <c r="A993" s="4">
        <v>42233</v>
      </c>
      <c r="B993" s="3">
        <f>YEAR(SalesData[[#This Row],[Order Date]])</f>
        <v>2015</v>
      </c>
      <c r="C993" s="3">
        <f>MONTH(SalesData[[#This Row],[Order Date]])</f>
        <v>8</v>
      </c>
      <c r="D993" t="s">
        <v>68</v>
      </c>
      <c r="E993" t="s">
        <v>31</v>
      </c>
      <c r="F993" t="s">
        <v>27</v>
      </c>
      <c r="G993" t="s">
        <v>32</v>
      </c>
      <c r="H993" t="s">
        <v>53</v>
      </c>
      <c r="I993" s="2">
        <v>4385.09</v>
      </c>
      <c r="J993" s="3">
        <v>7</v>
      </c>
      <c r="K993" s="2">
        <v>1052.79</v>
      </c>
    </row>
    <row r="994" spans="1:11" x14ac:dyDescent="0.25">
      <c r="A994" s="4">
        <v>42233</v>
      </c>
      <c r="B994" s="3">
        <f>YEAR(SalesData[[#This Row],[Order Date]])</f>
        <v>2015</v>
      </c>
      <c r="C994" s="3">
        <f>MONTH(SalesData[[#This Row],[Order Date]])</f>
        <v>8</v>
      </c>
      <c r="D994" t="s">
        <v>23</v>
      </c>
      <c r="E994" t="s">
        <v>31</v>
      </c>
      <c r="F994" t="s">
        <v>27</v>
      </c>
      <c r="G994" t="s">
        <v>48</v>
      </c>
      <c r="H994" t="s">
        <v>57</v>
      </c>
      <c r="I994" s="2">
        <v>4660.22</v>
      </c>
      <c r="J994" s="3">
        <v>4</v>
      </c>
      <c r="K994" s="2">
        <v>124.28</v>
      </c>
    </row>
    <row r="995" spans="1:11" x14ac:dyDescent="0.25">
      <c r="A995" s="4">
        <v>42234</v>
      </c>
      <c r="B995" s="3">
        <f>YEAR(SalesData[[#This Row],[Order Date]])</f>
        <v>2015</v>
      </c>
      <c r="C995" s="3">
        <f>MONTH(SalesData[[#This Row],[Order Date]])</f>
        <v>8</v>
      </c>
      <c r="D995" t="s">
        <v>47</v>
      </c>
      <c r="E995" t="s">
        <v>44</v>
      </c>
      <c r="F995" t="s">
        <v>27</v>
      </c>
      <c r="G995" t="s">
        <v>32</v>
      </c>
      <c r="H995" t="s">
        <v>33</v>
      </c>
      <c r="I995" s="2">
        <v>2233.3000000000002</v>
      </c>
      <c r="J995" s="3">
        <v>2</v>
      </c>
      <c r="K995" s="2">
        <v>211.79</v>
      </c>
    </row>
    <row r="996" spans="1:11" x14ac:dyDescent="0.25">
      <c r="A996" s="4">
        <v>42234</v>
      </c>
      <c r="B996" s="3">
        <f>YEAR(SalesData[[#This Row],[Order Date]])</f>
        <v>2015</v>
      </c>
      <c r="C996" s="3">
        <f>MONTH(SalesData[[#This Row],[Order Date]])</f>
        <v>8</v>
      </c>
      <c r="D996" t="s">
        <v>23</v>
      </c>
      <c r="E996" t="s">
        <v>26</v>
      </c>
      <c r="F996" t="s">
        <v>27</v>
      </c>
      <c r="G996" t="s">
        <v>32</v>
      </c>
      <c r="H996" t="s">
        <v>53</v>
      </c>
      <c r="I996" s="2">
        <v>1521.16</v>
      </c>
      <c r="J996" s="3">
        <v>1</v>
      </c>
      <c r="K996" s="2">
        <v>201.62</v>
      </c>
    </row>
    <row r="997" spans="1:11" x14ac:dyDescent="0.25">
      <c r="A997" s="4">
        <v>42234</v>
      </c>
      <c r="B997" s="3">
        <f>YEAR(SalesData[[#This Row],[Order Date]])</f>
        <v>2015</v>
      </c>
      <c r="C997" s="3">
        <f>MONTH(SalesData[[#This Row],[Order Date]])</f>
        <v>8</v>
      </c>
      <c r="D997" t="s">
        <v>55</v>
      </c>
      <c r="E997" t="s">
        <v>26</v>
      </c>
      <c r="F997" t="s">
        <v>15</v>
      </c>
      <c r="G997" t="s">
        <v>63</v>
      </c>
      <c r="H997" t="s">
        <v>64</v>
      </c>
      <c r="I997" s="2">
        <v>2511.1</v>
      </c>
      <c r="J997" s="3">
        <v>1</v>
      </c>
      <c r="K997" s="2">
        <v>410.1</v>
      </c>
    </row>
    <row r="998" spans="1:11" x14ac:dyDescent="0.25">
      <c r="A998" s="4">
        <v>42235</v>
      </c>
      <c r="B998" s="3">
        <f>YEAR(SalesData[[#This Row],[Order Date]])</f>
        <v>2015</v>
      </c>
      <c r="C998" s="3">
        <f>MONTH(SalesData[[#This Row],[Order Date]])</f>
        <v>8</v>
      </c>
      <c r="D998" t="s">
        <v>43</v>
      </c>
      <c r="E998" t="s">
        <v>52</v>
      </c>
      <c r="F998" t="s">
        <v>11</v>
      </c>
      <c r="G998" t="s">
        <v>35</v>
      </c>
      <c r="H998" t="s">
        <v>71</v>
      </c>
      <c r="I998" s="2">
        <v>4851.9799999999996</v>
      </c>
      <c r="J998" s="3">
        <v>3</v>
      </c>
      <c r="K998" s="2">
        <v>947.61</v>
      </c>
    </row>
    <row r="999" spans="1:11" x14ac:dyDescent="0.25">
      <c r="A999" s="4">
        <v>42235</v>
      </c>
      <c r="B999" s="3">
        <f>YEAR(SalesData[[#This Row],[Order Date]])</f>
        <v>2015</v>
      </c>
      <c r="C999" s="3">
        <f>MONTH(SalesData[[#This Row],[Order Date]])</f>
        <v>8</v>
      </c>
      <c r="D999" t="s">
        <v>18</v>
      </c>
      <c r="E999" t="s">
        <v>44</v>
      </c>
      <c r="F999" t="s">
        <v>15</v>
      </c>
      <c r="G999" t="s">
        <v>41</v>
      </c>
      <c r="H999" t="s">
        <v>61</v>
      </c>
      <c r="I999" s="2">
        <v>1554.4</v>
      </c>
      <c r="J999" s="3">
        <v>1</v>
      </c>
      <c r="K999" s="2">
        <v>204.93</v>
      </c>
    </row>
    <row r="1000" spans="1:11" x14ac:dyDescent="0.25">
      <c r="A1000" s="4">
        <v>42236</v>
      </c>
      <c r="B1000" s="3">
        <f>YEAR(SalesData[[#This Row],[Order Date]])</f>
        <v>2015</v>
      </c>
      <c r="C1000" s="3">
        <f>MONTH(SalesData[[#This Row],[Order Date]])</f>
        <v>8</v>
      </c>
      <c r="D1000" t="s">
        <v>68</v>
      </c>
      <c r="E1000" t="s">
        <v>34</v>
      </c>
      <c r="F1000" t="s">
        <v>11</v>
      </c>
      <c r="G1000" t="s">
        <v>24</v>
      </c>
      <c r="H1000" t="s">
        <v>54</v>
      </c>
      <c r="I1000" s="2">
        <v>1114.93</v>
      </c>
      <c r="J1000" s="3">
        <v>9</v>
      </c>
      <c r="K1000" s="2">
        <v>37.03</v>
      </c>
    </row>
    <row r="1001" spans="1:11" x14ac:dyDescent="0.25">
      <c r="A1001" s="4">
        <v>42236</v>
      </c>
      <c r="B1001" s="3">
        <f>YEAR(SalesData[[#This Row],[Order Date]])</f>
        <v>2015</v>
      </c>
      <c r="C1001" s="3">
        <f>MONTH(SalesData[[#This Row],[Order Date]])</f>
        <v>8</v>
      </c>
      <c r="D1001" t="s">
        <v>30</v>
      </c>
      <c r="E1001" t="s">
        <v>40</v>
      </c>
      <c r="F1001" t="s">
        <v>11</v>
      </c>
      <c r="G1001" t="s">
        <v>35</v>
      </c>
      <c r="H1001" t="s">
        <v>36</v>
      </c>
      <c r="I1001" s="2">
        <v>3406.63</v>
      </c>
      <c r="J1001" s="3">
        <v>3</v>
      </c>
      <c r="K1001" s="2">
        <v>51.16</v>
      </c>
    </row>
    <row r="1002" spans="1:11" x14ac:dyDescent="0.25">
      <c r="A1002" s="4">
        <v>42236</v>
      </c>
      <c r="B1002" s="3">
        <f>YEAR(SalesData[[#This Row],[Order Date]])</f>
        <v>2015</v>
      </c>
      <c r="C1002" s="3">
        <f>MONTH(SalesData[[#This Row],[Order Date]])</f>
        <v>8</v>
      </c>
      <c r="D1002" t="s">
        <v>20</v>
      </c>
      <c r="E1002" t="s">
        <v>34</v>
      </c>
      <c r="F1002" t="s">
        <v>11</v>
      </c>
      <c r="G1002" t="s">
        <v>21</v>
      </c>
      <c r="H1002" t="s">
        <v>67</v>
      </c>
      <c r="I1002" s="2">
        <v>2383.75</v>
      </c>
      <c r="J1002" s="3">
        <v>4</v>
      </c>
      <c r="K1002" s="2">
        <v>15.56</v>
      </c>
    </row>
    <row r="1003" spans="1:11" x14ac:dyDescent="0.25">
      <c r="A1003" s="4">
        <v>42236</v>
      </c>
      <c r="B1003" s="3">
        <f>YEAR(SalesData[[#This Row],[Order Date]])</f>
        <v>2015</v>
      </c>
      <c r="C1003" s="3">
        <f>MONTH(SalesData[[#This Row],[Order Date]])</f>
        <v>8</v>
      </c>
      <c r="D1003" t="s">
        <v>62</v>
      </c>
      <c r="E1003" t="s">
        <v>34</v>
      </c>
      <c r="F1003" t="s">
        <v>27</v>
      </c>
      <c r="G1003" t="s">
        <v>32</v>
      </c>
      <c r="H1003" t="s">
        <v>33</v>
      </c>
      <c r="I1003" s="2">
        <v>1065.83</v>
      </c>
      <c r="J1003" s="3">
        <v>7</v>
      </c>
      <c r="K1003" s="2">
        <v>53.67</v>
      </c>
    </row>
    <row r="1004" spans="1:11" x14ac:dyDescent="0.25">
      <c r="A1004" s="4">
        <v>42238</v>
      </c>
      <c r="B1004" s="3">
        <f>YEAR(SalesData[[#This Row],[Order Date]])</f>
        <v>2015</v>
      </c>
      <c r="C1004" s="3">
        <f>MONTH(SalesData[[#This Row],[Order Date]])</f>
        <v>8</v>
      </c>
      <c r="D1004" t="s">
        <v>62</v>
      </c>
      <c r="E1004" t="s">
        <v>44</v>
      </c>
      <c r="F1004" t="s">
        <v>15</v>
      </c>
      <c r="G1004" t="s">
        <v>41</v>
      </c>
      <c r="H1004" t="s">
        <v>61</v>
      </c>
      <c r="I1004" s="2">
        <v>2269.09</v>
      </c>
      <c r="J1004" s="3">
        <v>10</v>
      </c>
      <c r="K1004" s="2">
        <v>319.58</v>
      </c>
    </row>
    <row r="1005" spans="1:11" x14ac:dyDescent="0.25">
      <c r="A1005" s="4">
        <v>42240</v>
      </c>
      <c r="B1005" s="3">
        <f>YEAR(SalesData[[#This Row],[Order Date]])</f>
        <v>2015</v>
      </c>
      <c r="C1005" s="3">
        <f>MONTH(SalesData[[#This Row],[Order Date]])</f>
        <v>8</v>
      </c>
      <c r="D1005" t="s">
        <v>68</v>
      </c>
      <c r="E1005" t="s">
        <v>37</v>
      </c>
      <c r="F1005" t="s">
        <v>15</v>
      </c>
      <c r="G1005" t="s">
        <v>41</v>
      </c>
      <c r="H1005" t="s">
        <v>61</v>
      </c>
      <c r="I1005" s="2">
        <v>2128.86</v>
      </c>
      <c r="J1005" s="3">
        <v>8</v>
      </c>
      <c r="K1005" s="2">
        <v>273.85000000000002</v>
      </c>
    </row>
    <row r="1006" spans="1:11" x14ac:dyDescent="0.25">
      <c r="A1006" s="4">
        <v>42240</v>
      </c>
      <c r="B1006" s="3">
        <f>YEAR(SalesData[[#This Row],[Order Date]])</f>
        <v>2015</v>
      </c>
      <c r="C1006" s="3">
        <f>MONTH(SalesData[[#This Row],[Order Date]])</f>
        <v>8</v>
      </c>
      <c r="D1006" t="s">
        <v>18</v>
      </c>
      <c r="E1006" t="s">
        <v>34</v>
      </c>
      <c r="F1006" t="s">
        <v>11</v>
      </c>
      <c r="G1006" t="s">
        <v>35</v>
      </c>
      <c r="H1006" t="s">
        <v>36</v>
      </c>
      <c r="I1006" s="2">
        <v>907.59</v>
      </c>
      <c r="J1006" s="3">
        <v>6</v>
      </c>
      <c r="K1006" s="2">
        <v>229.49</v>
      </c>
    </row>
    <row r="1007" spans="1:11" x14ac:dyDescent="0.25">
      <c r="A1007" s="4">
        <v>42240</v>
      </c>
      <c r="B1007" s="3">
        <f>YEAR(SalesData[[#This Row],[Order Date]])</f>
        <v>2015</v>
      </c>
      <c r="C1007" s="3">
        <f>MONTH(SalesData[[#This Row],[Order Date]])</f>
        <v>8</v>
      </c>
      <c r="D1007" t="s">
        <v>30</v>
      </c>
      <c r="E1007" t="s">
        <v>10</v>
      </c>
      <c r="F1007" t="s">
        <v>27</v>
      </c>
      <c r="G1007" t="s">
        <v>48</v>
      </c>
      <c r="H1007" t="s">
        <v>57</v>
      </c>
      <c r="I1007" s="2">
        <v>691.16</v>
      </c>
      <c r="J1007" s="3">
        <v>9</v>
      </c>
      <c r="K1007" s="2">
        <v>118.72</v>
      </c>
    </row>
    <row r="1008" spans="1:11" x14ac:dyDescent="0.25">
      <c r="A1008" s="4">
        <v>42240</v>
      </c>
      <c r="B1008" s="3">
        <f>YEAR(SalesData[[#This Row],[Order Date]])</f>
        <v>2015</v>
      </c>
      <c r="C1008" s="3">
        <f>MONTH(SalesData[[#This Row],[Order Date]])</f>
        <v>8</v>
      </c>
      <c r="D1008" t="s">
        <v>23</v>
      </c>
      <c r="E1008" t="s">
        <v>52</v>
      </c>
      <c r="F1008" t="s">
        <v>15</v>
      </c>
      <c r="G1008" t="s">
        <v>16</v>
      </c>
      <c r="H1008" t="s">
        <v>51</v>
      </c>
      <c r="I1008" s="2">
        <v>126.7</v>
      </c>
      <c r="J1008" s="3">
        <v>7</v>
      </c>
      <c r="K1008" s="2">
        <v>8.4</v>
      </c>
    </row>
    <row r="1009" spans="1:11" x14ac:dyDescent="0.25">
      <c r="A1009" s="4">
        <v>42240</v>
      </c>
      <c r="B1009" s="3">
        <f>YEAR(SalesData[[#This Row],[Order Date]])</f>
        <v>2015</v>
      </c>
      <c r="C1009" s="3">
        <f>MONTH(SalesData[[#This Row],[Order Date]])</f>
        <v>8</v>
      </c>
      <c r="D1009" t="s">
        <v>50</v>
      </c>
      <c r="E1009" t="s">
        <v>31</v>
      </c>
      <c r="F1009" t="s">
        <v>11</v>
      </c>
      <c r="G1009" t="s">
        <v>21</v>
      </c>
      <c r="H1009" t="s">
        <v>67</v>
      </c>
      <c r="I1009" s="2">
        <v>3416.7</v>
      </c>
      <c r="J1009" s="3">
        <v>5</v>
      </c>
      <c r="K1009" s="2">
        <v>121.28</v>
      </c>
    </row>
    <row r="1010" spans="1:11" x14ac:dyDescent="0.25">
      <c r="A1010" s="4">
        <v>42241</v>
      </c>
      <c r="B1010" s="3">
        <f>YEAR(SalesData[[#This Row],[Order Date]])</f>
        <v>2015</v>
      </c>
      <c r="C1010" s="3">
        <f>MONTH(SalesData[[#This Row],[Order Date]])</f>
        <v>8</v>
      </c>
      <c r="D1010" t="s">
        <v>20</v>
      </c>
      <c r="E1010" t="s">
        <v>34</v>
      </c>
      <c r="F1010" t="s">
        <v>27</v>
      </c>
      <c r="G1010" t="s">
        <v>48</v>
      </c>
      <c r="H1010" t="s">
        <v>57</v>
      </c>
      <c r="I1010" s="2">
        <v>3693.74</v>
      </c>
      <c r="J1010" s="3">
        <v>3</v>
      </c>
      <c r="K1010" s="2">
        <v>171.81</v>
      </c>
    </row>
    <row r="1011" spans="1:11" x14ac:dyDescent="0.25">
      <c r="A1011" s="4">
        <v>42242</v>
      </c>
      <c r="B1011" s="3">
        <f>YEAR(SalesData[[#This Row],[Order Date]])</f>
        <v>2015</v>
      </c>
      <c r="C1011" s="3">
        <f>MONTH(SalesData[[#This Row],[Order Date]])</f>
        <v>8</v>
      </c>
      <c r="D1011" t="s">
        <v>47</v>
      </c>
      <c r="E1011" t="s">
        <v>31</v>
      </c>
      <c r="F1011" t="s">
        <v>15</v>
      </c>
      <c r="G1011" t="s">
        <v>38</v>
      </c>
      <c r="H1011" t="s">
        <v>56</v>
      </c>
      <c r="I1011" s="2">
        <v>403.77</v>
      </c>
      <c r="J1011" s="3">
        <v>10</v>
      </c>
      <c r="K1011" s="2">
        <v>97.04</v>
      </c>
    </row>
    <row r="1012" spans="1:11" x14ac:dyDescent="0.25">
      <c r="A1012" s="4">
        <v>42242</v>
      </c>
      <c r="B1012" s="3">
        <f>YEAR(SalesData[[#This Row],[Order Date]])</f>
        <v>2015</v>
      </c>
      <c r="C1012" s="3">
        <f>MONTH(SalesData[[#This Row],[Order Date]])</f>
        <v>8</v>
      </c>
      <c r="D1012" t="s">
        <v>30</v>
      </c>
      <c r="E1012" t="s">
        <v>40</v>
      </c>
      <c r="F1012" t="s">
        <v>27</v>
      </c>
      <c r="G1012" t="s">
        <v>32</v>
      </c>
      <c r="H1012" t="s">
        <v>33</v>
      </c>
      <c r="I1012" s="2">
        <v>4043.04</v>
      </c>
      <c r="J1012" s="3">
        <v>6</v>
      </c>
      <c r="K1012" s="2">
        <v>503.33</v>
      </c>
    </row>
    <row r="1013" spans="1:11" x14ac:dyDescent="0.25">
      <c r="A1013" s="4">
        <v>42242</v>
      </c>
      <c r="B1013" s="3">
        <f>YEAR(SalesData[[#This Row],[Order Date]])</f>
        <v>2015</v>
      </c>
      <c r="C1013" s="3">
        <f>MONTH(SalesData[[#This Row],[Order Date]])</f>
        <v>8</v>
      </c>
      <c r="D1013" t="s">
        <v>18</v>
      </c>
      <c r="E1013" t="s">
        <v>40</v>
      </c>
      <c r="F1013" t="s">
        <v>11</v>
      </c>
      <c r="G1013" t="s">
        <v>24</v>
      </c>
      <c r="H1013" t="s">
        <v>54</v>
      </c>
      <c r="I1013" s="2">
        <v>3237.01</v>
      </c>
      <c r="J1013" s="3">
        <v>10</v>
      </c>
      <c r="K1013" s="2">
        <v>83.37</v>
      </c>
    </row>
    <row r="1014" spans="1:11" x14ac:dyDescent="0.25">
      <c r="A1014" s="4">
        <v>42243</v>
      </c>
      <c r="B1014" s="3">
        <f>YEAR(SalesData[[#This Row],[Order Date]])</f>
        <v>2015</v>
      </c>
      <c r="C1014" s="3">
        <f>MONTH(SalesData[[#This Row],[Order Date]])</f>
        <v>8</v>
      </c>
      <c r="D1014" t="s">
        <v>18</v>
      </c>
      <c r="E1014" t="s">
        <v>19</v>
      </c>
      <c r="F1014" t="s">
        <v>15</v>
      </c>
      <c r="G1014" t="s">
        <v>45</v>
      </c>
      <c r="H1014" t="s">
        <v>46</v>
      </c>
      <c r="I1014" s="2">
        <v>1806.11</v>
      </c>
      <c r="J1014" s="3">
        <v>1</v>
      </c>
      <c r="K1014" s="2">
        <v>481.32</v>
      </c>
    </row>
    <row r="1015" spans="1:11" x14ac:dyDescent="0.25">
      <c r="A1015" s="4">
        <v>42243</v>
      </c>
      <c r="B1015" s="3">
        <f>YEAR(SalesData[[#This Row],[Order Date]])</f>
        <v>2015</v>
      </c>
      <c r="C1015" s="3">
        <f>MONTH(SalesData[[#This Row],[Order Date]])</f>
        <v>8</v>
      </c>
      <c r="D1015" t="s">
        <v>30</v>
      </c>
      <c r="E1015" t="s">
        <v>34</v>
      </c>
      <c r="F1015" t="s">
        <v>27</v>
      </c>
      <c r="G1015" t="s">
        <v>48</v>
      </c>
      <c r="H1015" t="s">
        <v>49</v>
      </c>
      <c r="I1015" s="2">
        <v>2802.7</v>
      </c>
      <c r="J1015" s="3">
        <v>7</v>
      </c>
      <c r="K1015" s="2">
        <v>13.8</v>
      </c>
    </row>
    <row r="1016" spans="1:11" x14ac:dyDescent="0.25">
      <c r="A1016" s="4">
        <v>42243</v>
      </c>
      <c r="B1016" s="3">
        <f>YEAR(SalesData[[#This Row],[Order Date]])</f>
        <v>2015</v>
      </c>
      <c r="C1016" s="3">
        <f>MONTH(SalesData[[#This Row],[Order Date]])</f>
        <v>8</v>
      </c>
      <c r="D1016" t="s">
        <v>18</v>
      </c>
      <c r="E1016" t="s">
        <v>37</v>
      </c>
      <c r="F1016" t="s">
        <v>15</v>
      </c>
      <c r="G1016" t="s">
        <v>45</v>
      </c>
      <c r="H1016" t="s">
        <v>46</v>
      </c>
      <c r="I1016" s="2">
        <v>2201.1799999999998</v>
      </c>
      <c r="J1016" s="3">
        <v>8</v>
      </c>
      <c r="K1016" s="2">
        <v>326.26</v>
      </c>
    </row>
    <row r="1017" spans="1:11" x14ac:dyDescent="0.25">
      <c r="A1017" s="4">
        <v>42243</v>
      </c>
      <c r="B1017" s="3">
        <f>YEAR(SalesData[[#This Row],[Order Date]])</f>
        <v>2015</v>
      </c>
      <c r="C1017" s="3">
        <f>MONTH(SalesData[[#This Row],[Order Date]])</f>
        <v>8</v>
      </c>
      <c r="D1017" t="s">
        <v>55</v>
      </c>
      <c r="E1017" t="s">
        <v>19</v>
      </c>
      <c r="F1017" t="s">
        <v>15</v>
      </c>
      <c r="G1017" t="s">
        <v>63</v>
      </c>
      <c r="H1017" t="s">
        <v>64</v>
      </c>
      <c r="I1017" s="2">
        <v>70.95</v>
      </c>
      <c r="J1017" s="3">
        <v>2</v>
      </c>
      <c r="K1017" s="2">
        <v>4.3499999999999996</v>
      </c>
    </row>
    <row r="1018" spans="1:11" x14ac:dyDescent="0.25">
      <c r="A1018" s="4">
        <v>42244</v>
      </c>
      <c r="B1018" s="3">
        <f>YEAR(SalesData[[#This Row],[Order Date]])</f>
        <v>2015</v>
      </c>
      <c r="C1018" s="3">
        <f>MONTH(SalesData[[#This Row],[Order Date]])</f>
        <v>8</v>
      </c>
      <c r="D1018" t="s">
        <v>50</v>
      </c>
      <c r="E1018" t="s">
        <v>19</v>
      </c>
      <c r="F1018" t="s">
        <v>11</v>
      </c>
      <c r="G1018" t="s">
        <v>12</v>
      </c>
      <c r="H1018" t="s">
        <v>13</v>
      </c>
      <c r="I1018" s="2">
        <v>4628.9799999999996</v>
      </c>
      <c r="J1018" s="3">
        <v>9</v>
      </c>
      <c r="K1018" s="2">
        <v>468.1</v>
      </c>
    </row>
    <row r="1019" spans="1:11" x14ac:dyDescent="0.25">
      <c r="A1019" s="4">
        <v>42244</v>
      </c>
      <c r="B1019" s="3">
        <f>YEAR(SalesData[[#This Row],[Order Date]])</f>
        <v>2015</v>
      </c>
      <c r="C1019" s="3">
        <f>MONTH(SalesData[[#This Row],[Order Date]])</f>
        <v>8</v>
      </c>
      <c r="D1019" t="s">
        <v>50</v>
      </c>
      <c r="E1019" t="s">
        <v>52</v>
      </c>
      <c r="F1019" t="s">
        <v>27</v>
      </c>
      <c r="G1019" t="s">
        <v>48</v>
      </c>
      <c r="H1019" t="s">
        <v>57</v>
      </c>
      <c r="I1019" s="2">
        <v>1419.46</v>
      </c>
      <c r="J1019" s="3">
        <v>9</v>
      </c>
      <c r="K1019" s="2">
        <v>94.27</v>
      </c>
    </row>
    <row r="1020" spans="1:11" x14ac:dyDescent="0.25">
      <c r="A1020" s="4">
        <v>42245</v>
      </c>
      <c r="B1020" s="3">
        <f>YEAR(SalesData[[#This Row],[Order Date]])</f>
        <v>2015</v>
      </c>
      <c r="C1020" s="3">
        <f>MONTH(SalesData[[#This Row],[Order Date]])</f>
        <v>8</v>
      </c>
      <c r="D1020" t="s">
        <v>50</v>
      </c>
      <c r="E1020" t="s">
        <v>52</v>
      </c>
      <c r="F1020" t="s">
        <v>27</v>
      </c>
      <c r="G1020" t="s">
        <v>48</v>
      </c>
      <c r="H1020" t="s">
        <v>49</v>
      </c>
      <c r="I1020" s="2">
        <v>519.54</v>
      </c>
      <c r="J1020" s="3">
        <v>8</v>
      </c>
      <c r="K1020" s="2">
        <v>84.2</v>
      </c>
    </row>
    <row r="1021" spans="1:11" x14ac:dyDescent="0.25">
      <c r="A1021" s="4">
        <v>42247</v>
      </c>
      <c r="B1021" s="3">
        <f>YEAR(SalesData[[#This Row],[Order Date]])</f>
        <v>2015</v>
      </c>
      <c r="C1021" s="3">
        <f>MONTH(SalesData[[#This Row],[Order Date]])</f>
        <v>8</v>
      </c>
      <c r="D1021" t="s">
        <v>68</v>
      </c>
      <c r="E1021" t="s">
        <v>60</v>
      </c>
      <c r="F1021" t="s">
        <v>27</v>
      </c>
      <c r="G1021" t="s">
        <v>32</v>
      </c>
      <c r="H1021" t="s">
        <v>53</v>
      </c>
      <c r="I1021" s="2">
        <v>1610.6</v>
      </c>
      <c r="J1021" s="3">
        <v>9</v>
      </c>
      <c r="K1021" s="2">
        <v>350.63</v>
      </c>
    </row>
    <row r="1022" spans="1:11" x14ac:dyDescent="0.25">
      <c r="A1022" s="4">
        <v>42247</v>
      </c>
      <c r="B1022" s="3">
        <f>YEAR(SalesData[[#This Row],[Order Date]])</f>
        <v>2015</v>
      </c>
      <c r="C1022" s="3">
        <f>MONTH(SalesData[[#This Row],[Order Date]])</f>
        <v>8</v>
      </c>
      <c r="D1022" t="s">
        <v>47</v>
      </c>
      <c r="E1022" t="s">
        <v>37</v>
      </c>
      <c r="F1022" t="s">
        <v>15</v>
      </c>
      <c r="G1022" t="s">
        <v>41</v>
      </c>
      <c r="H1022" t="s">
        <v>61</v>
      </c>
      <c r="I1022" s="2">
        <v>3416.75</v>
      </c>
      <c r="J1022" s="3">
        <v>4</v>
      </c>
      <c r="K1022" s="2">
        <v>807.22</v>
      </c>
    </row>
    <row r="1023" spans="1:11" x14ac:dyDescent="0.25">
      <c r="A1023" s="4">
        <v>42248</v>
      </c>
      <c r="B1023" s="3">
        <f>YEAR(SalesData[[#This Row],[Order Date]])</f>
        <v>2015</v>
      </c>
      <c r="C1023" s="3">
        <f>MONTH(SalesData[[#This Row],[Order Date]])</f>
        <v>9</v>
      </c>
      <c r="D1023" t="s">
        <v>23</v>
      </c>
      <c r="E1023" t="s">
        <v>31</v>
      </c>
      <c r="F1023" t="s">
        <v>15</v>
      </c>
      <c r="G1023" t="s">
        <v>45</v>
      </c>
      <c r="H1023" t="s">
        <v>59</v>
      </c>
      <c r="I1023" s="2">
        <v>4730.2</v>
      </c>
      <c r="J1023" s="3">
        <v>4</v>
      </c>
      <c r="K1023" s="2">
        <v>276.23</v>
      </c>
    </row>
    <row r="1024" spans="1:11" x14ac:dyDescent="0.25">
      <c r="A1024" s="4">
        <v>42248</v>
      </c>
      <c r="B1024" s="3">
        <f>YEAR(SalesData[[#This Row],[Order Date]])</f>
        <v>2015</v>
      </c>
      <c r="C1024" s="3">
        <f>MONTH(SalesData[[#This Row],[Order Date]])</f>
        <v>9</v>
      </c>
      <c r="D1024" t="s">
        <v>18</v>
      </c>
      <c r="E1024" t="s">
        <v>37</v>
      </c>
      <c r="F1024" t="s">
        <v>27</v>
      </c>
      <c r="G1024" t="s">
        <v>32</v>
      </c>
      <c r="H1024" t="s">
        <v>53</v>
      </c>
      <c r="I1024" s="2">
        <v>2542.5</v>
      </c>
      <c r="J1024" s="3">
        <v>2</v>
      </c>
      <c r="K1024" s="2">
        <v>729.22</v>
      </c>
    </row>
    <row r="1025" spans="1:11" x14ac:dyDescent="0.25">
      <c r="A1025" s="4">
        <v>42248</v>
      </c>
      <c r="B1025" s="3">
        <f>YEAR(SalesData[[#This Row],[Order Date]])</f>
        <v>2015</v>
      </c>
      <c r="C1025" s="3">
        <f>MONTH(SalesData[[#This Row],[Order Date]])</f>
        <v>9</v>
      </c>
      <c r="D1025" t="s">
        <v>23</v>
      </c>
      <c r="E1025" t="s">
        <v>10</v>
      </c>
      <c r="F1025" t="s">
        <v>27</v>
      </c>
      <c r="G1025" t="s">
        <v>48</v>
      </c>
      <c r="H1025" t="s">
        <v>49</v>
      </c>
      <c r="I1025" s="2">
        <v>893.9</v>
      </c>
      <c r="J1025" s="3">
        <v>2</v>
      </c>
      <c r="K1025" s="2">
        <v>108.6</v>
      </c>
    </row>
    <row r="1026" spans="1:11" x14ac:dyDescent="0.25">
      <c r="A1026" s="4">
        <v>42248</v>
      </c>
      <c r="B1026" s="3">
        <f>YEAR(SalesData[[#This Row],[Order Date]])</f>
        <v>2015</v>
      </c>
      <c r="C1026" s="3">
        <f>MONTH(SalesData[[#This Row],[Order Date]])</f>
        <v>9</v>
      </c>
      <c r="D1026" t="s">
        <v>20</v>
      </c>
      <c r="E1026" t="s">
        <v>40</v>
      </c>
      <c r="F1026" t="s">
        <v>27</v>
      </c>
      <c r="G1026" t="s">
        <v>48</v>
      </c>
      <c r="H1026" t="s">
        <v>49</v>
      </c>
      <c r="I1026" s="2">
        <v>2434.19</v>
      </c>
      <c r="J1026" s="3">
        <v>8</v>
      </c>
      <c r="K1026" s="2">
        <v>366.7</v>
      </c>
    </row>
    <row r="1027" spans="1:11" x14ac:dyDescent="0.25">
      <c r="A1027" s="4">
        <v>42249</v>
      </c>
      <c r="B1027" s="3">
        <f>YEAR(SalesData[[#This Row],[Order Date]])</f>
        <v>2015</v>
      </c>
      <c r="C1027" s="3">
        <f>MONTH(SalesData[[#This Row],[Order Date]])</f>
        <v>9</v>
      </c>
      <c r="D1027" t="s">
        <v>62</v>
      </c>
      <c r="E1027" t="s">
        <v>40</v>
      </c>
      <c r="F1027" t="s">
        <v>15</v>
      </c>
      <c r="G1027" t="s">
        <v>16</v>
      </c>
      <c r="H1027" t="s">
        <v>51</v>
      </c>
      <c r="I1027" s="2">
        <v>2916.92</v>
      </c>
      <c r="J1027" s="3">
        <v>3</v>
      </c>
      <c r="K1027" s="2">
        <v>285.44</v>
      </c>
    </row>
    <row r="1028" spans="1:11" x14ac:dyDescent="0.25">
      <c r="A1028" s="4">
        <v>42250</v>
      </c>
      <c r="B1028" s="3">
        <f>YEAR(SalesData[[#This Row],[Order Date]])</f>
        <v>2015</v>
      </c>
      <c r="C1028" s="3">
        <f>MONTH(SalesData[[#This Row],[Order Date]])</f>
        <v>9</v>
      </c>
      <c r="D1028" t="s">
        <v>43</v>
      </c>
      <c r="E1028" t="s">
        <v>10</v>
      </c>
      <c r="F1028" t="s">
        <v>15</v>
      </c>
      <c r="G1028" t="s">
        <v>45</v>
      </c>
      <c r="H1028" t="s">
        <v>59</v>
      </c>
      <c r="I1028" s="2">
        <v>1619.07</v>
      </c>
      <c r="J1028" s="3">
        <v>9</v>
      </c>
      <c r="K1028" s="2">
        <v>453.72</v>
      </c>
    </row>
    <row r="1029" spans="1:11" x14ac:dyDescent="0.25">
      <c r="A1029" s="4">
        <v>42250</v>
      </c>
      <c r="B1029" s="3">
        <f>YEAR(SalesData[[#This Row],[Order Date]])</f>
        <v>2015</v>
      </c>
      <c r="C1029" s="3">
        <f>MONTH(SalesData[[#This Row],[Order Date]])</f>
        <v>9</v>
      </c>
      <c r="D1029" t="s">
        <v>14</v>
      </c>
      <c r="E1029" t="s">
        <v>34</v>
      </c>
      <c r="F1029" t="s">
        <v>15</v>
      </c>
      <c r="G1029" t="s">
        <v>16</v>
      </c>
      <c r="H1029" t="s">
        <v>17</v>
      </c>
      <c r="I1029" s="2">
        <v>914.71</v>
      </c>
      <c r="J1029" s="3">
        <v>2</v>
      </c>
      <c r="K1029" s="2">
        <v>54.17</v>
      </c>
    </row>
    <row r="1030" spans="1:11" x14ac:dyDescent="0.25">
      <c r="A1030" s="4">
        <v>42252</v>
      </c>
      <c r="B1030" s="3">
        <f>YEAR(SalesData[[#This Row],[Order Date]])</f>
        <v>2015</v>
      </c>
      <c r="C1030" s="3">
        <f>MONTH(SalesData[[#This Row],[Order Date]])</f>
        <v>9</v>
      </c>
      <c r="D1030" t="s">
        <v>14</v>
      </c>
      <c r="E1030" t="s">
        <v>40</v>
      </c>
      <c r="F1030" t="s">
        <v>15</v>
      </c>
      <c r="G1030" t="s">
        <v>63</v>
      </c>
      <c r="H1030" t="s">
        <v>64</v>
      </c>
      <c r="I1030" s="2">
        <v>810.12</v>
      </c>
      <c r="J1030" s="3">
        <v>10</v>
      </c>
      <c r="K1030" s="2">
        <v>10.39</v>
      </c>
    </row>
    <row r="1031" spans="1:11" x14ac:dyDescent="0.25">
      <c r="A1031" s="4">
        <v>42252</v>
      </c>
      <c r="B1031" s="3">
        <f>YEAR(SalesData[[#This Row],[Order Date]])</f>
        <v>2015</v>
      </c>
      <c r="C1031" s="3">
        <f>MONTH(SalesData[[#This Row],[Order Date]])</f>
        <v>9</v>
      </c>
      <c r="D1031" t="s">
        <v>55</v>
      </c>
      <c r="E1031" t="s">
        <v>40</v>
      </c>
      <c r="F1031" t="s">
        <v>15</v>
      </c>
      <c r="G1031" t="s">
        <v>38</v>
      </c>
      <c r="H1031" t="s">
        <v>39</v>
      </c>
      <c r="I1031" s="2">
        <v>4671.83</v>
      </c>
      <c r="J1031" s="3">
        <v>1</v>
      </c>
      <c r="K1031" s="2">
        <v>853.73</v>
      </c>
    </row>
    <row r="1032" spans="1:11" x14ac:dyDescent="0.25">
      <c r="A1032" s="4">
        <v>42252</v>
      </c>
      <c r="B1032" s="3">
        <f>YEAR(SalesData[[#This Row],[Order Date]])</f>
        <v>2015</v>
      </c>
      <c r="C1032" s="3">
        <f>MONTH(SalesData[[#This Row],[Order Date]])</f>
        <v>9</v>
      </c>
      <c r="D1032" t="s">
        <v>47</v>
      </c>
      <c r="E1032" t="s">
        <v>44</v>
      </c>
      <c r="F1032" t="s">
        <v>11</v>
      </c>
      <c r="G1032" t="s">
        <v>12</v>
      </c>
      <c r="H1032" t="s">
        <v>65</v>
      </c>
      <c r="I1032" s="2">
        <v>242.89</v>
      </c>
      <c r="J1032" s="3">
        <v>5</v>
      </c>
      <c r="K1032" s="2">
        <v>59.98</v>
      </c>
    </row>
    <row r="1033" spans="1:11" x14ac:dyDescent="0.25">
      <c r="A1033" s="4">
        <v>42253</v>
      </c>
      <c r="B1033" s="3">
        <f>YEAR(SalesData[[#This Row],[Order Date]])</f>
        <v>2015</v>
      </c>
      <c r="C1033" s="3">
        <f>MONTH(SalesData[[#This Row],[Order Date]])</f>
        <v>9</v>
      </c>
      <c r="D1033" t="s">
        <v>50</v>
      </c>
      <c r="E1033" t="s">
        <v>37</v>
      </c>
      <c r="F1033" t="s">
        <v>27</v>
      </c>
      <c r="G1033" t="s">
        <v>32</v>
      </c>
      <c r="H1033" t="s">
        <v>33</v>
      </c>
      <c r="I1033" s="2">
        <v>3244.64</v>
      </c>
      <c r="J1033" s="3">
        <v>1</v>
      </c>
      <c r="K1033" s="2">
        <v>140.41999999999999</v>
      </c>
    </row>
    <row r="1034" spans="1:11" x14ac:dyDescent="0.25">
      <c r="A1034" s="4">
        <v>42253</v>
      </c>
      <c r="B1034" s="3">
        <f>YEAR(SalesData[[#This Row],[Order Date]])</f>
        <v>2015</v>
      </c>
      <c r="C1034" s="3">
        <f>MONTH(SalesData[[#This Row],[Order Date]])</f>
        <v>9</v>
      </c>
      <c r="D1034" t="s">
        <v>43</v>
      </c>
      <c r="E1034" t="s">
        <v>19</v>
      </c>
      <c r="F1034" t="s">
        <v>15</v>
      </c>
      <c r="G1034" t="s">
        <v>38</v>
      </c>
      <c r="H1034" t="s">
        <v>56</v>
      </c>
      <c r="I1034" s="2">
        <v>2630.26</v>
      </c>
      <c r="J1034" s="3">
        <v>3</v>
      </c>
      <c r="K1034" s="2">
        <v>117.86</v>
      </c>
    </row>
    <row r="1035" spans="1:11" x14ac:dyDescent="0.25">
      <c r="A1035" s="4">
        <v>42254</v>
      </c>
      <c r="B1035" s="3">
        <f>YEAR(SalesData[[#This Row],[Order Date]])</f>
        <v>2015</v>
      </c>
      <c r="C1035" s="3">
        <f>MONTH(SalesData[[#This Row],[Order Date]])</f>
        <v>9</v>
      </c>
      <c r="D1035" t="s">
        <v>47</v>
      </c>
      <c r="E1035" t="s">
        <v>34</v>
      </c>
      <c r="F1035" t="s">
        <v>11</v>
      </c>
      <c r="G1035" t="s">
        <v>24</v>
      </c>
      <c r="H1035" t="s">
        <v>54</v>
      </c>
      <c r="I1035" s="2">
        <v>982.14</v>
      </c>
      <c r="J1035" s="3">
        <v>2</v>
      </c>
      <c r="K1035" s="2">
        <v>176.46</v>
      </c>
    </row>
    <row r="1036" spans="1:11" x14ac:dyDescent="0.25">
      <c r="A1036" s="4">
        <v>42258</v>
      </c>
      <c r="B1036" s="3">
        <f>YEAR(SalesData[[#This Row],[Order Date]])</f>
        <v>2015</v>
      </c>
      <c r="C1036" s="3">
        <f>MONTH(SalesData[[#This Row],[Order Date]])</f>
        <v>9</v>
      </c>
      <c r="D1036" t="s">
        <v>20</v>
      </c>
      <c r="E1036" t="s">
        <v>19</v>
      </c>
      <c r="F1036" t="s">
        <v>15</v>
      </c>
      <c r="G1036" t="s">
        <v>45</v>
      </c>
      <c r="H1036" t="s">
        <v>46</v>
      </c>
      <c r="I1036" s="2">
        <v>4324.3599999999997</v>
      </c>
      <c r="J1036" s="3">
        <v>5</v>
      </c>
      <c r="K1036" s="2">
        <v>795.97</v>
      </c>
    </row>
    <row r="1037" spans="1:11" x14ac:dyDescent="0.25">
      <c r="A1037" s="4">
        <v>42258</v>
      </c>
      <c r="B1037" s="3">
        <f>YEAR(SalesData[[#This Row],[Order Date]])</f>
        <v>2015</v>
      </c>
      <c r="C1037" s="3">
        <f>MONTH(SalesData[[#This Row],[Order Date]])</f>
        <v>9</v>
      </c>
      <c r="D1037" t="s">
        <v>55</v>
      </c>
      <c r="E1037" t="s">
        <v>26</v>
      </c>
      <c r="F1037" t="s">
        <v>27</v>
      </c>
      <c r="G1037" t="s">
        <v>28</v>
      </c>
      <c r="H1037" t="s">
        <v>58</v>
      </c>
      <c r="I1037" s="2">
        <v>1819.09</v>
      </c>
      <c r="J1037" s="3">
        <v>4</v>
      </c>
      <c r="K1037" s="2">
        <v>207</v>
      </c>
    </row>
    <row r="1038" spans="1:11" x14ac:dyDescent="0.25">
      <c r="A1038" s="4">
        <v>42260</v>
      </c>
      <c r="B1038" s="3">
        <f>YEAR(SalesData[[#This Row],[Order Date]])</f>
        <v>2015</v>
      </c>
      <c r="C1038" s="3">
        <f>MONTH(SalesData[[#This Row],[Order Date]])</f>
        <v>9</v>
      </c>
      <c r="D1038" t="s">
        <v>9</v>
      </c>
      <c r="E1038" t="s">
        <v>19</v>
      </c>
      <c r="F1038" t="s">
        <v>15</v>
      </c>
      <c r="G1038" t="s">
        <v>45</v>
      </c>
      <c r="H1038" t="s">
        <v>46</v>
      </c>
      <c r="I1038" s="2">
        <v>1604.7</v>
      </c>
      <c r="J1038" s="3">
        <v>3</v>
      </c>
      <c r="K1038" s="2">
        <v>426.35</v>
      </c>
    </row>
    <row r="1039" spans="1:11" x14ac:dyDescent="0.25">
      <c r="A1039" s="4">
        <v>42260</v>
      </c>
      <c r="B1039" s="3">
        <f>YEAR(SalesData[[#This Row],[Order Date]])</f>
        <v>2015</v>
      </c>
      <c r="C1039" s="3">
        <f>MONTH(SalesData[[#This Row],[Order Date]])</f>
        <v>9</v>
      </c>
      <c r="D1039" t="s">
        <v>9</v>
      </c>
      <c r="E1039" t="s">
        <v>31</v>
      </c>
      <c r="F1039" t="s">
        <v>27</v>
      </c>
      <c r="G1039" t="s">
        <v>32</v>
      </c>
      <c r="H1039" t="s">
        <v>53</v>
      </c>
      <c r="I1039" s="2">
        <v>4676.62</v>
      </c>
      <c r="J1039" s="3">
        <v>8</v>
      </c>
      <c r="K1039" s="2">
        <v>340.78</v>
      </c>
    </row>
    <row r="1040" spans="1:11" x14ac:dyDescent="0.25">
      <c r="A1040" s="4">
        <v>42261</v>
      </c>
      <c r="B1040" s="3">
        <f>YEAR(SalesData[[#This Row],[Order Date]])</f>
        <v>2015</v>
      </c>
      <c r="C1040" s="3">
        <f>MONTH(SalesData[[#This Row],[Order Date]])</f>
        <v>9</v>
      </c>
      <c r="D1040" t="s">
        <v>43</v>
      </c>
      <c r="E1040" t="s">
        <v>10</v>
      </c>
      <c r="F1040" t="s">
        <v>11</v>
      </c>
      <c r="G1040" t="s">
        <v>35</v>
      </c>
      <c r="H1040" t="s">
        <v>36</v>
      </c>
      <c r="I1040" s="2">
        <v>968.47</v>
      </c>
      <c r="J1040" s="3">
        <v>4</v>
      </c>
      <c r="K1040" s="2">
        <v>97.12</v>
      </c>
    </row>
    <row r="1041" spans="1:11" x14ac:dyDescent="0.25">
      <c r="A1041" s="4">
        <v>42261</v>
      </c>
      <c r="B1041" s="3">
        <f>YEAR(SalesData[[#This Row],[Order Date]])</f>
        <v>2015</v>
      </c>
      <c r="C1041" s="3">
        <f>MONTH(SalesData[[#This Row],[Order Date]])</f>
        <v>9</v>
      </c>
      <c r="D1041" t="s">
        <v>68</v>
      </c>
      <c r="E1041" t="s">
        <v>34</v>
      </c>
      <c r="F1041" t="s">
        <v>11</v>
      </c>
      <c r="G1041" t="s">
        <v>21</v>
      </c>
      <c r="H1041" t="s">
        <v>22</v>
      </c>
      <c r="I1041" s="2">
        <v>1143.3</v>
      </c>
      <c r="J1041" s="3">
        <v>2</v>
      </c>
      <c r="K1041" s="2">
        <v>263.11</v>
      </c>
    </row>
    <row r="1042" spans="1:11" x14ac:dyDescent="0.25">
      <c r="A1042" s="4">
        <v>42262</v>
      </c>
      <c r="B1042" s="3">
        <f>YEAR(SalesData[[#This Row],[Order Date]])</f>
        <v>2015</v>
      </c>
      <c r="C1042" s="3">
        <f>MONTH(SalesData[[#This Row],[Order Date]])</f>
        <v>9</v>
      </c>
      <c r="D1042" t="s">
        <v>23</v>
      </c>
      <c r="E1042" t="s">
        <v>19</v>
      </c>
      <c r="F1042" t="s">
        <v>15</v>
      </c>
      <c r="G1042" t="s">
        <v>38</v>
      </c>
      <c r="H1042" t="s">
        <v>39</v>
      </c>
      <c r="I1042" s="2">
        <v>1942.9</v>
      </c>
      <c r="J1042" s="3">
        <v>1</v>
      </c>
      <c r="K1042" s="2">
        <v>575.95000000000005</v>
      </c>
    </row>
    <row r="1043" spans="1:11" x14ac:dyDescent="0.25">
      <c r="A1043" s="4">
        <v>42263</v>
      </c>
      <c r="B1043" s="3">
        <f>YEAR(SalesData[[#This Row],[Order Date]])</f>
        <v>2015</v>
      </c>
      <c r="C1043" s="3">
        <f>MONTH(SalesData[[#This Row],[Order Date]])</f>
        <v>9</v>
      </c>
      <c r="D1043" t="s">
        <v>55</v>
      </c>
      <c r="E1043" t="s">
        <v>60</v>
      </c>
      <c r="F1043" t="s">
        <v>15</v>
      </c>
      <c r="G1043" t="s">
        <v>45</v>
      </c>
      <c r="H1043" t="s">
        <v>46</v>
      </c>
      <c r="I1043" s="2">
        <v>908.89</v>
      </c>
      <c r="J1043" s="3">
        <v>1</v>
      </c>
      <c r="K1043" s="2">
        <v>178.67</v>
      </c>
    </row>
    <row r="1044" spans="1:11" x14ac:dyDescent="0.25">
      <c r="A1044" s="4">
        <v>42263</v>
      </c>
      <c r="B1044" s="3">
        <f>YEAR(SalesData[[#This Row],[Order Date]])</f>
        <v>2015</v>
      </c>
      <c r="C1044" s="3">
        <f>MONTH(SalesData[[#This Row],[Order Date]])</f>
        <v>9</v>
      </c>
      <c r="D1044" t="s">
        <v>9</v>
      </c>
      <c r="E1044" t="s">
        <v>19</v>
      </c>
      <c r="F1044" t="s">
        <v>15</v>
      </c>
      <c r="G1044" t="s">
        <v>38</v>
      </c>
      <c r="H1044" t="s">
        <v>56</v>
      </c>
      <c r="I1044" s="2">
        <v>3026.94</v>
      </c>
      <c r="J1044" s="3">
        <v>9</v>
      </c>
      <c r="K1044" s="2">
        <v>52.06</v>
      </c>
    </row>
    <row r="1045" spans="1:11" x14ac:dyDescent="0.25">
      <c r="A1045" s="4">
        <v>42264</v>
      </c>
      <c r="B1045" s="3">
        <f>YEAR(SalesData[[#This Row],[Order Date]])</f>
        <v>2015</v>
      </c>
      <c r="C1045" s="3">
        <f>MONTH(SalesData[[#This Row],[Order Date]])</f>
        <v>9</v>
      </c>
      <c r="D1045" t="s">
        <v>23</v>
      </c>
      <c r="E1045" t="s">
        <v>60</v>
      </c>
      <c r="F1045" t="s">
        <v>27</v>
      </c>
      <c r="G1045" t="s">
        <v>32</v>
      </c>
      <c r="H1045" t="s">
        <v>33</v>
      </c>
      <c r="I1045" s="2">
        <v>881.94</v>
      </c>
      <c r="J1045" s="3">
        <v>3</v>
      </c>
      <c r="K1045" s="2">
        <v>12.52</v>
      </c>
    </row>
    <row r="1046" spans="1:11" x14ac:dyDescent="0.25">
      <c r="A1046" s="4">
        <v>42265</v>
      </c>
      <c r="B1046" s="3">
        <f>YEAR(SalesData[[#This Row],[Order Date]])</f>
        <v>2015</v>
      </c>
      <c r="C1046" s="3">
        <f>MONTH(SalesData[[#This Row],[Order Date]])</f>
        <v>9</v>
      </c>
      <c r="D1046" t="s">
        <v>68</v>
      </c>
      <c r="E1046" t="s">
        <v>34</v>
      </c>
      <c r="F1046" t="s">
        <v>15</v>
      </c>
      <c r="G1046" t="s">
        <v>41</v>
      </c>
      <c r="H1046" t="s">
        <v>61</v>
      </c>
      <c r="I1046" s="2">
        <v>4874.03</v>
      </c>
      <c r="J1046" s="3">
        <v>6</v>
      </c>
      <c r="K1046" s="2">
        <v>1380.49</v>
      </c>
    </row>
    <row r="1047" spans="1:11" x14ac:dyDescent="0.25">
      <c r="A1047" s="4">
        <v>42265</v>
      </c>
      <c r="B1047" s="3">
        <f>YEAR(SalesData[[#This Row],[Order Date]])</f>
        <v>2015</v>
      </c>
      <c r="C1047" s="3">
        <f>MONTH(SalesData[[#This Row],[Order Date]])</f>
        <v>9</v>
      </c>
      <c r="D1047" t="s">
        <v>14</v>
      </c>
      <c r="E1047" t="s">
        <v>26</v>
      </c>
      <c r="F1047" t="s">
        <v>11</v>
      </c>
      <c r="G1047" t="s">
        <v>12</v>
      </c>
      <c r="H1047" t="s">
        <v>13</v>
      </c>
      <c r="I1047" s="2">
        <v>3058.77</v>
      </c>
      <c r="J1047" s="3">
        <v>2</v>
      </c>
      <c r="K1047" s="2">
        <v>85.1</v>
      </c>
    </row>
    <row r="1048" spans="1:11" x14ac:dyDescent="0.25">
      <c r="A1048" s="4">
        <v>42265</v>
      </c>
      <c r="B1048" s="3">
        <f>YEAR(SalesData[[#This Row],[Order Date]])</f>
        <v>2015</v>
      </c>
      <c r="C1048" s="3">
        <f>MONTH(SalesData[[#This Row],[Order Date]])</f>
        <v>9</v>
      </c>
      <c r="D1048" t="s">
        <v>43</v>
      </c>
      <c r="E1048" t="s">
        <v>26</v>
      </c>
      <c r="F1048" t="s">
        <v>27</v>
      </c>
      <c r="G1048" t="s">
        <v>32</v>
      </c>
      <c r="H1048" t="s">
        <v>33</v>
      </c>
      <c r="I1048" s="2">
        <v>163.47</v>
      </c>
      <c r="J1048" s="3">
        <v>3</v>
      </c>
      <c r="K1048" s="2">
        <v>38.270000000000003</v>
      </c>
    </row>
    <row r="1049" spans="1:11" x14ac:dyDescent="0.25">
      <c r="A1049" s="4">
        <v>42270</v>
      </c>
      <c r="B1049" s="3">
        <f>YEAR(SalesData[[#This Row],[Order Date]])</f>
        <v>2015</v>
      </c>
      <c r="C1049" s="3">
        <f>MONTH(SalesData[[#This Row],[Order Date]])</f>
        <v>9</v>
      </c>
      <c r="D1049" t="s">
        <v>18</v>
      </c>
      <c r="E1049" t="s">
        <v>37</v>
      </c>
      <c r="F1049" t="s">
        <v>27</v>
      </c>
      <c r="G1049" t="s">
        <v>32</v>
      </c>
      <c r="H1049" t="s">
        <v>53</v>
      </c>
      <c r="I1049" s="2">
        <v>848.38</v>
      </c>
      <c r="J1049" s="3">
        <v>2</v>
      </c>
      <c r="K1049" s="2">
        <v>29.37</v>
      </c>
    </row>
    <row r="1050" spans="1:11" x14ac:dyDescent="0.25">
      <c r="A1050" s="4">
        <v>42271</v>
      </c>
      <c r="B1050" s="3">
        <f>YEAR(SalesData[[#This Row],[Order Date]])</f>
        <v>2015</v>
      </c>
      <c r="C1050" s="3">
        <f>MONTH(SalesData[[#This Row],[Order Date]])</f>
        <v>9</v>
      </c>
      <c r="D1050" t="s">
        <v>55</v>
      </c>
      <c r="E1050" t="s">
        <v>44</v>
      </c>
      <c r="F1050" t="s">
        <v>11</v>
      </c>
      <c r="G1050" t="s">
        <v>24</v>
      </c>
      <c r="H1050" t="s">
        <v>54</v>
      </c>
      <c r="I1050" s="2">
        <v>3036.95</v>
      </c>
      <c r="J1050" s="3">
        <v>7</v>
      </c>
      <c r="K1050" s="2">
        <v>746.35</v>
      </c>
    </row>
    <row r="1051" spans="1:11" x14ac:dyDescent="0.25">
      <c r="A1051" s="4">
        <v>42271</v>
      </c>
      <c r="B1051" s="3">
        <f>YEAR(SalesData[[#This Row],[Order Date]])</f>
        <v>2015</v>
      </c>
      <c r="C1051" s="3">
        <f>MONTH(SalesData[[#This Row],[Order Date]])</f>
        <v>9</v>
      </c>
      <c r="D1051" t="s">
        <v>23</v>
      </c>
      <c r="E1051" t="s">
        <v>31</v>
      </c>
      <c r="F1051" t="s">
        <v>11</v>
      </c>
      <c r="G1051" t="s">
        <v>21</v>
      </c>
      <c r="H1051" t="s">
        <v>22</v>
      </c>
      <c r="I1051" s="2">
        <v>3676.57</v>
      </c>
      <c r="J1051" s="3">
        <v>2</v>
      </c>
      <c r="K1051" s="2">
        <v>934.07</v>
      </c>
    </row>
    <row r="1052" spans="1:11" x14ac:dyDescent="0.25">
      <c r="A1052" s="4">
        <v>42272</v>
      </c>
      <c r="B1052" s="3">
        <f>YEAR(SalesData[[#This Row],[Order Date]])</f>
        <v>2015</v>
      </c>
      <c r="C1052" s="3">
        <f>MONTH(SalesData[[#This Row],[Order Date]])</f>
        <v>9</v>
      </c>
      <c r="D1052" t="s">
        <v>68</v>
      </c>
      <c r="E1052" t="s">
        <v>34</v>
      </c>
      <c r="F1052" t="s">
        <v>27</v>
      </c>
      <c r="G1052" t="s">
        <v>32</v>
      </c>
      <c r="H1052" t="s">
        <v>53</v>
      </c>
      <c r="I1052" s="2">
        <v>4555.88</v>
      </c>
      <c r="J1052" s="3">
        <v>10</v>
      </c>
      <c r="K1052" s="2">
        <v>85.45</v>
      </c>
    </row>
    <row r="1053" spans="1:11" x14ac:dyDescent="0.25">
      <c r="A1053" s="4">
        <v>42272</v>
      </c>
      <c r="B1053" s="3">
        <f>YEAR(SalesData[[#This Row],[Order Date]])</f>
        <v>2015</v>
      </c>
      <c r="C1053" s="3">
        <f>MONTH(SalesData[[#This Row],[Order Date]])</f>
        <v>9</v>
      </c>
      <c r="D1053" t="s">
        <v>50</v>
      </c>
      <c r="E1053" t="s">
        <v>60</v>
      </c>
      <c r="F1053" t="s">
        <v>15</v>
      </c>
      <c r="G1053" t="s">
        <v>41</v>
      </c>
      <c r="H1053" t="s">
        <v>42</v>
      </c>
      <c r="I1053" s="2">
        <v>2076.4699999999998</v>
      </c>
      <c r="J1053" s="3">
        <v>4</v>
      </c>
      <c r="K1053" s="2">
        <v>184.06</v>
      </c>
    </row>
    <row r="1054" spans="1:11" x14ac:dyDescent="0.25">
      <c r="A1054" s="4">
        <v>42274</v>
      </c>
      <c r="B1054" s="3">
        <f>YEAR(SalesData[[#This Row],[Order Date]])</f>
        <v>2015</v>
      </c>
      <c r="C1054" s="3">
        <f>MONTH(SalesData[[#This Row],[Order Date]])</f>
        <v>9</v>
      </c>
      <c r="D1054" t="s">
        <v>18</v>
      </c>
      <c r="E1054" t="s">
        <v>44</v>
      </c>
      <c r="F1054" t="s">
        <v>11</v>
      </c>
      <c r="G1054" t="s">
        <v>24</v>
      </c>
      <c r="H1054" t="s">
        <v>54</v>
      </c>
      <c r="I1054" s="2">
        <v>4283.8100000000004</v>
      </c>
      <c r="J1054" s="3">
        <v>6</v>
      </c>
      <c r="K1054" s="2">
        <v>924.93</v>
      </c>
    </row>
    <row r="1055" spans="1:11" x14ac:dyDescent="0.25">
      <c r="A1055" s="4">
        <v>42274</v>
      </c>
      <c r="B1055" s="3">
        <f>YEAR(SalesData[[#This Row],[Order Date]])</f>
        <v>2015</v>
      </c>
      <c r="C1055" s="3">
        <f>MONTH(SalesData[[#This Row],[Order Date]])</f>
        <v>9</v>
      </c>
      <c r="D1055" t="s">
        <v>62</v>
      </c>
      <c r="E1055" t="s">
        <v>19</v>
      </c>
      <c r="F1055" t="s">
        <v>15</v>
      </c>
      <c r="G1055" t="s">
        <v>16</v>
      </c>
      <c r="H1055" t="s">
        <v>51</v>
      </c>
      <c r="I1055" s="2">
        <v>313.01</v>
      </c>
      <c r="J1055" s="3">
        <v>2</v>
      </c>
      <c r="K1055" s="2">
        <v>64.17</v>
      </c>
    </row>
    <row r="1056" spans="1:11" x14ac:dyDescent="0.25">
      <c r="A1056" s="4">
        <v>42274</v>
      </c>
      <c r="B1056" s="3">
        <f>YEAR(SalesData[[#This Row],[Order Date]])</f>
        <v>2015</v>
      </c>
      <c r="C1056" s="3">
        <f>MONTH(SalesData[[#This Row],[Order Date]])</f>
        <v>9</v>
      </c>
      <c r="D1056" t="s">
        <v>23</v>
      </c>
      <c r="E1056" t="s">
        <v>19</v>
      </c>
      <c r="F1056" t="s">
        <v>11</v>
      </c>
      <c r="G1056" t="s">
        <v>35</v>
      </c>
      <c r="H1056" t="s">
        <v>71</v>
      </c>
      <c r="I1056" s="2">
        <v>1367.64</v>
      </c>
      <c r="J1056" s="3">
        <v>5</v>
      </c>
      <c r="K1056" s="2">
        <v>295.06</v>
      </c>
    </row>
    <row r="1057" spans="1:11" x14ac:dyDescent="0.25">
      <c r="A1057" s="4">
        <v>42276</v>
      </c>
      <c r="B1057" s="3">
        <f>YEAR(SalesData[[#This Row],[Order Date]])</f>
        <v>2015</v>
      </c>
      <c r="C1057" s="3">
        <f>MONTH(SalesData[[#This Row],[Order Date]])</f>
        <v>9</v>
      </c>
      <c r="D1057" t="s">
        <v>50</v>
      </c>
      <c r="E1057" t="s">
        <v>10</v>
      </c>
      <c r="F1057" t="s">
        <v>27</v>
      </c>
      <c r="G1057" t="s">
        <v>28</v>
      </c>
      <c r="H1057" t="s">
        <v>69</v>
      </c>
      <c r="I1057" s="2">
        <v>2676.08</v>
      </c>
      <c r="J1057" s="3">
        <v>3</v>
      </c>
      <c r="K1057" s="2">
        <v>552.58000000000004</v>
      </c>
    </row>
    <row r="1058" spans="1:11" x14ac:dyDescent="0.25">
      <c r="A1058" s="4">
        <v>42276</v>
      </c>
      <c r="B1058" s="3">
        <f>YEAR(SalesData[[#This Row],[Order Date]])</f>
        <v>2015</v>
      </c>
      <c r="C1058" s="3">
        <f>MONTH(SalesData[[#This Row],[Order Date]])</f>
        <v>9</v>
      </c>
      <c r="D1058" t="s">
        <v>30</v>
      </c>
      <c r="E1058" t="s">
        <v>52</v>
      </c>
      <c r="F1058" t="s">
        <v>15</v>
      </c>
      <c r="G1058" t="s">
        <v>38</v>
      </c>
      <c r="H1058" t="s">
        <v>39</v>
      </c>
      <c r="I1058" s="2">
        <v>3503.65</v>
      </c>
      <c r="J1058" s="3">
        <v>5</v>
      </c>
      <c r="K1058" s="2">
        <v>261.79000000000002</v>
      </c>
    </row>
    <row r="1059" spans="1:11" x14ac:dyDescent="0.25">
      <c r="A1059" s="4">
        <v>42276</v>
      </c>
      <c r="B1059" s="3">
        <f>YEAR(SalesData[[#This Row],[Order Date]])</f>
        <v>2015</v>
      </c>
      <c r="C1059" s="3">
        <f>MONTH(SalesData[[#This Row],[Order Date]])</f>
        <v>9</v>
      </c>
      <c r="D1059" t="s">
        <v>62</v>
      </c>
      <c r="E1059" t="s">
        <v>60</v>
      </c>
      <c r="F1059" t="s">
        <v>11</v>
      </c>
      <c r="G1059" t="s">
        <v>35</v>
      </c>
      <c r="H1059" t="s">
        <v>71</v>
      </c>
      <c r="I1059" s="2">
        <v>581.59</v>
      </c>
      <c r="J1059" s="3">
        <v>1</v>
      </c>
      <c r="K1059" s="2">
        <v>40.24</v>
      </c>
    </row>
    <row r="1060" spans="1:11" x14ac:dyDescent="0.25">
      <c r="A1060" s="4">
        <v>42276</v>
      </c>
      <c r="B1060" s="3">
        <f>YEAR(SalesData[[#This Row],[Order Date]])</f>
        <v>2015</v>
      </c>
      <c r="C1060" s="3">
        <f>MONTH(SalesData[[#This Row],[Order Date]])</f>
        <v>9</v>
      </c>
      <c r="D1060" t="s">
        <v>47</v>
      </c>
      <c r="E1060" t="s">
        <v>34</v>
      </c>
      <c r="F1060" t="s">
        <v>27</v>
      </c>
      <c r="G1060" t="s">
        <v>28</v>
      </c>
      <c r="H1060" t="s">
        <v>69</v>
      </c>
      <c r="I1060" s="2">
        <v>1688.14</v>
      </c>
      <c r="J1060" s="3">
        <v>2</v>
      </c>
      <c r="K1060" s="2">
        <v>65.88</v>
      </c>
    </row>
    <row r="1061" spans="1:11" x14ac:dyDescent="0.25">
      <c r="A1061" s="4">
        <v>42276</v>
      </c>
      <c r="B1061" s="3">
        <f>YEAR(SalesData[[#This Row],[Order Date]])</f>
        <v>2015</v>
      </c>
      <c r="C1061" s="3">
        <f>MONTH(SalesData[[#This Row],[Order Date]])</f>
        <v>9</v>
      </c>
      <c r="D1061" t="s">
        <v>50</v>
      </c>
      <c r="E1061" t="s">
        <v>19</v>
      </c>
      <c r="F1061" t="s">
        <v>11</v>
      </c>
      <c r="G1061" t="s">
        <v>12</v>
      </c>
      <c r="H1061" t="s">
        <v>65</v>
      </c>
      <c r="I1061" s="2">
        <v>1463.66</v>
      </c>
      <c r="J1061" s="3">
        <v>7</v>
      </c>
      <c r="K1061" s="2">
        <v>113.59</v>
      </c>
    </row>
    <row r="1062" spans="1:11" x14ac:dyDescent="0.25">
      <c r="A1062" s="4">
        <v>42276</v>
      </c>
      <c r="B1062" s="3">
        <f>YEAR(SalesData[[#This Row],[Order Date]])</f>
        <v>2015</v>
      </c>
      <c r="C1062" s="3">
        <f>MONTH(SalesData[[#This Row],[Order Date]])</f>
        <v>9</v>
      </c>
      <c r="D1062" t="s">
        <v>20</v>
      </c>
      <c r="E1062" t="s">
        <v>37</v>
      </c>
      <c r="F1062" t="s">
        <v>27</v>
      </c>
      <c r="G1062" t="s">
        <v>28</v>
      </c>
      <c r="H1062" t="s">
        <v>69</v>
      </c>
      <c r="I1062" s="2">
        <v>3419.3</v>
      </c>
      <c r="J1062" s="3">
        <v>4</v>
      </c>
      <c r="K1062" s="2">
        <v>322.08</v>
      </c>
    </row>
    <row r="1063" spans="1:11" x14ac:dyDescent="0.25">
      <c r="A1063" s="4">
        <v>42276</v>
      </c>
      <c r="B1063" s="3">
        <f>YEAR(SalesData[[#This Row],[Order Date]])</f>
        <v>2015</v>
      </c>
      <c r="C1063" s="3">
        <f>MONTH(SalesData[[#This Row],[Order Date]])</f>
        <v>9</v>
      </c>
      <c r="D1063" t="s">
        <v>30</v>
      </c>
      <c r="E1063" t="s">
        <v>60</v>
      </c>
      <c r="F1063" t="s">
        <v>15</v>
      </c>
      <c r="G1063" t="s">
        <v>41</v>
      </c>
      <c r="H1063" t="s">
        <v>42</v>
      </c>
      <c r="I1063" s="2">
        <v>976</v>
      </c>
      <c r="J1063" s="3">
        <v>2</v>
      </c>
      <c r="K1063" s="2">
        <v>238.46</v>
      </c>
    </row>
    <row r="1064" spans="1:11" x14ac:dyDescent="0.25">
      <c r="A1064" s="4">
        <v>42277</v>
      </c>
      <c r="B1064" s="3">
        <f>YEAR(SalesData[[#This Row],[Order Date]])</f>
        <v>2015</v>
      </c>
      <c r="C1064" s="3">
        <f>MONTH(SalesData[[#This Row],[Order Date]])</f>
        <v>9</v>
      </c>
      <c r="D1064" t="s">
        <v>18</v>
      </c>
      <c r="E1064" t="s">
        <v>44</v>
      </c>
      <c r="F1064" t="s">
        <v>11</v>
      </c>
      <c r="G1064" t="s">
        <v>21</v>
      </c>
      <c r="H1064" t="s">
        <v>67</v>
      </c>
      <c r="I1064" s="2">
        <v>1707.02</v>
      </c>
      <c r="J1064" s="3">
        <v>9</v>
      </c>
      <c r="K1064" s="2">
        <v>433.07</v>
      </c>
    </row>
    <row r="1065" spans="1:11" x14ac:dyDescent="0.25">
      <c r="A1065" s="4">
        <v>42277</v>
      </c>
      <c r="B1065" s="3">
        <f>YEAR(SalesData[[#This Row],[Order Date]])</f>
        <v>2015</v>
      </c>
      <c r="C1065" s="3">
        <f>MONTH(SalesData[[#This Row],[Order Date]])</f>
        <v>9</v>
      </c>
      <c r="D1065" t="s">
        <v>47</v>
      </c>
      <c r="E1065" t="s">
        <v>19</v>
      </c>
      <c r="F1065" t="s">
        <v>15</v>
      </c>
      <c r="G1065" t="s">
        <v>41</v>
      </c>
      <c r="H1065" t="s">
        <v>61</v>
      </c>
      <c r="I1065" s="2">
        <v>167.46</v>
      </c>
      <c r="J1065" s="3">
        <v>3</v>
      </c>
      <c r="K1065" s="2">
        <v>44.51</v>
      </c>
    </row>
    <row r="1066" spans="1:11" x14ac:dyDescent="0.25">
      <c r="A1066" s="4">
        <v>42278</v>
      </c>
      <c r="B1066" s="3">
        <f>YEAR(SalesData[[#This Row],[Order Date]])</f>
        <v>2015</v>
      </c>
      <c r="C1066" s="3">
        <f>MONTH(SalesData[[#This Row],[Order Date]])</f>
        <v>10</v>
      </c>
      <c r="D1066" t="s">
        <v>23</v>
      </c>
      <c r="E1066" t="s">
        <v>52</v>
      </c>
      <c r="F1066" t="s">
        <v>11</v>
      </c>
      <c r="G1066" t="s">
        <v>12</v>
      </c>
      <c r="H1066" t="s">
        <v>13</v>
      </c>
      <c r="I1066" s="2">
        <v>2729.01</v>
      </c>
      <c r="J1066" s="3">
        <v>5</v>
      </c>
      <c r="K1066" s="2">
        <v>466.07</v>
      </c>
    </row>
    <row r="1067" spans="1:11" x14ac:dyDescent="0.25">
      <c r="A1067" s="4">
        <v>42279</v>
      </c>
      <c r="B1067" s="3">
        <f>YEAR(SalesData[[#This Row],[Order Date]])</f>
        <v>2015</v>
      </c>
      <c r="C1067" s="3">
        <f>MONTH(SalesData[[#This Row],[Order Date]])</f>
        <v>10</v>
      </c>
      <c r="D1067" t="s">
        <v>50</v>
      </c>
      <c r="E1067" t="s">
        <v>19</v>
      </c>
      <c r="F1067" t="s">
        <v>11</v>
      </c>
      <c r="G1067" t="s">
        <v>24</v>
      </c>
      <c r="H1067" t="s">
        <v>54</v>
      </c>
      <c r="I1067" s="2">
        <v>3739.81</v>
      </c>
      <c r="J1067" s="3">
        <v>6</v>
      </c>
      <c r="K1067" s="2">
        <v>16.07</v>
      </c>
    </row>
    <row r="1068" spans="1:11" x14ac:dyDescent="0.25">
      <c r="A1068" s="4">
        <v>42279</v>
      </c>
      <c r="B1068" s="3">
        <f>YEAR(SalesData[[#This Row],[Order Date]])</f>
        <v>2015</v>
      </c>
      <c r="C1068" s="3">
        <f>MONTH(SalesData[[#This Row],[Order Date]])</f>
        <v>10</v>
      </c>
      <c r="D1068" t="s">
        <v>50</v>
      </c>
      <c r="E1068" t="s">
        <v>52</v>
      </c>
      <c r="F1068" t="s">
        <v>27</v>
      </c>
      <c r="G1068" t="s">
        <v>32</v>
      </c>
      <c r="H1068" t="s">
        <v>33</v>
      </c>
      <c r="I1068" s="2">
        <v>291.85000000000002</v>
      </c>
      <c r="J1068" s="3">
        <v>2</v>
      </c>
      <c r="K1068" s="2">
        <v>45.56</v>
      </c>
    </row>
    <row r="1069" spans="1:11" x14ac:dyDescent="0.25">
      <c r="A1069" s="4">
        <v>42280</v>
      </c>
      <c r="B1069" s="3">
        <f>YEAR(SalesData[[#This Row],[Order Date]])</f>
        <v>2015</v>
      </c>
      <c r="C1069" s="3">
        <f>MONTH(SalesData[[#This Row],[Order Date]])</f>
        <v>10</v>
      </c>
      <c r="D1069" t="s">
        <v>20</v>
      </c>
      <c r="E1069" t="s">
        <v>40</v>
      </c>
      <c r="F1069" t="s">
        <v>27</v>
      </c>
      <c r="G1069" t="s">
        <v>32</v>
      </c>
      <c r="H1069" t="s">
        <v>53</v>
      </c>
      <c r="I1069" s="2">
        <v>243.7</v>
      </c>
      <c r="J1069" s="3">
        <v>7</v>
      </c>
      <c r="K1069" s="2">
        <v>69.02</v>
      </c>
    </row>
    <row r="1070" spans="1:11" x14ac:dyDescent="0.25">
      <c r="A1070" s="4">
        <v>42280</v>
      </c>
      <c r="B1070" s="3">
        <f>YEAR(SalesData[[#This Row],[Order Date]])</f>
        <v>2015</v>
      </c>
      <c r="C1070" s="3">
        <f>MONTH(SalesData[[#This Row],[Order Date]])</f>
        <v>10</v>
      </c>
      <c r="D1070" t="s">
        <v>23</v>
      </c>
      <c r="E1070" t="s">
        <v>60</v>
      </c>
      <c r="F1070" t="s">
        <v>11</v>
      </c>
      <c r="G1070" t="s">
        <v>12</v>
      </c>
      <c r="H1070" t="s">
        <v>13</v>
      </c>
      <c r="I1070" s="2">
        <v>1456.17</v>
      </c>
      <c r="J1070" s="3">
        <v>4</v>
      </c>
      <c r="K1070" s="2">
        <v>311.79000000000002</v>
      </c>
    </row>
    <row r="1071" spans="1:11" x14ac:dyDescent="0.25">
      <c r="A1071" s="4">
        <v>42282</v>
      </c>
      <c r="B1071" s="3">
        <f>YEAR(SalesData[[#This Row],[Order Date]])</f>
        <v>2015</v>
      </c>
      <c r="C1071" s="3">
        <f>MONTH(SalesData[[#This Row],[Order Date]])</f>
        <v>10</v>
      </c>
      <c r="D1071" t="s">
        <v>20</v>
      </c>
      <c r="E1071" t="s">
        <v>31</v>
      </c>
      <c r="F1071" t="s">
        <v>15</v>
      </c>
      <c r="G1071" t="s">
        <v>38</v>
      </c>
      <c r="H1071" t="s">
        <v>56</v>
      </c>
      <c r="I1071" s="2">
        <v>1642.9</v>
      </c>
      <c r="J1071" s="3">
        <v>5</v>
      </c>
      <c r="K1071" s="2">
        <v>489.11</v>
      </c>
    </row>
    <row r="1072" spans="1:11" x14ac:dyDescent="0.25">
      <c r="A1072" s="4">
        <v>42282</v>
      </c>
      <c r="B1072" s="3">
        <f>YEAR(SalesData[[#This Row],[Order Date]])</f>
        <v>2015</v>
      </c>
      <c r="C1072" s="3">
        <f>MONTH(SalesData[[#This Row],[Order Date]])</f>
        <v>10</v>
      </c>
      <c r="D1072" t="s">
        <v>23</v>
      </c>
      <c r="E1072" t="s">
        <v>40</v>
      </c>
      <c r="F1072" t="s">
        <v>27</v>
      </c>
      <c r="G1072" t="s">
        <v>48</v>
      </c>
      <c r="H1072" t="s">
        <v>57</v>
      </c>
      <c r="I1072" s="2">
        <v>2028.48</v>
      </c>
      <c r="J1072" s="3">
        <v>6</v>
      </c>
      <c r="K1072" s="2">
        <v>419.09</v>
      </c>
    </row>
    <row r="1073" spans="1:11" x14ac:dyDescent="0.25">
      <c r="A1073" s="4">
        <v>42282</v>
      </c>
      <c r="B1073" s="3">
        <f>YEAR(SalesData[[#This Row],[Order Date]])</f>
        <v>2015</v>
      </c>
      <c r="C1073" s="3">
        <f>MONTH(SalesData[[#This Row],[Order Date]])</f>
        <v>10</v>
      </c>
      <c r="D1073" t="s">
        <v>43</v>
      </c>
      <c r="E1073" t="s">
        <v>31</v>
      </c>
      <c r="F1073" t="s">
        <v>15</v>
      </c>
      <c r="G1073" t="s">
        <v>45</v>
      </c>
      <c r="H1073" t="s">
        <v>46</v>
      </c>
      <c r="I1073" s="2">
        <v>4966.75</v>
      </c>
      <c r="J1073" s="3">
        <v>7</v>
      </c>
      <c r="K1073" s="2">
        <v>248.52</v>
      </c>
    </row>
    <row r="1074" spans="1:11" x14ac:dyDescent="0.25">
      <c r="A1074" s="4">
        <v>42282</v>
      </c>
      <c r="B1074" s="3">
        <f>YEAR(SalesData[[#This Row],[Order Date]])</f>
        <v>2015</v>
      </c>
      <c r="C1074" s="3">
        <f>MONTH(SalesData[[#This Row],[Order Date]])</f>
        <v>10</v>
      </c>
      <c r="D1074" t="s">
        <v>18</v>
      </c>
      <c r="E1074" t="s">
        <v>34</v>
      </c>
      <c r="F1074" t="s">
        <v>27</v>
      </c>
      <c r="G1074" t="s">
        <v>32</v>
      </c>
      <c r="H1074" t="s">
        <v>53</v>
      </c>
      <c r="I1074" s="2">
        <v>3302.19</v>
      </c>
      <c r="J1074" s="3">
        <v>10</v>
      </c>
      <c r="K1074" s="2">
        <v>396.9</v>
      </c>
    </row>
    <row r="1075" spans="1:11" x14ac:dyDescent="0.25">
      <c r="A1075" s="4">
        <v>42284</v>
      </c>
      <c r="B1075" s="3">
        <f>YEAR(SalesData[[#This Row],[Order Date]])</f>
        <v>2015</v>
      </c>
      <c r="C1075" s="3">
        <f>MONTH(SalesData[[#This Row],[Order Date]])</f>
        <v>10</v>
      </c>
      <c r="D1075" t="s">
        <v>43</v>
      </c>
      <c r="E1075" t="s">
        <v>37</v>
      </c>
      <c r="F1075" t="s">
        <v>11</v>
      </c>
      <c r="G1075" t="s">
        <v>21</v>
      </c>
      <c r="H1075" t="s">
        <v>67</v>
      </c>
      <c r="I1075" s="2">
        <v>3265.98</v>
      </c>
      <c r="J1075" s="3">
        <v>9</v>
      </c>
      <c r="K1075" s="2">
        <v>889.78</v>
      </c>
    </row>
    <row r="1076" spans="1:11" x14ac:dyDescent="0.25">
      <c r="A1076" s="4">
        <v>42285</v>
      </c>
      <c r="B1076" s="3">
        <f>YEAR(SalesData[[#This Row],[Order Date]])</f>
        <v>2015</v>
      </c>
      <c r="C1076" s="3">
        <f>MONTH(SalesData[[#This Row],[Order Date]])</f>
        <v>10</v>
      </c>
      <c r="D1076" t="s">
        <v>30</v>
      </c>
      <c r="E1076" t="s">
        <v>26</v>
      </c>
      <c r="F1076" t="s">
        <v>11</v>
      </c>
      <c r="G1076" t="s">
        <v>24</v>
      </c>
      <c r="H1076" t="s">
        <v>25</v>
      </c>
      <c r="I1076" s="2">
        <v>419.94</v>
      </c>
      <c r="J1076" s="3">
        <v>5</v>
      </c>
      <c r="K1076" s="2">
        <v>94.02</v>
      </c>
    </row>
    <row r="1077" spans="1:11" x14ac:dyDescent="0.25">
      <c r="A1077" s="4">
        <v>42285</v>
      </c>
      <c r="B1077" s="3">
        <f>YEAR(SalesData[[#This Row],[Order Date]])</f>
        <v>2015</v>
      </c>
      <c r="C1077" s="3">
        <f>MONTH(SalesData[[#This Row],[Order Date]])</f>
        <v>10</v>
      </c>
      <c r="D1077" t="s">
        <v>47</v>
      </c>
      <c r="E1077" t="s">
        <v>37</v>
      </c>
      <c r="F1077" t="s">
        <v>15</v>
      </c>
      <c r="G1077" t="s">
        <v>63</v>
      </c>
      <c r="H1077" t="s">
        <v>66</v>
      </c>
      <c r="I1077" s="2">
        <v>2057.4699999999998</v>
      </c>
      <c r="J1077" s="3">
        <v>5</v>
      </c>
      <c r="K1077" s="2">
        <v>320.27</v>
      </c>
    </row>
    <row r="1078" spans="1:11" x14ac:dyDescent="0.25">
      <c r="A1078" s="4">
        <v>42286</v>
      </c>
      <c r="B1078" s="3">
        <f>YEAR(SalesData[[#This Row],[Order Date]])</f>
        <v>2015</v>
      </c>
      <c r="C1078" s="3">
        <f>MONTH(SalesData[[#This Row],[Order Date]])</f>
        <v>10</v>
      </c>
      <c r="D1078" t="s">
        <v>55</v>
      </c>
      <c r="E1078" t="s">
        <v>52</v>
      </c>
      <c r="F1078" t="s">
        <v>15</v>
      </c>
      <c r="G1078" t="s">
        <v>16</v>
      </c>
      <c r="H1078" t="s">
        <v>51</v>
      </c>
      <c r="I1078" s="2">
        <v>4165.3</v>
      </c>
      <c r="J1078" s="3">
        <v>7</v>
      </c>
      <c r="K1078" s="2">
        <v>359.21</v>
      </c>
    </row>
    <row r="1079" spans="1:11" x14ac:dyDescent="0.25">
      <c r="A1079" s="4">
        <v>42287</v>
      </c>
      <c r="B1079" s="3">
        <f>YEAR(SalesData[[#This Row],[Order Date]])</f>
        <v>2015</v>
      </c>
      <c r="C1079" s="3">
        <f>MONTH(SalesData[[#This Row],[Order Date]])</f>
        <v>10</v>
      </c>
      <c r="D1079" t="s">
        <v>50</v>
      </c>
      <c r="E1079" t="s">
        <v>10</v>
      </c>
      <c r="F1079" t="s">
        <v>15</v>
      </c>
      <c r="G1079" t="s">
        <v>63</v>
      </c>
      <c r="H1079" t="s">
        <v>64</v>
      </c>
      <c r="I1079" s="2">
        <v>3407.22</v>
      </c>
      <c r="J1079" s="3">
        <v>7</v>
      </c>
      <c r="K1079" s="2">
        <v>60.6</v>
      </c>
    </row>
    <row r="1080" spans="1:11" x14ac:dyDescent="0.25">
      <c r="A1080" s="4">
        <v>42289</v>
      </c>
      <c r="B1080" s="3">
        <f>YEAR(SalesData[[#This Row],[Order Date]])</f>
        <v>2015</v>
      </c>
      <c r="C1080" s="3">
        <f>MONTH(SalesData[[#This Row],[Order Date]])</f>
        <v>10</v>
      </c>
      <c r="D1080" t="s">
        <v>30</v>
      </c>
      <c r="E1080" t="s">
        <v>10</v>
      </c>
      <c r="F1080" t="s">
        <v>15</v>
      </c>
      <c r="G1080" t="s">
        <v>41</v>
      </c>
      <c r="H1080" t="s">
        <v>42</v>
      </c>
      <c r="I1080" s="2">
        <v>3085.24</v>
      </c>
      <c r="J1080" s="3">
        <v>3</v>
      </c>
      <c r="K1080" s="2">
        <v>320.69</v>
      </c>
    </row>
    <row r="1081" spans="1:11" x14ac:dyDescent="0.25">
      <c r="A1081" s="4">
        <v>42289</v>
      </c>
      <c r="B1081" s="3">
        <f>YEAR(SalesData[[#This Row],[Order Date]])</f>
        <v>2015</v>
      </c>
      <c r="C1081" s="3">
        <f>MONTH(SalesData[[#This Row],[Order Date]])</f>
        <v>10</v>
      </c>
      <c r="D1081" t="s">
        <v>62</v>
      </c>
      <c r="E1081" t="s">
        <v>10</v>
      </c>
      <c r="F1081" t="s">
        <v>11</v>
      </c>
      <c r="G1081" t="s">
        <v>35</v>
      </c>
      <c r="H1081" t="s">
        <v>70</v>
      </c>
      <c r="I1081" s="2">
        <v>238.85</v>
      </c>
      <c r="J1081" s="3">
        <v>3</v>
      </c>
      <c r="K1081" s="2">
        <v>49.56</v>
      </c>
    </row>
    <row r="1082" spans="1:11" x14ac:dyDescent="0.25">
      <c r="A1082" s="4">
        <v>42290</v>
      </c>
      <c r="B1082" s="3">
        <f>YEAR(SalesData[[#This Row],[Order Date]])</f>
        <v>2015</v>
      </c>
      <c r="C1082" s="3">
        <f>MONTH(SalesData[[#This Row],[Order Date]])</f>
        <v>10</v>
      </c>
      <c r="D1082" t="s">
        <v>55</v>
      </c>
      <c r="E1082" t="s">
        <v>10</v>
      </c>
      <c r="F1082" t="s">
        <v>27</v>
      </c>
      <c r="G1082" t="s">
        <v>32</v>
      </c>
      <c r="H1082" t="s">
        <v>33</v>
      </c>
      <c r="I1082" s="2">
        <v>4684.67</v>
      </c>
      <c r="J1082" s="3">
        <v>1</v>
      </c>
      <c r="K1082" s="2">
        <v>463.09</v>
      </c>
    </row>
    <row r="1083" spans="1:11" x14ac:dyDescent="0.25">
      <c r="A1083" s="4">
        <v>42290</v>
      </c>
      <c r="B1083" s="3">
        <f>YEAR(SalesData[[#This Row],[Order Date]])</f>
        <v>2015</v>
      </c>
      <c r="C1083" s="3">
        <f>MONTH(SalesData[[#This Row],[Order Date]])</f>
        <v>10</v>
      </c>
      <c r="D1083" t="s">
        <v>43</v>
      </c>
      <c r="E1083" t="s">
        <v>60</v>
      </c>
      <c r="F1083" t="s">
        <v>11</v>
      </c>
      <c r="G1083" t="s">
        <v>35</v>
      </c>
      <c r="H1083" t="s">
        <v>71</v>
      </c>
      <c r="I1083" s="2">
        <v>4211.3100000000004</v>
      </c>
      <c r="J1083" s="3">
        <v>2</v>
      </c>
      <c r="K1083" s="2">
        <v>548.57000000000005</v>
      </c>
    </row>
    <row r="1084" spans="1:11" x14ac:dyDescent="0.25">
      <c r="A1084" s="4">
        <v>42290</v>
      </c>
      <c r="B1084" s="3">
        <f>YEAR(SalesData[[#This Row],[Order Date]])</f>
        <v>2015</v>
      </c>
      <c r="C1084" s="3">
        <f>MONTH(SalesData[[#This Row],[Order Date]])</f>
        <v>10</v>
      </c>
      <c r="D1084" t="s">
        <v>9</v>
      </c>
      <c r="E1084" t="s">
        <v>26</v>
      </c>
      <c r="F1084" t="s">
        <v>15</v>
      </c>
      <c r="G1084" t="s">
        <v>38</v>
      </c>
      <c r="H1084" t="s">
        <v>56</v>
      </c>
      <c r="I1084" s="2">
        <v>1233.95</v>
      </c>
      <c r="J1084" s="3">
        <v>5</v>
      </c>
      <c r="K1084" s="2">
        <v>72.64</v>
      </c>
    </row>
    <row r="1085" spans="1:11" x14ac:dyDescent="0.25">
      <c r="A1085" s="4">
        <v>42291</v>
      </c>
      <c r="B1085" s="3">
        <f>YEAR(SalesData[[#This Row],[Order Date]])</f>
        <v>2015</v>
      </c>
      <c r="C1085" s="3">
        <f>MONTH(SalesData[[#This Row],[Order Date]])</f>
        <v>10</v>
      </c>
      <c r="D1085" t="s">
        <v>50</v>
      </c>
      <c r="E1085" t="s">
        <v>19</v>
      </c>
      <c r="F1085" t="s">
        <v>11</v>
      </c>
      <c r="G1085" t="s">
        <v>24</v>
      </c>
      <c r="H1085" t="s">
        <v>54</v>
      </c>
      <c r="I1085" s="2">
        <v>3959.55</v>
      </c>
      <c r="J1085" s="3">
        <v>9</v>
      </c>
      <c r="K1085" s="2">
        <v>352.66</v>
      </c>
    </row>
    <row r="1086" spans="1:11" x14ac:dyDescent="0.25">
      <c r="A1086" s="4">
        <v>42293</v>
      </c>
      <c r="B1086" s="3">
        <f>YEAR(SalesData[[#This Row],[Order Date]])</f>
        <v>2015</v>
      </c>
      <c r="C1086" s="3">
        <f>MONTH(SalesData[[#This Row],[Order Date]])</f>
        <v>10</v>
      </c>
      <c r="D1086" t="s">
        <v>62</v>
      </c>
      <c r="E1086" t="s">
        <v>26</v>
      </c>
      <c r="F1086" t="s">
        <v>11</v>
      </c>
      <c r="G1086" t="s">
        <v>12</v>
      </c>
      <c r="H1086" t="s">
        <v>65</v>
      </c>
      <c r="I1086" s="2">
        <v>1872.23</v>
      </c>
      <c r="J1086" s="3">
        <v>3</v>
      </c>
      <c r="K1086" s="2">
        <v>47.27</v>
      </c>
    </row>
    <row r="1087" spans="1:11" x14ac:dyDescent="0.25">
      <c r="A1087" s="4">
        <v>42293</v>
      </c>
      <c r="B1087" s="3">
        <f>YEAR(SalesData[[#This Row],[Order Date]])</f>
        <v>2015</v>
      </c>
      <c r="C1087" s="3">
        <f>MONTH(SalesData[[#This Row],[Order Date]])</f>
        <v>10</v>
      </c>
      <c r="D1087" t="s">
        <v>43</v>
      </c>
      <c r="E1087" t="s">
        <v>34</v>
      </c>
      <c r="F1087" t="s">
        <v>11</v>
      </c>
      <c r="G1087" t="s">
        <v>24</v>
      </c>
      <c r="H1087" t="s">
        <v>25</v>
      </c>
      <c r="I1087" s="2">
        <v>2817.34</v>
      </c>
      <c r="J1087" s="3">
        <v>8</v>
      </c>
      <c r="K1087" s="2">
        <v>599.91</v>
      </c>
    </row>
    <row r="1088" spans="1:11" x14ac:dyDescent="0.25">
      <c r="A1088" s="4">
        <v>42294</v>
      </c>
      <c r="B1088" s="3">
        <f>YEAR(SalesData[[#This Row],[Order Date]])</f>
        <v>2015</v>
      </c>
      <c r="C1088" s="3">
        <f>MONTH(SalesData[[#This Row],[Order Date]])</f>
        <v>10</v>
      </c>
      <c r="D1088" t="s">
        <v>68</v>
      </c>
      <c r="E1088" t="s">
        <v>26</v>
      </c>
      <c r="F1088" t="s">
        <v>11</v>
      </c>
      <c r="G1088" t="s">
        <v>21</v>
      </c>
      <c r="H1088" t="s">
        <v>22</v>
      </c>
      <c r="I1088" s="2">
        <v>1756.65</v>
      </c>
      <c r="J1088" s="3">
        <v>7</v>
      </c>
      <c r="K1088" s="2">
        <v>388.44</v>
      </c>
    </row>
    <row r="1089" spans="1:11" x14ac:dyDescent="0.25">
      <c r="A1089" s="4">
        <v>42294</v>
      </c>
      <c r="B1089" s="3">
        <f>YEAR(SalesData[[#This Row],[Order Date]])</f>
        <v>2015</v>
      </c>
      <c r="C1089" s="3">
        <f>MONTH(SalesData[[#This Row],[Order Date]])</f>
        <v>10</v>
      </c>
      <c r="D1089" t="s">
        <v>20</v>
      </c>
      <c r="E1089" t="s">
        <v>60</v>
      </c>
      <c r="F1089" t="s">
        <v>11</v>
      </c>
      <c r="G1089" t="s">
        <v>21</v>
      </c>
      <c r="H1089" t="s">
        <v>22</v>
      </c>
      <c r="I1089" s="2">
        <v>2186.31</v>
      </c>
      <c r="J1089" s="3">
        <v>6</v>
      </c>
      <c r="K1089" s="2">
        <v>196.34</v>
      </c>
    </row>
    <row r="1090" spans="1:11" x14ac:dyDescent="0.25">
      <c r="A1090" s="4">
        <v>42294</v>
      </c>
      <c r="B1090" s="3">
        <f>YEAR(SalesData[[#This Row],[Order Date]])</f>
        <v>2015</v>
      </c>
      <c r="C1090" s="3">
        <f>MONTH(SalesData[[#This Row],[Order Date]])</f>
        <v>10</v>
      </c>
      <c r="D1090" t="s">
        <v>20</v>
      </c>
      <c r="E1090" t="s">
        <v>31</v>
      </c>
      <c r="F1090" t="s">
        <v>27</v>
      </c>
      <c r="G1090" t="s">
        <v>28</v>
      </c>
      <c r="H1090" t="s">
        <v>58</v>
      </c>
      <c r="I1090" s="2">
        <v>1764.68</v>
      </c>
      <c r="J1090" s="3">
        <v>3</v>
      </c>
      <c r="K1090" s="2">
        <v>219.7</v>
      </c>
    </row>
    <row r="1091" spans="1:11" x14ac:dyDescent="0.25">
      <c r="A1091" s="4">
        <v>42295</v>
      </c>
      <c r="B1091" s="3">
        <f>YEAR(SalesData[[#This Row],[Order Date]])</f>
        <v>2015</v>
      </c>
      <c r="C1091" s="3">
        <f>MONTH(SalesData[[#This Row],[Order Date]])</f>
        <v>10</v>
      </c>
      <c r="D1091" t="s">
        <v>18</v>
      </c>
      <c r="E1091" t="s">
        <v>19</v>
      </c>
      <c r="F1091" t="s">
        <v>11</v>
      </c>
      <c r="G1091" t="s">
        <v>21</v>
      </c>
      <c r="H1091" t="s">
        <v>67</v>
      </c>
      <c r="I1091" s="2">
        <v>4929.6499999999996</v>
      </c>
      <c r="J1091" s="3">
        <v>1</v>
      </c>
      <c r="K1091" s="2">
        <v>583.36</v>
      </c>
    </row>
    <row r="1092" spans="1:11" x14ac:dyDescent="0.25">
      <c r="A1092" s="4">
        <v>42295</v>
      </c>
      <c r="B1092" s="3">
        <f>YEAR(SalesData[[#This Row],[Order Date]])</f>
        <v>2015</v>
      </c>
      <c r="C1092" s="3">
        <f>MONTH(SalesData[[#This Row],[Order Date]])</f>
        <v>10</v>
      </c>
      <c r="D1092" t="s">
        <v>62</v>
      </c>
      <c r="E1092" t="s">
        <v>31</v>
      </c>
      <c r="F1092" t="s">
        <v>11</v>
      </c>
      <c r="G1092" t="s">
        <v>21</v>
      </c>
      <c r="H1092" t="s">
        <v>22</v>
      </c>
      <c r="I1092" s="2">
        <v>969.42</v>
      </c>
      <c r="J1092" s="3">
        <v>8</v>
      </c>
      <c r="K1092" s="2">
        <v>114.4</v>
      </c>
    </row>
    <row r="1093" spans="1:11" x14ac:dyDescent="0.25">
      <c r="A1093" s="4">
        <v>42295</v>
      </c>
      <c r="B1093" s="3">
        <f>YEAR(SalesData[[#This Row],[Order Date]])</f>
        <v>2015</v>
      </c>
      <c r="C1093" s="3">
        <f>MONTH(SalesData[[#This Row],[Order Date]])</f>
        <v>10</v>
      </c>
      <c r="D1093" t="s">
        <v>18</v>
      </c>
      <c r="E1093" t="s">
        <v>44</v>
      </c>
      <c r="F1093" t="s">
        <v>27</v>
      </c>
      <c r="G1093" t="s">
        <v>48</v>
      </c>
      <c r="H1093" t="s">
        <v>49</v>
      </c>
      <c r="I1093" s="2">
        <v>1467.93</v>
      </c>
      <c r="J1093" s="3">
        <v>5</v>
      </c>
      <c r="K1093" s="2">
        <v>388.45</v>
      </c>
    </row>
    <row r="1094" spans="1:11" x14ac:dyDescent="0.25">
      <c r="A1094" s="4">
        <v>42296</v>
      </c>
      <c r="B1094" s="3">
        <f>YEAR(SalesData[[#This Row],[Order Date]])</f>
        <v>2015</v>
      </c>
      <c r="C1094" s="3">
        <f>MONTH(SalesData[[#This Row],[Order Date]])</f>
        <v>10</v>
      </c>
      <c r="D1094" t="s">
        <v>30</v>
      </c>
      <c r="E1094" t="s">
        <v>52</v>
      </c>
      <c r="F1094" t="s">
        <v>27</v>
      </c>
      <c r="G1094" t="s">
        <v>28</v>
      </c>
      <c r="H1094" t="s">
        <v>69</v>
      </c>
      <c r="I1094" s="2">
        <v>4805.87</v>
      </c>
      <c r="J1094" s="3">
        <v>1</v>
      </c>
      <c r="K1094" s="2">
        <v>1156.53</v>
      </c>
    </row>
    <row r="1095" spans="1:11" x14ac:dyDescent="0.25">
      <c r="A1095" s="4">
        <v>42297</v>
      </c>
      <c r="B1095" s="3">
        <f>YEAR(SalesData[[#This Row],[Order Date]])</f>
        <v>2015</v>
      </c>
      <c r="C1095" s="3">
        <f>MONTH(SalesData[[#This Row],[Order Date]])</f>
        <v>10</v>
      </c>
      <c r="D1095" t="s">
        <v>62</v>
      </c>
      <c r="E1095" t="s">
        <v>19</v>
      </c>
      <c r="F1095" t="s">
        <v>27</v>
      </c>
      <c r="G1095" t="s">
        <v>48</v>
      </c>
      <c r="H1095" t="s">
        <v>57</v>
      </c>
      <c r="I1095" s="2">
        <v>4994.93</v>
      </c>
      <c r="J1095" s="3">
        <v>4</v>
      </c>
      <c r="K1095" s="2">
        <v>1274.1199999999999</v>
      </c>
    </row>
    <row r="1096" spans="1:11" x14ac:dyDescent="0.25">
      <c r="A1096" s="4">
        <v>42297</v>
      </c>
      <c r="B1096" s="3">
        <f>YEAR(SalesData[[#This Row],[Order Date]])</f>
        <v>2015</v>
      </c>
      <c r="C1096" s="3">
        <f>MONTH(SalesData[[#This Row],[Order Date]])</f>
        <v>10</v>
      </c>
      <c r="D1096" t="s">
        <v>23</v>
      </c>
      <c r="E1096" t="s">
        <v>31</v>
      </c>
      <c r="F1096" t="s">
        <v>11</v>
      </c>
      <c r="G1096" t="s">
        <v>35</v>
      </c>
      <c r="H1096" t="s">
        <v>70</v>
      </c>
      <c r="I1096" s="2">
        <v>2552.66</v>
      </c>
      <c r="J1096" s="3">
        <v>6</v>
      </c>
      <c r="K1096" s="2">
        <v>467.57</v>
      </c>
    </row>
    <row r="1097" spans="1:11" x14ac:dyDescent="0.25">
      <c r="A1097" s="4">
        <v>42298</v>
      </c>
      <c r="B1097" s="3">
        <f>YEAR(SalesData[[#This Row],[Order Date]])</f>
        <v>2015</v>
      </c>
      <c r="C1097" s="3">
        <f>MONTH(SalesData[[#This Row],[Order Date]])</f>
        <v>10</v>
      </c>
      <c r="D1097" t="s">
        <v>47</v>
      </c>
      <c r="E1097" t="s">
        <v>26</v>
      </c>
      <c r="F1097" t="s">
        <v>27</v>
      </c>
      <c r="G1097" t="s">
        <v>28</v>
      </c>
      <c r="H1097" t="s">
        <v>58</v>
      </c>
      <c r="I1097" s="2">
        <v>1332.48</v>
      </c>
      <c r="J1097" s="3">
        <v>9</v>
      </c>
      <c r="K1097" s="2">
        <v>369.7</v>
      </c>
    </row>
    <row r="1098" spans="1:11" x14ac:dyDescent="0.25">
      <c r="A1098" s="4">
        <v>42298</v>
      </c>
      <c r="B1098" s="3">
        <f>YEAR(SalesData[[#This Row],[Order Date]])</f>
        <v>2015</v>
      </c>
      <c r="C1098" s="3">
        <f>MONTH(SalesData[[#This Row],[Order Date]])</f>
        <v>10</v>
      </c>
      <c r="D1098" t="s">
        <v>30</v>
      </c>
      <c r="E1098" t="s">
        <v>60</v>
      </c>
      <c r="F1098" t="s">
        <v>15</v>
      </c>
      <c r="G1098" t="s">
        <v>41</v>
      </c>
      <c r="H1098" t="s">
        <v>42</v>
      </c>
      <c r="I1098" s="2">
        <v>3176.23</v>
      </c>
      <c r="J1098" s="3">
        <v>3</v>
      </c>
      <c r="K1098" s="2">
        <v>97.38</v>
      </c>
    </row>
    <row r="1099" spans="1:11" x14ac:dyDescent="0.25">
      <c r="A1099" s="4">
        <v>42298</v>
      </c>
      <c r="B1099" s="3">
        <f>YEAR(SalesData[[#This Row],[Order Date]])</f>
        <v>2015</v>
      </c>
      <c r="C1099" s="3">
        <f>MONTH(SalesData[[#This Row],[Order Date]])</f>
        <v>10</v>
      </c>
      <c r="D1099" t="s">
        <v>23</v>
      </c>
      <c r="E1099" t="s">
        <v>40</v>
      </c>
      <c r="F1099" t="s">
        <v>15</v>
      </c>
      <c r="G1099" t="s">
        <v>63</v>
      </c>
      <c r="H1099" t="s">
        <v>64</v>
      </c>
      <c r="I1099" s="2">
        <v>1757.09</v>
      </c>
      <c r="J1099" s="3">
        <v>9</v>
      </c>
      <c r="K1099" s="2">
        <v>202.85</v>
      </c>
    </row>
    <row r="1100" spans="1:11" x14ac:dyDescent="0.25">
      <c r="A1100" s="4">
        <v>42298</v>
      </c>
      <c r="B1100" s="3">
        <f>YEAR(SalesData[[#This Row],[Order Date]])</f>
        <v>2015</v>
      </c>
      <c r="C1100" s="3">
        <f>MONTH(SalesData[[#This Row],[Order Date]])</f>
        <v>10</v>
      </c>
      <c r="D1100" t="s">
        <v>23</v>
      </c>
      <c r="E1100" t="s">
        <v>26</v>
      </c>
      <c r="F1100" t="s">
        <v>27</v>
      </c>
      <c r="G1100" t="s">
        <v>28</v>
      </c>
      <c r="H1100" t="s">
        <v>58</v>
      </c>
      <c r="I1100" s="2">
        <v>3402.93</v>
      </c>
      <c r="J1100" s="3">
        <v>6</v>
      </c>
      <c r="K1100" s="2">
        <v>645.94000000000005</v>
      </c>
    </row>
    <row r="1101" spans="1:11" x14ac:dyDescent="0.25">
      <c r="A1101" s="4">
        <v>42299</v>
      </c>
      <c r="B1101" s="3">
        <f>YEAR(SalesData[[#This Row],[Order Date]])</f>
        <v>2015</v>
      </c>
      <c r="C1101" s="3">
        <f>MONTH(SalesData[[#This Row],[Order Date]])</f>
        <v>10</v>
      </c>
      <c r="D1101" t="s">
        <v>43</v>
      </c>
      <c r="E1101" t="s">
        <v>34</v>
      </c>
      <c r="F1101" t="s">
        <v>15</v>
      </c>
      <c r="G1101" t="s">
        <v>45</v>
      </c>
      <c r="H1101" t="s">
        <v>59</v>
      </c>
      <c r="I1101" s="2">
        <v>352.12</v>
      </c>
      <c r="J1101" s="3">
        <v>3</v>
      </c>
      <c r="K1101" s="2">
        <v>10.84</v>
      </c>
    </row>
    <row r="1102" spans="1:11" x14ac:dyDescent="0.25">
      <c r="A1102" s="4">
        <v>42299</v>
      </c>
      <c r="B1102" s="3">
        <f>YEAR(SalesData[[#This Row],[Order Date]])</f>
        <v>2015</v>
      </c>
      <c r="C1102" s="3">
        <f>MONTH(SalesData[[#This Row],[Order Date]])</f>
        <v>10</v>
      </c>
      <c r="D1102" t="s">
        <v>9</v>
      </c>
      <c r="E1102" t="s">
        <v>19</v>
      </c>
      <c r="F1102" t="s">
        <v>27</v>
      </c>
      <c r="G1102" t="s">
        <v>28</v>
      </c>
      <c r="H1102" t="s">
        <v>69</v>
      </c>
      <c r="I1102" s="2">
        <v>2166.16</v>
      </c>
      <c r="J1102" s="3">
        <v>8</v>
      </c>
      <c r="K1102" s="2">
        <v>620.67999999999995</v>
      </c>
    </row>
    <row r="1103" spans="1:11" x14ac:dyDescent="0.25">
      <c r="A1103" s="4">
        <v>42300</v>
      </c>
      <c r="B1103" s="3">
        <f>YEAR(SalesData[[#This Row],[Order Date]])</f>
        <v>2015</v>
      </c>
      <c r="C1103" s="3">
        <f>MONTH(SalesData[[#This Row],[Order Date]])</f>
        <v>10</v>
      </c>
      <c r="D1103" t="s">
        <v>30</v>
      </c>
      <c r="E1103" t="s">
        <v>31</v>
      </c>
      <c r="F1103" t="s">
        <v>11</v>
      </c>
      <c r="G1103" t="s">
        <v>24</v>
      </c>
      <c r="H1103" t="s">
        <v>54</v>
      </c>
      <c r="I1103" s="2">
        <v>4797.97</v>
      </c>
      <c r="J1103" s="3">
        <v>6</v>
      </c>
      <c r="K1103" s="2">
        <v>923.37</v>
      </c>
    </row>
    <row r="1104" spans="1:11" x14ac:dyDescent="0.25">
      <c r="A1104" s="4">
        <v>42301</v>
      </c>
      <c r="B1104" s="3">
        <f>YEAR(SalesData[[#This Row],[Order Date]])</f>
        <v>2015</v>
      </c>
      <c r="C1104" s="3">
        <f>MONTH(SalesData[[#This Row],[Order Date]])</f>
        <v>10</v>
      </c>
      <c r="D1104" t="s">
        <v>50</v>
      </c>
      <c r="E1104" t="s">
        <v>44</v>
      </c>
      <c r="F1104" t="s">
        <v>27</v>
      </c>
      <c r="G1104" t="s">
        <v>28</v>
      </c>
      <c r="H1104" t="s">
        <v>29</v>
      </c>
      <c r="I1104" s="2">
        <v>4569.97</v>
      </c>
      <c r="J1104" s="3">
        <v>7</v>
      </c>
      <c r="K1104" s="2">
        <v>496.13</v>
      </c>
    </row>
    <row r="1105" spans="1:11" x14ac:dyDescent="0.25">
      <c r="A1105" s="4">
        <v>42301</v>
      </c>
      <c r="B1105" s="3">
        <f>YEAR(SalesData[[#This Row],[Order Date]])</f>
        <v>2015</v>
      </c>
      <c r="C1105" s="3">
        <f>MONTH(SalesData[[#This Row],[Order Date]])</f>
        <v>10</v>
      </c>
      <c r="D1105" t="s">
        <v>23</v>
      </c>
      <c r="E1105" t="s">
        <v>60</v>
      </c>
      <c r="F1105" t="s">
        <v>27</v>
      </c>
      <c r="G1105" t="s">
        <v>32</v>
      </c>
      <c r="H1105" t="s">
        <v>53</v>
      </c>
      <c r="I1105" s="2">
        <v>2766.92</v>
      </c>
      <c r="J1105" s="3">
        <v>5</v>
      </c>
      <c r="K1105" s="2">
        <v>764.94</v>
      </c>
    </row>
    <row r="1106" spans="1:11" x14ac:dyDescent="0.25">
      <c r="A1106" s="4">
        <v>42302</v>
      </c>
      <c r="B1106" s="3">
        <f>YEAR(SalesData[[#This Row],[Order Date]])</f>
        <v>2015</v>
      </c>
      <c r="C1106" s="3">
        <f>MONTH(SalesData[[#This Row],[Order Date]])</f>
        <v>10</v>
      </c>
      <c r="D1106" t="s">
        <v>20</v>
      </c>
      <c r="E1106" t="s">
        <v>37</v>
      </c>
      <c r="F1106" t="s">
        <v>15</v>
      </c>
      <c r="G1106" t="s">
        <v>63</v>
      </c>
      <c r="H1106" t="s">
        <v>66</v>
      </c>
      <c r="I1106" s="2">
        <v>3870.85</v>
      </c>
      <c r="J1106" s="3">
        <v>1</v>
      </c>
      <c r="K1106" s="2">
        <v>156.6</v>
      </c>
    </row>
    <row r="1107" spans="1:11" x14ac:dyDescent="0.25">
      <c r="A1107" s="4">
        <v>42302</v>
      </c>
      <c r="B1107" s="3">
        <f>YEAR(SalesData[[#This Row],[Order Date]])</f>
        <v>2015</v>
      </c>
      <c r="C1107" s="3">
        <f>MONTH(SalesData[[#This Row],[Order Date]])</f>
        <v>10</v>
      </c>
      <c r="D1107" t="s">
        <v>14</v>
      </c>
      <c r="E1107" t="s">
        <v>26</v>
      </c>
      <c r="F1107" t="s">
        <v>27</v>
      </c>
      <c r="G1107" t="s">
        <v>32</v>
      </c>
      <c r="H1107" t="s">
        <v>33</v>
      </c>
      <c r="I1107" s="2">
        <v>4941.2700000000004</v>
      </c>
      <c r="J1107" s="3">
        <v>4</v>
      </c>
      <c r="K1107" s="2">
        <v>481.08</v>
      </c>
    </row>
    <row r="1108" spans="1:11" x14ac:dyDescent="0.25">
      <c r="A1108" s="4">
        <v>42303</v>
      </c>
      <c r="B1108" s="3">
        <f>YEAR(SalesData[[#This Row],[Order Date]])</f>
        <v>2015</v>
      </c>
      <c r="C1108" s="3">
        <f>MONTH(SalesData[[#This Row],[Order Date]])</f>
        <v>10</v>
      </c>
      <c r="D1108" t="s">
        <v>62</v>
      </c>
      <c r="E1108" t="s">
        <v>37</v>
      </c>
      <c r="F1108" t="s">
        <v>27</v>
      </c>
      <c r="G1108" t="s">
        <v>28</v>
      </c>
      <c r="H1108" t="s">
        <v>69</v>
      </c>
      <c r="I1108" s="2">
        <v>1677.95</v>
      </c>
      <c r="J1108" s="3">
        <v>1</v>
      </c>
      <c r="K1108" s="2">
        <v>249.81</v>
      </c>
    </row>
    <row r="1109" spans="1:11" x14ac:dyDescent="0.25">
      <c r="A1109" s="4">
        <v>42303</v>
      </c>
      <c r="B1109" s="3">
        <f>YEAR(SalesData[[#This Row],[Order Date]])</f>
        <v>2015</v>
      </c>
      <c r="C1109" s="3">
        <f>MONTH(SalesData[[#This Row],[Order Date]])</f>
        <v>10</v>
      </c>
      <c r="D1109" t="s">
        <v>55</v>
      </c>
      <c r="E1109" t="s">
        <v>19</v>
      </c>
      <c r="F1109" t="s">
        <v>27</v>
      </c>
      <c r="G1109" t="s">
        <v>48</v>
      </c>
      <c r="H1109" t="s">
        <v>49</v>
      </c>
      <c r="I1109" s="2">
        <v>4133.78</v>
      </c>
      <c r="J1109" s="3">
        <v>4</v>
      </c>
      <c r="K1109" s="2">
        <v>444.62</v>
      </c>
    </row>
    <row r="1110" spans="1:11" x14ac:dyDescent="0.25">
      <c r="A1110" s="4">
        <v>42303</v>
      </c>
      <c r="B1110" s="3">
        <f>YEAR(SalesData[[#This Row],[Order Date]])</f>
        <v>2015</v>
      </c>
      <c r="C1110" s="3">
        <f>MONTH(SalesData[[#This Row],[Order Date]])</f>
        <v>10</v>
      </c>
      <c r="D1110" t="s">
        <v>18</v>
      </c>
      <c r="E1110" t="s">
        <v>37</v>
      </c>
      <c r="F1110" t="s">
        <v>11</v>
      </c>
      <c r="G1110" t="s">
        <v>24</v>
      </c>
      <c r="H1110" t="s">
        <v>54</v>
      </c>
      <c r="I1110" s="2">
        <v>1927.27</v>
      </c>
      <c r="J1110" s="3">
        <v>3</v>
      </c>
      <c r="K1110" s="2">
        <v>15.93</v>
      </c>
    </row>
    <row r="1111" spans="1:11" x14ac:dyDescent="0.25">
      <c r="A1111" s="4">
        <v>42304</v>
      </c>
      <c r="B1111" s="3">
        <f>YEAR(SalesData[[#This Row],[Order Date]])</f>
        <v>2015</v>
      </c>
      <c r="C1111" s="3">
        <f>MONTH(SalesData[[#This Row],[Order Date]])</f>
        <v>10</v>
      </c>
      <c r="D1111" t="s">
        <v>20</v>
      </c>
      <c r="E1111" t="s">
        <v>44</v>
      </c>
      <c r="F1111" t="s">
        <v>15</v>
      </c>
      <c r="G1111" t="s">
        <v>41</v>
      </c>
      <c r="H1111" t="s">
        <v>61</v>
      </c>
      <c r="I1111" s="2">
        <v>4018.15</v>
      </c>
      <c r="J1111" s="3">
        <v>4</v>
      </c>
      <c r="K1111" s="2">
        <v>898.26</v>
      </c>
    </row>
    <row r="1112" spans="1:11" x14ac:dyDescent="0.25">
      <c r="A1112" s="4">
        <v>42304</v>
      </c>
      <c r="B1112" s="3">
        <f>YEAR(SalesData[[#This Row],[Order Date]])</f>
        <v>2015</v>
      </c>
      <c r="C1112" s="3">
        <f>MONTH(SalesData[[#This Row],[Order Date]])</f>
        <v>10</v>
      </c>
      <c r="D1112" t="s">
        <v>9</v>
      </c>
      <c r="E1112" t="s">
        <v>40</v>
      </c>
      <c r="F1112" t="s">
        <v>11</v>
      </c>
      <c r="G1112" t="s">
        <v>12</v>
      </c>
      <c r="H1112" t="s">
        <v>65</v>
      </c>
      <c r="I1112" s="2">
        <v>3669.31</v>
      </c>
      <c r="J1112" s="3">
        <v>6</v>
      </c>
      <c r="K1112" s="2">
        <v>550.49</v>
      </c>
    </row>
    <row r="1113" spans="1:11" x14ac:dyDescent="0.25">
      <c r="A1113" s="4">
        <v>42304</v>
      </c>
      <c r="B1113" s="3">
        <f>YEAR(SalesData[[#This Row],[Order Date]])</f>
        <v>2015</v>
      </c>
      <c r="C1113" s="3">
        <f>MONTH(SalesData[[#This Row],[Order Date]])</f>
        <v>10</v>
      </c>
      <c r="D1113" t="s">
        <v>23</v>
      </c>
      <c r="E1113" t="s">
        <v>26</v>
      </c>
      <c r="F1113" t="s">
        <v>27</v>
      </c>
      <c r="G1113" t="s">
        <v>32</v>
      </c>
      <c r="H1113" t="s">
        <v>53</v>
      </c>
      <c r="I1113" s="2">
        <v>2221.34</v>
      </c>
      <c r="J1113" s="3">
        <v>8</v>
      </c>
      <c r="K1113" s="2">
        <v>423.75</v>
      </c>
    </row>
    <row r="1114" spans="1:11" x14ac:dyDescent="0.25">
      <c r="A1114" s="4">
        <v>42304</v>
      </c>
      <c r="B1114" s="3">
        <f>YEAR(SalesData[[#This Row],[Order Date]])</f>
        <v>2015</v>
      </c>
      <c r="C1114" s="3">
        <f>MONTH(SalesData[[#This Row],[Order Date]])</f>
        <v>10</v>
      </c>
      <c r="D1114" t="s">
        <v>47</v>
      </c>
      <c r="E1114" t="s">
        <v>19</v>
      </c>
      <c r="F1114" t="s">
        <v>27</v>
      </c>
      <c r="G1114" t="s">
        <v>28</v>
      </c>
      <c r="H1114" t="s">
        <v>69</v>
      </c>
      <c r="I1114" s="2">
        <v>4128.71</v>
      </c>
      <c r="J1114" s="3">
        <v>6</v>
      </c>
      <c r="K1114" s="2">
        <v>1085.6300000000001</v>
      </c>
    </row>
    <row r="1115" spans="1:11" x14ac:dyDescent="0.25">
      <c r="A1115" s="4">
        <v>42304</v>
      </c>
      <c r="B1115" s="3">
        <f>YEAR(SalesData[[#This Row],[Order Date]])</f>
        <v>2015</v>
      </c>
      <c r="C1115" s="3">
        <f>MONTH(SalesData[[#This Row],[Order Date]])</f>
        <v>10</v>
      </c>
      <c r="D1115" t="s">
        <v>47</v>
      </c>
      <c r="E1115" t="s">
        <v>40</v>
      </c>
      <c r="F1115" t="s">
        <v>11</v>
      </c>
      <c r="G1115" t="s">
        <v>24</v>
      </c>
      <c r="H1115" t="s">
        <v>25</v>
      </c>
      <c r="I1115" s="2">
        <v>4151.74</v>
      </c>
      <c r="J1115" s="3">
        <v>7</v>
      </c>
      <c r="K1115" s="2">
        <v>543.45000000000005</v>
      </c>
    </row>
    <row r="1116" spans="1:11" x14ac:dyDescent="0.25">
      <c r="A1116" s="4">
        <v>42304</v>
      </c>
      <c r="B1116" s="3">
        <f>YEAR(SalesData[[#This Row],[Order Date]])</f>
        <v>2015</v>
      </c>
      <c r="C1116" s="3">
        <f>MONTH(SalesData[[#This Row],[Order Date]])</f>
        <v>10</v>
      </c>
      <c r="D1116" t="s">
        <v>47</v>
      </c>
      <c r="E1116" t="s">
        <v>19</v>
      </c>
      <c r="F1116" t="s">
        <v>15</v>
      </c>
      <c r="G1116" t="s">
        <v>45</v>
      </c>
      <c r="H1116" t="s">
        <v>59</v>
      </c>
      <c r="I1116" s="2">
        <v>4725.13</v>
      </c>
      <c r="J1116" s="3">
        <v>4</v>
      </c>
      <c r="K1116" s="2">
        <v>595.16</v>
      </c>
    </row>
    <row r="1117" spans="1:11" x14ac:dyDescent="0.25">
      <c r="A1117" s="4">
        <v>42304</v>
      </c>
      <c r="B1117" s="3">
        <f>YEAR(SalesData[[#This Row],[Order Date]])</f>
        <v>2015</v>
      </c>
      <c r="C1117" s="3">
        <f>MONTH(SalesData[[#This Row],[Order Date]])</f>
        <v>10</v>
      </c>
      <c r="D1117" t="s">
        <v>43</v>
      </c>
      <c r="E1117" t="s">
        <v>40</v>
      </c>
      <c r="F1117" t="s">
        <v>27</v>
      </c>
      <c r="G1117" t="s">
        <v>48</v>
      </c>
      <c r="H1117" t="s">
        <v>57</v>
      </c>
      <c r="I1117" s="2">
        <v>2396.63</v>
      </c>
      <c r="J1117" s="3">
        <v>6</v>
      </c>
      <c r="K1117" s="2">
        <v>223.71</v>
      </c>
    </row>
    <row r="1118" spans="1:11" x14ac:dyDescent="0.25">
      <c r="A1118" s="4">
        <v>42305</v>
      </c>
      <c r="B1118" s="3">
        <f>YEAR(SalesData[[#This Row],[Order Date]])</f>
        <v>2015</v>
      </c>
      <c r="C1118" s="3">
        <f>MONTH(SalesData[[#This Row],[Order Date]])</f>
        <v>10</v>
      </c>
      <c r="D1118" t="s">
        <v>30</v>
      </c>
      <c r="E1118" t="s">
        <v>10</v>
      </c>
      <c r="F1118" t="s">
        <v>15</v>
      </c>
      <c r="G1118" t="s">
        <v>45</v>
      </c>
      <c r="H1118" t="s">
        <v>59</v>
      </c>
      <c r="I1118" s="2">
        <v>479.68</v>
      </c>
      <c r="J1118" s="3">
        <v>3</v>
      </c>
      <c r="K1118" s="2">
        <v>41.55</v>
      </c>
    </row>
    <row r="1119" spans="1:11" x14ac:dyDescent="0.25">
      <c r="A1119" s="4">
        <v>42305</v>
      </c>
      <c r="B1119" s="3">
        <f>YEAR(SalesData[[#This Row],[Order Date]])</f>
        <v>2015</v>
      </c>
      <c r="C1119" s="3">
        <f>MONTH(SalesData[[#This Row],[Order Date]])</f>
        <v>10</v>
      </c>
      <c r="D1119" t="s">
        <v>18</v>
      </c>
      <c r="E1119" t="s">
        <v>34</v>
      </c>
      <c r="F1119" t="s">
        <v>15</v>
      </c>
      <c r="G1119" t="s">
        <v>63</v>
      </c>
      <c r="H1119" t="s">
        <v>66</v>
      </c>
      <c r="I1119" s="2">
        <v>4669.2299999999996</v>
      </c>
      <c r="J1119" s="3">
        <v>3</v>
      </c>
      <c r="K1119" s="2">
        <v>783.49</v>
      </c>
    </row>
    <row r="1120" spans="1:11" x14ac:dyDescent="0.25">
      <c r="A1120" s="4">
        <v>42306</v>
      </c>
      <c r="B1120" s="3">
        <f>YEAR(SalesData[[#This Row],[Order Date]])</f>
        <v>2015</v>
      </c>
      <c r="C1120" s="3">
        <f>MONTH(SalesData[[#This Row],[Order Date]])</f>
        <v>10</v>
      </c>
      <c r="D1120" t="s">
        <v>55</v>
      </c>
      <c r="E1120" t="s">
        <v>31</v>
      </c>
      <c r="F1120" t="s">
        <v>11</v>
      </c>
      <c r="G1120" t="s">
        <v>35</v>
      </c>
      <c r="H1120" t="s">
        <v>71</v>
      </c>
      <c r="I1120" s="2">
        <v>2058.59</v>
      </c>
      <c r="J1120" s="3">
        <v>10</v>
      </c>
      <c r="K1120" s="2">
        <v>285.66000000000003</v>
      </c>
    </row>
    <row r="1121" spans="1:11" x14ac:dyDescent="0.25">
      <c r="A1121" s="4">
        <v>42306</v>
      </c>
      <c r="B1121" s="3">
        <f>YEAR(SalesData[[#This Row],[Order Date]])</f>
        <v>2015</v>
      </c>
      <c r="C1121" s="3">
        <f>MONTH(SalesData[[#This Row],[Order Date]])</f>
        <v>10</v>
      </c>
      <c r="D1121" t="s">
        <v>30</v>
      </c>
      <c r="E1121" t="s">
        <v>44</v>
      </c>
      <c r="F1121" t="s">
        <v>15</v>
      </c>
      <c r="G1121" t="s">
        <v>63</v>
      </c>
      <c r="H1121" t="s">
        <v>64</v>
      </c>
      <c r="I1121" s="2">
        <v>2284.36</v>
      </c>
      <c r="J1121" s="3">
        <v>4</v>
      </c>
      <c r="K1121" s="2">
        <v>81.37</v>
      </c>
    </row>
    <row r="1122" spans="1:11" x14ac:dyDescent="0.25">
      <c r="A1122" s="4">
        <v>42307</v>
      </c>
      <c r="B1122" s="3">
        <f>YEAR(SalesData[[#This Row],[Order Date]])</f>
        <v>2015</v>
      </c>
      <c r="C1122" s="3">
        <f>MONTH(SalesData[[#This Row],[Order Date]])</f>
        <v>10</v>
      </c>
      <c r="D1122" t="s">
        <v>20</v>
      </c>
      <c r="E1122" t="s">
        <v>19</v>
      </c>
      <c r="F1122" t="s">
        <v>15</v>
      </c>
      <c r="G1122" t="s">
        <v>38</v>
      </c>
      <c r="H1122" t="s">
        <v>56</v>
      </c>
      <c r="I1122" s="2">
        <v>1826.51</v>
      </c>
      <c r="J1122" s="3">
        <v>9</v>
      </c>
      <c r="K1122" s="2">
        <v>396.82</v>
      </c>
    </row>
    <row r="1123" spans="1:11" x14ac:dyDescent="0.25">
      <c r="A1123" s="4">
        <v>42308</v>
      </c>
      <c r="B1123" s="3">
        <f>YEAR(SalesData[[#This Row],[Order Date]])</f>
        <v>2015</v>
      </c>
      <c r="C1123" s="3">
        <f>MONTH(SalesData[[#This Row],[Order Date]])</f>
        <v>10</v>
      </c>
      <c r="D1123" t="s">
        <v>20</v>
      </c>
      <c r="E1123" t="s">
        <v>40</v>
      </c>
      <c r="F1123" t="s">
        <v>15</v>
      </c>
      <c r="G1123" t="s">
        <v>63</v>
      </c>
      <c r="H1123" t="s">
        <v>64</v>
      </c>
      <c r="I1123" s="2">
        <v>4743.13</v>
      </c>
      <c r="J1123" s="3">
        <v>10</v>
      </c>
      <c r="K1123" s="2">
        <v>506.22</v>
      </c>
    </row>
    <row r="1124" spans="1:11" x14ac:dyDescent="0.25">
      <c r="A1124" s="4">
        <v>42308</v>
      </c>
      <c r="B1124" s="3">
        <f>YEAR(SalesData[[#This Row],[Order Date]])</f>
        <v>2015</v>
      </c>
      <c r="C1124" s="3">
        <f>MONTH(SalesData[[#This Row],[Order Date]])</f>
        <v>10</v>
      </c>
      <c r="D1124" t="s">
        <v>23</v>
      </c>
      <c r="E1124" t="s">
        <v>44</v>
      </c>
      <c r="F1124" t="s">
        <v>27</v>
      </c>
      <c r="G1124" t="s">
        <v>28</v>
      </c>
      <c r="H1124" t="s">
        <v>29</v>
      </c>
      <c r="I1124" s="2">
        <v>2274.87</v>
      </c>
      <c r="J1124" s="3">
        <v>2</v>
      </c>
      <c r="K1124" s="2">
        <v>117.9</v>
      </c>
    </row>
    <row r="1125" spans="1:11" x14ac:dyDescent="0.25">
      <c r="A1125" s="4">
        <v>42309</v>
      </c>
      <c r="B1125" s="3">
        <f>YEAR(SalesData[[#This Row],[Order Date]])</f>
        <v>2015</v>
      </c>
      <c r="C1125" s="3">
        <f>MONTH(SalesData[[#This Row],[Order Date]])</f>
        <v>11</v>
      </c>
      <c r="D1125" t="s">
        <v>68</v>
      </c>
      <c r="E1125" t="s">
        <v>10</v>
      </c>
      <c r="F1125" t="s">
        <v>27</v>
      </c>
      <c r="G1125" t="s">
        <v>28</v>
      </c>
      <c r="H1125" t="s">
        <v>69</v>
      </c>
      <c r="I1125" s="2">
        <v>4817.17</v>
      </c>
      <c r="J1125" s="3">
        <v>2</v>
      </c>
      <c r="K1125" s="2">
        <v>232.95</v>
      </c>
    </row>
    <row r="1126" spans="1:11" x14ac:dyDescent="0.25">
      <c r="A1126" s="4">
        <v>42309</v>
      </c>
      <c r="B1126" s="3">
        <f>YEAR(SalesData[[#This Row],[Order Date]])</f>
        <v>2015</v>
      </c>
      <c r="C1126" s="3">
        <f>MONTH(SalesData[[#This Row],[Order Date]])</f>
        <v>11</v>
      </c>
      <c r="D1126" t="s">
        <v>18</v>
      </c>
      <c r="E1126" t="s">
        <v>26</v>
      </c>
      <c r="F1126" t="s">
        <v>27</v>
      </c>
      <c r="G1126" t="s">
        <v>48</v>
      </c>
      <c r="H1126" t="s">
        <v>57</v>
      </c>
      <c r="I1126" s="2">
        <v>2267.54</v>
      </c>
      <c r="J1126" s="3">
        <v>5</v>
      </c>
      <c r="K1126" s="2">
        <v>164.84</v>
      </c>
    </row>
    <row r="1127" spans="1:11" x14ac:dyDescent="0.25">
      <c r="A1127" s="4">
        <v>42309</v>
      </c>
      <c r="B1127" s="3">
        <f>YEAR(SalesData[[#This Row],[Order Date]])</f>
        <v>2015</v>
      </c>
      <c r="C1127" s="3">
        <f>MONTH(SalesData[[#This Row],[Order Date]])</f>
        <v>11</v>
      </c>
      <c r="D1127" t="s">
        <v>9</v>
      </c>
      <c r="E1127" t="s">
        <v>26</v>
      </c>
      <c r="F1127" t="s">
        <v>11</v>
      </c>
      <c r="G1127" t="s">
        <v>12</v>
      </c>
      <c r="H1127" t="s">
        <v>65</v>
      </c>
      <c r="I1127" s="2">
        <v>3698.07</v>
      </c>
      <c r="J1127" s="3">
        <v>6</v>
      </c>
      <c r="K1127" s="2">
        <v>115.94</v>
      </c>
    </row>
    <row r="1128" spans="1:11" x14ac:dyDescent="0.25">
      <c r="A1128" s="4">
        <v>42309</v>
      </c>
      <c r="B1128" s="3">
        <f>YEAR(SalesData[[#This Row],[Order Date]])</f>
        <v>2015</v>
      </c>
      <c r="C1128" s="3">
        <f>MONTH(SalesData[[#This Row],[Order Date]])</f>
        <v>11</v>
      </c>
      <c r="D1128" t="s">
        <v>18</v>
      </c>
      <c r="E1128" t="s">
        <v>10</v>
      </c>
      <c r="F1128" t="s">
        <v>15</v>
      </c>
      <c r="G1128" t="s">
        <v>41</v>
      </c>
      <c r="H1128" t="s">
        <v>42</v>
      </c>
      <c r="I1128" s="2">
        <v>4894.51</v>
      </c>
      <c r="J1128" s="3">
        <v>7</v>
      </c>
      <c r="K1128" s="2">
        <v>1139.97</v>
      </c>
    </row>
    <row r="1129" spans="1:11" x14ac:dyDescent="0.25">
      <c r="A1129" s="4">
        <v>42309</v>
      </c>
      <c r="B1129" s="3">
        <f>YEAR(SalesData[[#This Row],[Order Date]])</f>
        <v>2015</v>
      </c>
      <c r="C1129" s="3">
        <f>MONTH(SalesData[[#This Row],[Order Date]])</f>
        <v>11</v>
      </c>
      <c r="D1129" t="s">
        <v>55</v>
      </c>
      <c r="E1129" t="s">
        <v>52</v>
      </c>
      <c r="F1129" t="s">
        <v>11</v>
      </c>
      <c r="G1129" t="s">
        <v>24</v>
      </c>
      <c r="H1129" t="s">
        <v>54</v>
      </c>
      <c r="I1129" s="2">
        <v>3959.19</v>
      </c>
      <c r="J1129" s="3">
        <v>3</v>
      </c>
      <c r="K1129" s="2">
        <v>363.16</v>
      </c>
    </row>
    <row r="1130" spans="1:11" x14ac:dyDescent="0.25">
      <c r="A1130" s="4">
        <v>42310</v>
      </c>
      <c r="B1130" s="3">
        <f>YEAR(SalesData[[#This Row],[Order Date]])</f>
        <v>2015</v>
      </c>
      <c r="C1130" s="3">
        <f>MONTH(SalesData[[#This Row],[Order Date]])</f>
        <v>11</v>
      </c>
      <c r="D1130" t="s">
        <v>18</v>
      </c>
      <c r="E1130" t="s">
        <v>19</v>
      </c>
      <c r="F1130" t="s">
        <v>15</v>
      </c>
      <c r="G1130" t="s">
        <v>16</v>
      </c>
      <c r="H1130" t="s">
        <v>51</v>
      </c>
      <c r="I1130" s="2">
        <v>3343.9</v>
      </c>
      <c r="J1130" s="3">
        <v>3</v>
      </c>
      <c r="K1130" s="2">
        <v>527.32000000000005</v>
      </c>
    </row>
    <row r="1131" spans="1:11" x14ac:dyDescent="0.25">
      <c r="A1131" s="4">
        <v>42311</v>
      </c>
      <c r="B1131" s="3">
        <f>YEAR(SalesData[[#This Row],[Order Date]])</f>
        <v>2015</v>
      </c>
      <c r="C1131" s="3">
        <f>MONTH(SalesData[[#This Row],[Order Date]])</f>
        <v>11</v>
      </c>
      <c r="D1131" t="s">
        <v>20</v>
      </c>
      <c r="E1131" t="s">
        <v>37</v>
      </c>
      <c r="F1131" t="s">
        <v>15</v>
      </c>
      <c r="G1131" t="s">
        <v>16</v>
      </c>
      <c r="H1131" t="s">
        <v>51</v>
      </c>
      <c r="I1131" s="2">
        <v>1467.94</v>
      </c>
      <c r="J1131" s="3">
        <v>4</v>
      </c>
      <c r="K1131" s="2">
        <v>92.02</v>
      </c>
    </row>
    <row r="1132" spans="1:11" x14ac:dyDescent="0.25">
      <c r="A1132" s="4">
        <v>42312</v>
      </c>
      <c r="B1132" s="3">
        <f>YEAR(SalesData[[#This Row],[Order Date]])</f>
        <v>2015</v>
      </c>
      <c r="C1132" s="3">
        <f>MONTH(SalesData[[#This Row],[Order Date]])</f>
        <v>11</v>
      </c>
      <c r="D1132" t="s">
        <v>62</v>
      </c>
      <c r="E1132" t="s">
        <v>10</v>
      </c>
      <c r="F1132" t="s">
        <v>15</v>
      </c>
      <c r="G1132" t="s">
        <v>45</v>
      </c>
      <c r="H1132" t="s">
        <v>59</v>
      </c>
      <c r="I1132" s="2">
        <v>2122.92</v>
      </c>
      <c r="J1132" s="3">
        <v>7</v>
      </c>
      <c r="K1132" s="2">
        <v>593.04999999999995</v>
      </c>
    </row>
    <row r="1133" spans="1:11" x14ac:dyDescent="0.25">
      <c r="A1133" s="4">
        <v>42312</v>
      </c>
      <c r="B1133" s="3">
        <f>YEAR(SalesData[[#This Row],[Order Date]])</f>
        <v>2015</v>
      </c>
      <c r="C1133" s="3">
        <f>MONTH(SalesData[[#This Row],[Order Date]])</f>
        <v>11</v>
      </c>
      <c r="D1133" t="s">
        <v>55</v>
      </c>
      <c r="E1133" t="s">
        <v>60</v>
      </c>
      <c r="F1133" t="s">
        <v>27</v>
      </c>
      <c r="G1133" t="s">
        <v>32</v>
      </c>
      <c r="H1133" t="s">
        <v>53</v>
      </c>
      <c r="I1133" s="2">
        <v>1964.73</v>
      </c>
      <c r="J1133" s="3">
        <v>4</v>
      </c>
      <c r="K1133" s="2">
        <v>190.24</v>
      </c>
    </row>
    <row r="1134" spans="1:11" x14ac:dyDescent="0.25">
      <c r="A1134" s="4">
        <v>42313</v>
      </c>
      <c r="B1134" s="3">
        <f>YEAR(SalesData[[#This Row],[Order Date]])</f>
        <v>2015</v>
      </c>
      <c r="C1134" s="3">
        <f>MONTH(SalesData[[#This Row],[Order Date]])</f>
        <v>11</v>
      </c>
      <c r="D1134" t="s">
        <v>20</v>
      </c>
      <c r="E1134" t="s">
        <v>40</v>
      </c>
      <c r="F1134" t="s">
        <v>11</v>
      </c>
      <c r="G1134" t="s">
        <v>24</v>
      </c>
      <c r="H1134" t="s">
        <v>54</v>
      </c>
      <c r="I1134" s="2">
        <v>4085.59</v>
      </c>
      <c r="J1134" s="3">
        <v>6</v>
      </c>
      <c r="K1134" s="2">
        <v>1198.3900000000001</v>
      </c>
    </row>
    <row r="1135" spans="1:11" x14ac:dyDescent="0.25">
      <c r="A1135" s="4">
        <v>42313</v>
      </c>
      <c r="B1135" s="3">
        <f>YEAR(SalesData[[#This Row],[Order Date]])</f>
        <v>2015</v>
      </c>
      <c r="C1135" s="3">
        <f>MONTH(SalesData[[#This Row],[Order Date]])</f>
        <v>11</v>
      </c>
      <c r="D1135" t="s">
        <v>43</v>
      </c>
      <c r="E1135" t="s">
        <v>10</v>
      </c>
      <c r="F1135" t="s">
        <v>15</v>
      </c>
      <c r="G1135" t="s">
        <v>16</v>
      </c>
      <c r="H1135" t="s">
        <v>17</v>
      </c>
      <c r="I1135" s="2">
        <v>3867.42</v>
      </c>
      <c r="J1135" s="3">
        <v>1</v>
      </c>
      <c r="K1135" s="2">
        <v>802.89</v>
      </c>
    </row>
    <row r="1136" spans="1:11" x14ac:dyDescent="0.25">
      <c r="A1136" s="4">
        <v>42313</v>
      </c>
      <c r="B1136" s="3">
        <f>YEAR(SalesData[[#This Row],[Order Date]])</f>
        <v>2015</v>
      </c>
      <c r="C1136" s="3">
        <f>MONTH(SalesData[[#This Row],[Order Date]])</f>
        <v>11</v>
      </c>
      <c r="D1136" t="s">
        <v>43</v>
      </c>
      <c r="E1136" t="s">
        <v>26</v>
      </c>
      <c r="F1136" t="s">
        <v>11</v>
      </c>
      <c r="G1136" t="s">
        <v>35</v>
      </c>
      <c r="H1136" t="s">
        <v>71</v>
      </c>
      <c r="I1136" s="2">
        <v>4618.3500000000004</v>
      </c>
      <c r="J1136" s="3">
        <v>2</v>
      </c>
      <c r="K1136" s="2">
        <v>400.85</v>
      </c>
    </row>
    <row r="1137" spans="1:11" x14ac:dyDescent="0.25">
      <c r="A1137" s="4">
        <v>42315</v>
      </c>
      <c r="B1137" s="3">
        <f>YEAR(SalesData[[#This Row],[Order Date]])</f>
        <v>2015</v>
      </c>
      <c r="C1137" s="3">
        <f>MONTH(SalesData[[#This Row],[Order Date]])</f>
        <v>11</v>
      </c>
      <c r="D1137" t="s">
        <v>50</v>
      </c>
      <c r="E1137" t="s">
        <v>34</v>
      </c>
      <c r="F1137" t="s">
        <v>27</v>
      </c>
      <c r="G1137" t="s">
        <v>32</v>
      </c>
      <c r="H1137" t="s">
        <v>33</v>
      </c>
      <c r="I1137" s="2">
        <v>1084.03</v>
      </c>
      <c r="J1137" s="3">
        <v>10</v>
      </c>
      <c r="K1137" s="2">
        <v>188.04</v>
      </c>
    </row>
    <row r="1138" spans="1:11" x14ac:dyDescent="0.25">
      <c r="A1138" s="4">
        <v>42315</v>
      </c>
      <c r="B1138" s="3">
        <f>YEAR(SalesData[[#This Row],[Order Date]])</f>
        <v>2015</v>
      </c>
      <c r="C1138" s="3">
        <f>MONTH(SalesData[[#This Row],[Order Date]])</f>
        <v>11</v>
      </c>
      <c r="D1138" t="s">
        <v>18</v>
      </c>
      <c r="E1138" t="s">
        <v>31</v>
      </c>
      <c r="F1138" t="s">
        <v>27</v>
      </c>
      <c r="G1138" t="s">
        <v>28</v>
      </c>
      <c r="H1138" t="s">
        <v>29</v>
      </c>
      <c r="I1138" s="2">
        <v>3009.42</v>
      </c>
      <c r="J1138" s="3">
        <v>1</v>
      </c>
      <c r="K1138" s="2">
        <v>58.24</v>
      </c>
    </row>
    <row r="1139" spans="1:11" x14ac:dyDescent="0.25">
      <c r="A1139" s="4">
        <v>42316</v>
      </c>
      <c r="B1139" s="3">
        <f>YEAR(SalesData[[#This Row],[Order Date]])</f>
        <v>2015</v>
      </c>
      <c r="C1139" s="3">
        <f>MONTH(SalesData[[#This Row],[Order Date]])</f>
        <v>11</v>
      </c>
      <c r="D1139" t="s">
        <v>55</v>
      </c>
      <c r="E1139" t="s">
        <v>26</v>
      </c>
      <c r="F1139" t="s">
        <v>27</v>
      </c>
      <c r="G1139" t="s">
        <v>32</v>
      </c>
      <c r="H1139" t="s">
        <v>53</v>
      </c>
      <c r="I1139" s="2">
        <v>3346.01</v>
      </c>
      <c r="J1139" s="3">
        <v>1</v>
      </c>
      <c r="K1139" s="2">
        <v>767.37</v>
      </c>
    </row>
    <row r="1140" spans="1:11" x14ac:dyDescent="0.25">
      <c r="A1140" s="4">
        <v>42317</v>
      </c>
      <c r="B1140" s="3">
        <f>YEAR(SalesData[[#This Row],[Order Date]])</f>
        <v>2015</v>
      </c>
      <c r="C1140" s="3">
        <f>MONTH(SalesData[[#This Row],[Order Date]])</f>
        <v>11</v>
      </c>
      <c r="D1140" t="s">
        <v>23</v>
      </c>
      <c r="E1140" t="s">
        <v>19</v>
      </c>
      <c r="F1140" t="s">
        <v>11</v>
      </c>
      <c r="G1140" t="s">
        <v>24</v>
      </c>
      <c r="H1140" t="s">
        <v>54</v>
      </c>
      <c r="I1140" s="2">
        <v>259.64999999999998</v>
      </c>
      <c r="J1140" s="3">
        <v>4</v>
      </c>
      <c r="K1140" s="2">
        <v>69.81</v>
      </c>
    </row>
    <row r="1141" spans="1:11" x14ac:dyDescent="0.25">
      <c r="A1141" s="4">
        <v>42317</v>
      </c>
      <c r="B1141" s="3">
        <f>YEAR(SalesData[[#This Row],[Order Date]])</f>
        <v>2015</v>
      </c>
      <c r="C1141" s="3">
        <f>MONTH(SalesData[[#This Row],[Order Date]])</f>
        <v>11</v>
      </c>
      <c r="D1141" t="s">
        <v>18</v>
      </c>
      <c r="E1141" t="s">
        <v>19</v>
      </c>
      <c r="F1141" t="s">
        <v>15</v>
      </c>
      <c r="G1141" t="s">
        <v>45</v>
      </c>
      <c r="H1141" t="s">
        <v>59</v>
      </c>
      <c r="I1141" s="2">
        <v>3312.8</v>
      </c>
      <c r="J1141" s="3">
        <v>7</v>
      </c>
      <c r="K1141" s="2">
        <v>164.86</v>
      </c>
    </row>
    <row r="1142" spans="1:11" x14ac:dyDescent="0.25">
      <c r="A1142" s="4">
        <v>42317</v>
      </c>
      <c r="B1142" s="3">
        <f>YEAR(SalesData[[#This Row],[Order Date]])</f>
        <v>2015</v>
      </c>
      <c r="C1142" s="3">
        <f>MONTH(SalesData[[#This Row],[Order Date]])</f>
        <v>11</v>
      </c>
      <c r="D1142" t="s">
        <v>68</v>
      </c>
      <c r="E1142" t="s">
        <v>52</v>
      </c>
      <c r="F1142" t="s">
        <v>27</v>
      </c>
      <c r="G1142" t="s">
        <v>48</v>
      </c>
      <c r="H1142" t="s">
        <v>57</v>
      </c>
      <c r="I1142" s="2">
        <v>3914.48</v>
      </c>
      <c r="J1142" s="3">
        <v>3</v>
      </c>
      <c r="K1142" s="2">
        <v>147.11000000000001</v>
      </c>
    </row>
    <row r="1143" spans="1:11" x14ac:dyDescent="0.25">
      <c r="A1143" s="4">
        <v>42322</v>
      </c>
      <c r="B1143" s="3">
        <f>YEAR(SalesData[[#This Row],[Order Date]])</f>
        <v>2015</v>
      </c>
      <c r="C1143" s="3">
        <f>MONTH(SalesData[[#This Row],[Order Date]])</f>
        <v>11</v>
      </c>
      <c r="D1143" t="s">
        <v>9</v>
      </c>
      <c r="E1143" t="s">
        <v>52</v>
      </c>
      <c r="F1143" t="s">
        <v>11</v>
      </c>
      <c r="G1143" t="s">
        <v>24</v>
      </c>
      <c r="H1143" t="s">
        <v>54</v>
      </c>
      <c r="I1143" s="2">
        <v>1411.51</v>
      </c>
      <c r="J1143" s="3">
        <v>9</v>
      </c>
      <c r="K1143" s="2">
        <v>222.99</v>
      </c>
    </row>
    <row r="1144" spans="1:11" x14ac:dyDescent="0.25">
      <c r="A1144" s="4">
        <v>42322</v>
      </c>
      <c r="B1144" s="3">
        <f>YEAR(SalesData[[#This Row],[Order Date]])</f>
        <v>2015</v>
      </c>
      <c r="C1144" s="3">
        <f>MONTH(SalesData[[#This Row],[Order Date]])</f>
        <v>11</v>
      </c>
      <c r="D1144" t="s">
        <v>43</v>
      </c>
      <c r="E1144" t="s">
        <v>40</v>
      </c>
      <c r="F1144" t="s">
        <v>27</v>
      </c>
      <c r="G1144" t="s">
        <v>32</v>
      </c>
      <c r="H1144" t="s">
        <v>33</v>
      </c>
      <c r="I1144" s="2">
        <v>2918.32</v>
      </c>
      <c r="J1144" s="3">
        <v>4</v>
      </c>
      <c r="K1144" s="2">
        <v>667.92</v>
      </c>
    </row>
    <row r="1145" spans="1:11" x14ac:dyDescent="0.25">
      <c r="A1145" s="4">
        <v>42322</v>
      </c>
      <c r="B1145" s="3">
        <f>YEAR(SalesData[[#This Row],[Order Date]])</f>
        <v>2015</v>
      </c>
      <c r="C1145" s="3">
        <f>MONTH(SalesData[[#This Row],[Order Date]])</f>
        <v>11</v>
      </c>
      <c r="D1145" t="s">
        <v>30</v>
      </c>
      <c r="E1145" t="s">
        <v>10</v>
      </c>
      <c r="F1145" t="s">
        <v>15</v>
      </c>
      <c r="G1145" t="s">
        <v>45</v>
      </c>
      <c r="H1145" t="s">
        <v>46</v>
      </c>
      <c r="I1145" s="2">
        <v>548.75</v>
      </c>
      <c r="J1145" s="3">
        <v>6</v>
      </c>
      <c r="K1145" s="2">
        <v>122.67</v>
      </c>
    </row>
    <row r="1146" spans="1:11" x14ac:dyDescent="0.25">
      <c r="A1146" s="4">
        <v>42324</v>
      </c>
      <c r="B1146" s="3">
        <f>YEAR(SalesData[[#This Row],[Order Date]])</f>
        <v>2015</v>
      </c>
      <c r="C1146" s="3">
        <f>MONTH(SalesData[[#This Row],[Order Date]])</f>
        <v>11</v>
      </c>
      <c r="D1146" t="s">
        <v>23</v>
      </c>
      <c r="E1146" t="s">
        <v>10</v>
      </c>
      <c r="F1146" t="s">
        <v>11</v>
      </c>
      <c r="G1146" t="s">
        <v>12</v>
      </c>
      <c r="H1146" t="s">
        <v>13</v>
      </c>
      <c r="I1146" s="2">
        <v>2718.84</v>
      </c>
      <c r="J1146" s="3">
        <v>10</v>
      </c>
      <c r="K1146" s="2">
        <v>514.49</v>
      </c>
    </row>
    <row r="1147" spans="1:11" x14ac:dyDescent="0.25">
      <c r="A1147" s="4">
        <v>42324</v>
      </c>
      <c r="B1147" s="3">
        <f>YEAR(SalesData[[#This Row],[Order Date]])</f>
        <v>2015</v>
      </c>
      <c r="C1147" s="3">
        <f>MONTH(SalesData[[#This Row],[Order Date]])</f>
        <v>11</v>
      </c>
      <c r="D1147" t="s">
        <v>62</v>
      </c>
      <c r="E1147" t="s">
        <v>37</v>
      </c>
      <c r="F1147" t="s">
        <v>11</v>
      </c>
      <c r="G1147" t="s">
        <v>35</v>
      </c>
      <c r="H1147" t="s">
        <v>71</v>
      </c>
      <c r="I1147" s="2">
        <v>1175.8</v>
      </c>
      <c r="J1147" s="3">
        <v>9</v>
      </c>
      <c r="K1147" s="2">
        <v>117.4</v>
      </c>
    </row>
    <row r="1148" spans="1:11" x14ac:dyDescent="0.25">
      <c r="A1148" s="4">
        <v>42325</v>
      </c>
      <c r="B1148" s="3">
        <f>YEAR(SalesData[[#This Row],[Order Date]])</f>
        <v>2015</v>
      </c>
      <c r="C1148" s="3">
        <f>MONTH(SalesData[[#This Row],[Order Date]])</f>
        <v>11</v>
      </c>
      <c r="D1148" t="s">
        <v>30</v>
      </c>
      <c r="E1148" t="s">
        <v>37</v>
      </c>
      <c r="F1148" t="s">
        <v>15</v>
      </c>
      <c r="G1148" t="s">
        <v>38</v>
      </c>
      <c r="H1148" t="s">
        <v>39</v>
      </c>
      <c r="I1148" s="2">
        <v>403.72</v>
      </c>
      <c r="J1148" s="3">
        <v>1</v>
      </c>
      <c r="K1148" s="2">
        <v>115.89</v>
      </c>
    </row>
    <row r="1149" spans="1:11" x14ac:dyDescent="0.25">
      <c r="A1149" s="4">
        <v>42325</v>
      </c>
      <c r="B1149" s="3">
        <f>YEAR(SalesData[[#This Row],[Order Date]])</f>
        <v>2015</v>
      </c>
      <c r="C1149" s="3">
        <f>MONTH(SalesData[[#This Row],[Order Date]])</f>
        <v>11</v>
      </c>
      <c r="D1149" t="s">
        <v>47</v>
      </c>
      <c r="E1149" t="s">
        <v>52</v>
      </c>
      <c r="F1149" t="s">
        <v>27</v>
      </c>
      <c r="G1149" t="s">
        <v>32</v>
      </c>
      <c r="H1149" t="s">
        <v>33</v>
      </c>
      <c r="I1149" s="2">
        <v>4605.7299999999996</v>
      </c>
      <c r="J1149" s="3">
        <v>7</v>
      </c>
      <c r="K1149" s="2">
        <v>928.55</v>
      </c>
    </row>
    <row r="1150" spans="1:11" x14ac:dyDescent="0.25">
      <c r="A1150" s="4">
        <v>42326</v>
      </c>
      <c r="B1150" s="3">
        <f>YEAR(SalesData[[#This Row],[Order Date]])</f>
        <v>2015</v>
      </c>
      <c r="C1150" s="3">
        <f>MONTH(SalesData[[#This Row],[Order Date]])</f>
        <v>11</v>
      </c>
      <c r="D1150" t="s">
        <v>18</v>
      </c>
      <c r="E1150" t="s">
        <v>19</v>
      </c>
      <c r="F1150" t="s">
        <v>27</v>
      </c>
      <c r="G1150" t="s">
        <v>32</v>
      </c>
      <c r="H1150" t="s">
        <v>33</v>
      </c>
      <c r="I1150" s="2">
        <v>4532.8999999999996</v>
      </c>
      <c r="J1150" s="3">
        <v>3</v>
      </c>
      <c r="K1150" s="2">
        <v>227.57</v>
      </c>
    </row>
    <row r="1151" spans="1:11" x14ac:dyDescent="0.25">
      <c r="A1151" s="4">
        <v>42326</v>
      </c>
      <c r="B1151" s="3">
        <f>YEAR(SalesData[[#This Row],[Order Date]])</f>
        <v>2015</v>
      </c>
      <c r="C1151" s="3">
        <f>MONTH(SalesData[[#This Row],[Order Date]])</f>
        <v>11</v>
      </c>
      <c r="D1151" t="s">
        <v>18</v>
      </c>
      <c r="E1151" t="s">
        <v>60</v>
      </c>
      <c r="F1151" t="s">
        <v>15</v>
      </c>
      <c r="G1151" t="s">
        <v>16</v>
      </c>
      <c r="H1151" t="s">
        <v>17</v>
      </c>
      <c r="I1151" s="2">
        <v>4242.7299999999996</v>
      </c>
      <c r="J1151" s="3">
        <v>9</v>
      </c>
      <c r="K1151" s="2">
        <v>1042.24</v>
      </c>
    </row>
    <row r="1152" spans="1:11" x14ac:dyDescent="0.25">
      <c r="A1152" s="4">
        <v>42326</v>
      </c>
      <c r="B1152" s="3">
        <f>YEAR(SalesData[[#This Row],[Order Date]])</f>
        <v>2015</v>
      </c>
      <c r="C1152" s="3">
        <f>MONTH(SalesData[[#This Row],[Order Date]])</f>
        <v>11</v>
      </c>
      <c r="D1152" t="s">
        <v>20</v>
      </c>
      <c r="E1152" t="s">
        <v>40</v>
      </c>
      <c r="F1152" t="s">
        <v>11</v>
      </c>
      <c r="G1152" t="s">
        <v>24</v>
      </c>
      <c r="H1152" t="s">
        <v>25</v>
      </c>
      <c r="I1152" s="2">
        <v>1346.4</v>
      </c>
      <c r="J1152" s="3">
        <v>1</v>
      </c>
      <c r="K1152" s="2">
        <v>142.66999999999999</v>
      </c>
    </row>
    <row r="1153" spans="1:11" x14ac:dyDescent="0.25">
      <c r="A1153" s="4">
        <v>42326</v>
      </c>
      <c r="B1153" s="3">
        <f>YEAR(SalesData[[#This Row],[Order Date]])</f>
        <v>2015</v>
      </c>
      <c r="C1153" s="3">
        <f>MONTH(SalesData[[#This Row],[Order Date]])</f>
        <v>11</v>
      </c>
      <c r="D1153" t="s">
        <v>43</v>
      </c>
      <c r="E1153" t="s">
        <v>37</v>
      </c>
      <c r="F1153" t="s">
        <v>11</v>
      </c>
      <c r="G1153" t="s">
        <v>35</v>
      </c>
      <c r="H1153" t="s">
        <v>36</v>
      </c>
      <c r="I1153" s="2">
        <v>2232.35</v>
      </c>
      <c r="J1153" s="3">
        <v>9</v>
      </c>
      <c r="K1153" s="2">
        <v>64.17</v>
      </c>
    </row>
    <row r="1154" spans="1:11" x14ac:dyDescent="0.25">
      <c r="A1154" s="4">
        <v>42327</v>
      </c>
      <c r="B1154" s="3">
        <f>YEAR(SalesData[[#This Row],[Order Date]])</f>
        <v>2015</v>
      </c>
      <c r="C1154" s="3">
        <f>MONTH(SalesData[[#This Row],[Order Date]])</f>
        <v>11</v>
      </c>
      <c r="D1154" t="s">
        <v>18</v>
      </c>
      <c r="E1154" t="s">
        <v>31</v>
      </c>
      <c r="F1154" t="s">
        <v>15</v>
      </c>
      <c r="G1154" t="s">
        <v>41</v>
      </c>
      <c r="H1154" t="s">
        <v>42</v>
      </c>
      <c r="I1154" s="2">
        <v>1495.45</v>
      </c>
      <c r="J1154" s="3">
        <v>5</v>
      </c>
      <c r="K1154" s="2">
        <v>126.06</v>
      </c>
    </row>
    <row r="1155" spans="1:11" x14ac:dyDescent="0.25">
      <c r="A1155" s="4">
        <v>42328</v>
      </c>
      <c r="B1155" s="3">
        <f>YEAR(SalesData[[#This Row],[Order Date]])</f>
        <v>2015</v>
      </c>
      <c r="C1155" s="3">
        <f>MONTH(SalesData[[#This Row],[Order Date]])</f>
        <v>11</v>
      </c>
      <c r="D1155" t="s">
        <v>30</v>
      </c>
      <c r="E1155" t="s">
        <v>60</v>
      </c>
      <c r="F1155" t="s">
        <v>15</v>
      </c>
      <c r="G1155" t="s">
        <v>45</v>
      </c>
      <c r="H1155" t="s">
        <v>59</v>
      </c>
      <c r="I1155" s="2">
        <v>2531.91</v>
      </c>
      <c r="J1155" s="3">
        <v>4</v>
      </c>
      <c r="K1155" s="2">
        <v>505.78</v>
      </c>
    </row>
    <row r="1156" spans="1:11" x14ac:dyDescent="0.25">
      <c r="A1156" s="4">
        <v>42328</v>
      </c>
      <c r="B1156" s="3">
        <f>YEAR(SalesData[[#This Row],[Order Date]])</f>
        <v>2015</v>
      </c>
      <c r="C1156" s="3">
        <f>MONTH(SalesData[[#This Row],[Order Date]])</f>
        <v>11</v>
      </c>
      <c r="D1156" t="s">
        <v>62</v>
      </c>
      <c r="E1156" t="s">
        <v>37</v>
      </c>
      <c r="F1156" t="s">
        <v>15</v>
      </c>
      <c r="G1156" t="s">
        <v>41</v>
      </c>
      <c r="H1156" t="s">
        <v>42</v>
      </c>
      <c r="I1156" s="2">
        <v>3114.55</v>
      </c>
      <c r="J1156" s="3">
        <v>9</v>
      </c>
      <c r="K1156" s="2">
        <v>358.91</v>
      </c>
    </row>
    <row r="1157" spans="1:11" x14ac:dyDescent="0.25">
      <c r="A1157" s="4">
        <v>42329</v>
      </c>
      <c r="B1157" s="3">
        <f>YEAR(SalesData[[#This Row],[Order Date]])</f>
        <v>2015</v>
      </c>
      <c r="C1157" s="3">
        <f>MONTH(SalesData[[#This Row],[Order Date]])</f>
        <v>11</v>
      </c>
      <c r="D1157" t="s">
        <v>47</v>
      </c>
      <c r="E1157" t="s">
        <v>34</v>
      </c>
      <c r="F1157" t="s">
        <v>11</v>
      </c>
      <c r="G1157" t="s">
        <v>24</v>
      </c>
      <c r="H1157" t="s">
        <v>25</v>
      </c>
      <c r="I1157" s="2">
        <v>1421.72</v>
      </c>
      <c r="J1157" s="3">
        <v>8</v>
      </c>
      <c r="K1157" s="2">
        <v>109.32</v>
      </c>
    </row>
    <row r="1158" spans="1:11" x14ac:dyDescent="0.25">
      <c r="A1158" s="4">
        <v>42330</v>
      </c>
      <c r="B1158" s="3">
        <f>YEAR(SalesData[[#This Row],[Order Date]])</f>
        <v>2015</v>
      </c>
      <c r="C1158" s="3">
        <f>MONTH(SalesData[[#This Row],[Order Date]])</f>
        <v>11</v>
      </c>
      <c r="D1158" t="s">
        <v>30</v>
      </c>
      <c r="E1158" t="s">
        <v>31</v>
      </c>
      <c r="F1158" t="s">
        <v>15</v>
      </c>
      <c r="G1158" t="s">
        <v>38</v>
      </c>
      <c r="H1158" t="s">
        <v>39</v>
      </c>
      <c r="I1158" s="2">
        <v>4069.42</v>
      </c>
      <c r="J1158" s="3">
        <v>5</v>
      </c>
      <c r="K1158" s="2">
        <v>1125.32</v>
      </c>
    </row>
    <row r="1159" spans="1:11" x14ac:dyDescent="0.25">
      <c r="A1159" s="4">
        <v>42330</v>
      </c>
      <c r="B1159" s="3">
        <f>YEAR(SalesData[[#This Row],[Order Date]])</f>
        <v>2015</v>
      </c>
      <c r="C1159" s="3">
        <f>MONTH(SalesData[[#This Row],[Order Date]])</f>
        <v>11</v>
      </c>
      <c r="D1159" t="s">
        <v>50</v>
      </c>
      <c r="E1159" t="s">
        <v>26</v>
      </c>
      <c r="F1159" t="s">
        <v>27</v>
      </c>
      <c r="G1159" t="s">
        <v>32</v>
      </c>
      <c r="H1159" t="s">
        <v>33</v>
      </c>
      <c r="I1159" s="2">
        <v>148.35</v>
      </c>
      <c r="J1159" s="3">
        <v>3</v>
      </c>
      <c r="K1159" s="2">
        <v>21.55</v>
      </c>
    </row>
    <row r="1160" spans="1:11" x14ac:dyDescent="0.25">
      <c r="A1160" s="4">
        <v>42331</v>
      </c>
      <c r="B1160" s="3">
        <f>YEAR(SalesData[[#This Row],[Order Date]])</f>
        <v>2015</v>
      </c>
      <c r="C1160" s="3">
        <f>MONTH(SalesData[[#This Row],[Order Date]])</f>
        <v>11</v>
      </c>
      <c r="D1160" t="s">
        <v>55</v>
      </c>
      <c r="E1160" t="s">
        <v>44</v>
      </c>
      <c r="F1160" t="s">
        <v>15</v>
      </c>
      <c r="G1160" t="s">
        <v>16</v>
      </c>
      <c r="H1160" t="s">
        <v>51</v>
      </c>
      <c r="I1160" s="2">
        <v>268.31</v>
      </c>
      <c r="J1160" s="3">
        <v>3</v>
      </c>
      <c r="K1160" s="2">
        <v>33.57</v>
      </c>
    </row>
    <row r="1161" spans="1:11" x14ac:dyDescent="0.25">
      <c r="A1161" s="4">
        <v>42331</v>
      </c>
      <c r="B1161" s="3">
        <f>YEAR(SalesData[[#This Row],[Order Date]])</f>
        <v>2015</v>
      </c>
      <c r="C1161" s="3">
        <f>MONTH(SalesData[[#This Row],[Order Date]])</f>
        <v>11</v>
      </c>
      <c r="D1161" t="s">
        <v>55</v>
      </c>
      <c r="E1161" t="s">
        <v>60</v>
      </c>
      <c r="F1161" t="s">
        <v>15</v>
      </c>
      <c r="G1161" t="s">
        <v>38</v>
      </c>
      <c r="H1161" t="s">
        <v>39</v>
      </c>
      <c r="I1161" s="2">
        <v>2940.52</v>
      </c>
      <c r="J1161" s="3">
        <v>9</v>
      </c>
      <c r="K1161" s="2">
        <v>193.94</v>
      </c>
    </row>
    <row r="1162" spans="1:11" x14ac:dyDescent="0.25">
      <c r="A1162" s="4">
        <v>42331</v>
      </c>
      <c r="B1162" s="3">
        <f>YEAR(SalesData[[#This Row],[Order Date]])</f>
        <v>2015</v>
      </c>
      <c r="C1162" s="3">
        <f>MONTH(SalesData[[#This Row],[Order Date]])</f>
        <v>11</v>
      </c>
      <c r="D1162" t="s">
        <v>55</v>
      </c>
      <c r="E1162" t="s">
        <v>10</v>
      </c>
      <c r="F1162" t="s">
        <v>27</v>
      </c>
      <c r="G1162" t="s">
        <v>28</v>
      </c>
      <c r="H1162" t="s">
        <v>69</v>
      </c>
      <c r="I1162" s="2">
        <v>3159.02</v>
      </c>
      <c r="J1162" s="3">
        <v>2</v>
      </c>
      <c r="K1162" s="2">
        <v>395.98</v>
      </c>
    </row>
    <row r="1163" spans="1:11" x14ac:dyDescent="0.25">
      <c r="A1163" s="4">
        <v>42331</v>
      </c>
      <c r="B1163" s="3">
        <f>YEAR(SalesData[[#This Row],[Order Date]])</f>
        <v>2015</v>
      </c>
      <c r="C1163" s="3">
        <f>MONTH(SalesData[[#This Row],[Order Date]])</f>
        <v>11</v>
      </c>
      <c r="D1163" t="s">
        <v>50</v>
      </c>
      <c r="E1163" t="s">
        <v>40</v>
      </c>
      <c r="F1163" t="s">
        <v>11</v>
      </c>
      <c r="G1163" t="s">
        <v>12</v>
      </c>
      <c r="H1163" t="s">
        <v>65</v>
      </c>
      <c r="I1163" s="2">
        <v>384.24</v>
      </c>
      <c r="J1163" s="3">
        <v>5</v>
      </c>
      <c r="K1163" s="2">
        <v>14.47</v>
      </c>
    </row>
    <row r="1164" spans="1:11" x14ac:dyDescent="0.25">
      <c r="A1164" s="4">
        <v>42331</v>
      </c>
      <c r="B1164" s="3">
        <f>YEAR(SalesData[[#This Row],[Order Date]])</f>
        <v>2015</v>
      </c>
      <c r="C1164" s="3">
        <f>MONTH(SalesData[[#This Row],[Order Date]])</f>
        <v>11</v>
      </c>
      <c r="D1164" t="s">
        <v>30</v>
      </c>
      <c r="E1164" t="s">
        <v>26</v>
      </c>
      <c r="F1164" t="s">
        <v>11</v>
      </c>
      <c r="G1164" t="s">
        <v>24</v>
      </c>
      <c r="H1164" t="s">
        <v>54</v>
      </c>
      <c r="I1164" s="2">
        <v>4664.1899999999996</v>
      </c>
      <c r="J1164" s="3">
        <v>1</v>
      </c>
      <c r="K1164" s="2">
        <v>125.86</v>
      </c>
    </row>
    <row r="1165" spans="1:11" x14ac:dyDescent="0.25">
      <c r="A1165" s="4">
        <v>42331</v>
      </c>
      <c r="B1165" s="3">
        <f>YEAR(SalesData[[#This Row],[Order Date]])</f>
        <v>2015</v>
      </c>
      <c r="C1165" s="3">
        <f>MONTH(SalesData[[#This Row],[Order Date]])</f>
        <v>11</v>
      </c>
      <c r="D1165" t="s">
        <v>55</v>
      </c>
      <c r="E1165" t="s">
        <v>60</v>
      </c>
      <c r="F1165" t="s">
        <v>15</v>
      </c>
      <c r="G1165" t="s">
        <v>16</v>
      </c>
      <c r="H1165" t="s">
        <v>51</v>
      </c>
      <c r="I1165" s="2">
        <v>4581.66</v>
      </c>
      <c r="J1165" s="3">
        <v>5</v>
      </c>
      <c r="K1165" s="2">
        <v>1258.67</v>
      </c>
    </row>
    <row r="1166" spans="1:11" x14ac:dyDescent="0.25">
      <c r="A1166" s="4">
        <v>42332</v>
      </c>
      <c r="B1166" s="3">
        <f>YEAR(SalesData[[#This Row],[Order Date]])</f>
        <v>2015</v>
      </c>
      <c r="C1166" s="3">
        <f>MONTH(SalesData[[#This Row],[Order Date]])</f>
        <v>11</v>
      </c>
      <c r="D1166" t="s">
        <v>47</v>
      </c>
      <c r="E1166" t="s">
        <v>34</v>
      </c>
      <c r="F1166" t="s">
        <v>27</v>
      </c>
      <c r="G1166" t="s">
        <v>48</v>
      </c>
      <c r="H1166" t="s">
        <v>49</v>
      </c>
      <c r="I1166" s="2">
        <v>1931.81</v>
      </c>
      <c r="J1166" s="3">
        <v>3</v>
      </c>
      <c r="K1166" s="2">
        <v>305.39</v>
      </c>
    </row>
    <row r="1167" spans="1:11" x14ac:dyDescent="0.25">
      <c r="A1167" s="4">
        <v>42333</v>
      </c>
      <c r="B1167" s="3">
        <f>YEAR(SalesData[[#This Row],[Order Date]])</f>
        <v>2015</v>
      </c>
      <c r="C1167" s="3">
        <f>MONTH(SalesData[[#This Row],[Order Date]])</f>
        <v>11</v>
      </c>
      <c r="D1167" t="s">
        <v>20</v>
      </c>
      <c r="E1167" t="s">
        <v>52</v>
      </c>
      <c r="F1167" t="s">
        <v>11</v>
      </c>
      <c r="G1167" t="s">
        <v>21</v>
      </c>
      <c r="H1167" t="s">
        <v>22</v>
      </c>
      <c r="I1167" s="2">
        <v>788.38</v>
      </c>
      <c r="J1167" s="3">
        <v>3</v>
      </c>
      <c r="K1167" s="2">
        <v>127.85</v>
      </c>
    </row>
    <row r="1168" spans="1:11" x14ac:dyDescent="0.25">
      <c r="A1168" s="4">
        <v>42333</v>
      </c>
      <c r="B1168" s="3">
        <f>YEAR(SalesData[[#This Row],[Order Date]])</f>
        <v>2015</v>
      </c>
      <c r="C1168" s="3">
        <f>MONTH(SalesData[[#This Row],[Order Date]])</f>
        <v>11</v>
      </c>
      <c r="D1168" t="s">
        <v>43</v>
      </c>
      <c r="E1168" t="s">
        <v>19</v>
      </c>
      <c r="F1168" t="s">
        <v>27</v>
      </c>
      <c r="G1168" t="s">
        <v>48</v>
      </c>
      <c r="H1168" t="s">
        <v>49</v>
      </c>
      <c r="I1168" s="2">
        <v>158.12</v>
      </c>
      <c r="J1168" s="3">
        <v>4</v>
      </c>
      <c r="K1168" s="2">
        <v>32.58</v>
      </c>
    </row>
    <row r="1169" spans="1:11" x14ac:dyDescent="0.25">
      <c r="A1169" s="4">
        <v>42333</v>
      </c>
      <c r="B1169" s="3">
        <f>YEAR(SalesData[[#This Row],[Order Date]])</f>
        <v>2015</v>
      </c>
      <c r="C1169" s="3">
        <f>MONTH(SalesData[[#This Row],[Order Date]])</f>
        <v>11</v>
      </c>
      <c r="D1169" t="s">
        <v>68</v>
      </c>
      <c r="E1169" t="s">
        <v>40</v>
      </c>
      <c r="F1169" t="s">
        <v>15</v>
      </c>
      <c r="G1169" t="s">
        <v>41</v>
      </c>
      <c r="H1169" t="s">
        <v>42</v>
      </c>
      <c r="I1169" s="2">
        <v>4018.96</v>
      </c>
      <c r="J1169" s="3">
        <v>2</v>
      </c>
      <c r="K1169" s="2">
        <v>778.31</v>
      </c>
    </row>
    <row r="1170" spans="1:11" x14ac:dyDescent="0.25">
      <c r="A1170" s="4">
        <v>42334</v>
      </c>
      <c r="B1170" s="3">
        <f>YEAR(SalesData[[#This Row],[Order Date]])</f>
        <v>2015</v>
      </c>
      <c r="C1170" s="3">
        <f>MONTH(SalesData[[#This Row],[Order Date]])</f>
        <v>11</v>
      </c>
      <c r="D1170" t="s">
        <v>68</v>
      </c>
      <c r="E1170" t="s">
        <v>26</v>
      </c>
      <c r="F1170" t="s">
        <v>27</v>
      </c>
      <c r="G1170" t="s">
        <v>32</v>
      </c>
      <c r="H1170" t="s">
        <v>33</v>
      </c>
      <c r="I1170" s="2">
        <v>2568.02</v>
      </c>
      <c r="J1170" s="3">
        <v>10</v>
      </c>
      <c r="K1170" s="2">
        <v>601.32000000000005</v>
      </c>
    </row>
    <row r="1171" spans="1:11" x14ac:dyDescent="0.25">
      <c r="A1171" s="4">
        <v>42335</v>
      </c>
      <c r="B1171" s="3">
        <f>YEAR(SalesData[[#This Row],[Order Date]])</f>
        <v>2015</v>
      </c>
      <c r="C1171" s="3">
        <f>MONTH(SalesData[[#This Row],[Order Date]])</f>
        <v>11</v>
      </c>
      <c r="D1171" t="s">
        <v>14</v>
      </c>
      <c r="E1171" t="s">
        <v>44</v>
      </c>
      <c r="F1171" t="s">
        <v>27</v>
      </c>
      <c r="G1171" t="s">
        <v>28</v>
      </c>
      <c r="H1171" t="s">
        <v>29</v>
      </c>
      <c r="I1171" s="2">
        <v>704.28</v>
      </c>
      <c r="J1171" s="3">
        <v>8</v>
      </c>
      <c r="K1171" s="2">
        <v>54.67</v>
      </c>
    </row>
    <row r="1172" spans="1:11" x14ac:dyDescent="0.25">
      <c r="A1172" s="4">
        <v>42336</v>
      </c>
      <c r="B1172" s="3">
        <f>YEAR(SalesData[[#This Row],[Order Date]])</f>
        <v>2015</v>
      </c>
      <c r="C1172" s="3">
        <f>MONTH(SalesData[[#This Row],[Order Date]])</f>
        <v>11</v>
      </c>
      <c r="D1172" t="s">
        <v>62</v>
      </c>
      <c r="E1172" t="s">
        <v>10</v>
      </c>
      <c r="F1172" t="s">
        <v>27</v>
      </c>
      <c r="G1172" t="s">
        <v>32</v>
      </c>
      <c r="H1172" t="s">
        <v>53</v>
      </c>
      <c r="I1172" s="2">
        <v>1863.47</v>
      </c>
      <c r="J1172" s="3">
        <v>6</v>
      </c>
      <c r="K1172" s="2">
        <v>426.08</v>
      </c>
    </row>
    <row r="1173" spans="1:11" x14ac:dyDescent="0.25">
      <c r="A1173" s="4">
        <v>42336</v>
      </c>
      <c r="B1173" s="3">
        <f>YEAR(SalesData[[#This Row],[Order Date]])</f>
        <v>2015</v>
      </c>
      <c r="C1173" s="3">
        <f>MONTH(SalesData[[#This Row],[Order Date]])</f>
        <v>11</v>
      </c>
      <c r="D1173" t="s">
        <v>43</v>
      </c>
      <c r="E1173" t="s">
        <v>31</v>
      </c>
      <c r="F1173" t="s">
        <v>27</v>
      </c>
      <c r="G1173" t="s">
        <v>32</v>
      </c>
      <c r="H1173" t="s">
        <v>33</v>
      </c>
      <c r="I1173" s="2">
        <v>299.47000000000003</v>
      </c>
      <c r="J1173" s="3">
        <v>6</v>
      </c>
      <c r="K1173" s="2">
        <v>66.400000000000006</v>
      </c>
    </row>
    <row r="1174" spans="1:11" x14ac:dyDescent="0.25">
      <c r="A1174" s="4">
        <v>42337</v>
      </c>
      <c r="B1174" s="3">
        <f>YEAR(SalesData[[#This Row],[Order Date]])</f>
        <v>2015</v>
      </c>
      <c r="C1174" s="3">
        <f>MONTH(SalesData[[#This Row],[Order Date]])</f>
        <v>11</v>
      </c>
      <c r="D1174" t="s">
        <v>9</v>
      </c>
      <c r="E1174" t="s">
        <v>31</v>
      </c>
      <c r="F1174" t="s">
        <v>11</v>
      </c>
      <c r="G1174" t="s">
        <v>35</v>
      </c>
      <c r="H1174" t="s">
        <v>70</v>
      </c>
      <c r="I1174" s="2">
        <v>3349.33</v>
      </c>
      <c r="J1174" s="3">
        <v>2</v>
      </c>
      <c r="K1174" s="2">
        <v>545.4</v>
      </c>
    </row>
    <row r="1175" spans="1:11" x14ac:dyDescent="0.25">
      <c r="A1175" s="4">
        <v>42337</v>
      </c>
      <c r="B1175" s="3">
        <f>YEAR(SalesData[[#This Row],[Order Date]])</f>
        <v>2015</v>
      </c>
      <c r="C1175" s="3">
        <f>MONTH(SalesData[[#This Row],[Order Date]])</f>
        <v>11</v>
      </c>
      <c r="D1175" t="s">
        <v>68</v>
      </c>
      <c r="E1175" t="s">
        <v>34</v>
      </c>
      <c r="F1175" t="s">
        <v>15</v>
      </c>
      <c r="G1175" t="s">
        <v>38</v>
      </c>
      <c r="H1175" t="s">
        <v>56</v>
      </c>
      <c r="I1175" s="2">
        <v>1314.43</v>
      </c>
      <c r="J1175" s="3">
        <v>2</v>
      </c>
      <c r="K1175" s="2">
        <v>241.62</v>
      </c>
    </row>
    <row r="1176" spans="1:11" x14ac:dyDescent="0.25">
      <c r="A1176" s="4">
        <v>42339</v>
      </c>
      <c r="B1176" s="3">
        <f>YEAR(SalesData[[#This Row],[Order Date]])</f>
        <v>2015</v>
      </c>
      <c r="C1176" s="3">
        <f>MONTH(SalesData[[#This Row],[Order Date]])</f>
        <v>12</v>
      </c>
      <c r="D1176" t="s">
        <v>23</v>
      </c>
      <c r="E1176" t="s">
        <v>40</v>
      </c>
      <c r="F1176" t="s">
        <v>11</v>
      </c>
      <c r="G1176" t="s">
        <v>24</v>
      </c>
      <c r="H1176" t="s">
        <v>54</v>
      </c>
      <c r="I1176" s="2">
        <v>4093.07</v>
      </c>
      <c r="J1176" s="3">
        <v>8</v>
      </c>
      <c r="K1176" s="2">
        <v>393.42</v>
      </c>
    </row>
    <row r="1177" spans="1:11" x14ac:dyDescent="0.25">
      <c r="A1177" s="4">
        <v>42340</v>
      </c>
      <c r="B1177" s="3">
        <f>YEAR(SalesData[[#This Row],[Order Date]])</f>
        <v>2015</v>
      </c>
      <c r="C1177" s="3">
        <f>MONTH(SalesData[[#This Row],[Order Date]])</f>
        <v>12</v>
      </c>
      <c r="D1177" t="s">
        <v>20</v>
      </c>
      <c r="E1177" t="s">
        <v>44</v>
      </c>
      <c r="F1177" t="s">
        <v>15</v>
      </c>
      <c r="G1177" t="s">
        <v>16</v>
      </c>
      <c r="H1177" t="s">
        <v>51</v>
      </c>
      <c r="I1177" s="2">
        <v>3153.73</v>
      </c>
      <c r="J1177" s="3">
        <v>8</v>
      </c>
      <c r="K1177" s="2">
        <v>661.76</v>
      </c>
    </row>
    <row r="1178" spans="1:11" x14ac:dyDescent="0.25">
      <c r="A1178" s="4">
        <v>42340</v>
      </c>
      <c r="B1178" s="3">
        <f>YEAR(SalesData[[#This Row],[Order Date]])</f>
        <v>2015</v>
      </c>
      <c r="C1178" s="3">
        <f>MONTH(SalesData[[#This Row],[Order Date]])</f>
        <v>12</v>
      </c>
      <c r="D1178" t="s">
        <v>55</v>
      </c>
      <c r="E1178" t="s">
        <v>34</v>
      </c>
      <c r="F1178" t="s">
        <v>15</v>
      </c>
      <c r="G1178" t="s">
        <v>38</v>
      </c>
      <c r="H1178" t="s">
        <v>56</v>
      </c>
      <c r="I1178" s="2">
        <v>2111.39</v>
      </c>
      <c r="J1178" s="3">
        <v>8</v>
      </c>
      <c r="K1178" s="2">
        <v>205.14</v>
      </c>
    </row>
    <row r="1179" spans="1:11" x14ac:dyDescent="0.25">
      <c r="A1179" s="4">
        <v>42340</v>
      </c>
      <c r="B1179" s="3">
        <f>YEAR(SalesData[[#This Row],[Order Date]])</f>
        <v>2015</v>
      </c>
      <c r="C1179" s="3">
        <f>MONTH(SalesData[[#This Row],[Order Date]])</f>
        <v>12</v>
      </c>
      <c r="D1179" t="s">
        <v>50</v>
      </c>
      <c r="E1179" t="s">
        <v>40</v>
      </c>
      <c r="F1179" t="s">
        <v>27</v>
      </c>
      <c r="G1179" t="s">
        <v>48</v>
      </c>
      <c r="H1179" t="s">
        <v>57</v>
      </c>
      <c r="I1179" s="2">
        <v>4992.1899999999996</v>
      </c>
      <c r="J1179" s="3">
        <v>10</v>
      </c>
      <c r="K1179" s="2">
        <v>808.74</v>
      </c>
    </row>
    <row r="1180" spans="1:11" x14ac:dyDescent="0.25">
      <c r="A1180" s="4">
        <v>42341</v>
      </c>
      <c r="B1180" s="3">
        <f>YEAR(SalesData[[#This Row],[Order Date]])</f>
        <v>2015</v>
      </c>
      <c r="C1180" s="3">
        <f>MONTH(SalesData[[#This Row],[Order Date]])</f>
        <v>12</v>
      </c>
      <c r="D1180" t="s">
        <v>20</v>
      </c>
      <c r="E1180" t="s">
        <v>40</v>
      </c>
      <c r="F1180" t="s">
        <v>27</v>
      </c>
      <c r="G1180" t="s">
        <v>32</v>
      </c>
      <c r="H1180" t="s">
        <v>53</v>
      </c>
      <c r="I1180" s="2">
        <v>1911.02</v>
      </c>
      <c r="J1180" s="3">
        <v>9</v>
      </c>
      <c r="K1180" s="2">
        <v>529.80999999999995</v>
      </c>
    </row>
    <row r="1181" spans="1:11" x14ac:dyDescent="0.25">
      <c r="A1181" s="4">
        <v>42342</v>
      </c>
      <c r="B1181" s="3">
        <f>YEAR(SalesData[[#This Row],[Order Date]])</f>
        <v>2015</v>
      </c>
      <c r="C1181" s="3">
        <f>MONTH(SalesData[[#This Row],[Order Date]])</f>
        <v>12</v>
      </c>
      <c r="D1181" t="s">
        <v>43</v>
      </c>
      <c r="E1181" t="s">
        <v>19</v>
      </c>
      <c r="F1181" t="s">
        <v>15</v>
      </c>
      <c r="G1181" t="s">
        <v>38</v>
      </c>
      <c r="H1181" t="s">
        <v>56</v>
      </c>
      <c r="I1181" s="2">
        <v>1451.51</v>
      </c>
      <c r="J1181" s="3">
        <v>2</v>
      </c>
      <c r="K1181" s="2">
        <v>232.74</v>
      </c>
    </row>
    <row r="1182" spans="1:11" x14ac:dyDescent="0.25">
      <c r="A1182" s="4">
        <v>42342</v>
      </c>
      <c r="B1182" s="3">
        <f>YEAR(SalesData[[#This Row],[Order Date]])</f>
        <v>2015</v>
      </c>
      <c r="C1182" s="3">
        <f>MONTH(SalesData[[#This Row],[Order Date]])</f>
        <v>12</v>
      </c>
      <c r="D1182" t="s">
        <v>68</v>
      </c>
      <c r="E1182" t="s">
        <v>44</v>
      </c>
      <c r="F1182" t="s">
        <v>27</v>
      </c>
      <c r="G1182" t="s">
        <v>48</v>
      </c>
      <c r="H1182" t="s">
        <v>49</v>
      </c>
      <c r="I1182" s="2">
        <v>1588.1</v>
      </c>
      <c r="J1182" s="3">
        <v>8</v>
      </c>
      <c r="K1182" s="2">
        <v>458.77</v>
      </c>
    </row>
    <row r="1183" spans="1:11" x14ac:dyDescent="0.25">
      <c r="A1183" s="4">
        <v>42342</v>
      </c>
      <c r="B1183" s="3">
        <f>YEAR(SalesData[[#This Row],[Order Date]])</f>
        <v>2015</v>
      </c>
      <c r="C1183" s="3">
        <f>MONTH(SalesData[[#This Row],[Order Date]])</f>
        <v>12</v>
      </c>
      <c r="D1183" t="s">
        <v>68</v>
      </c>
      <c r="E1183" t="s">
        <v>34</v>
      </c>
      <c r="F1183" t="s">
        <v>11</v>
      </c>
      <c r="G1183" t="s">
        <v>21</v>
      </c>
      <c r="H1183" t="s">
        <v>67</v>
      </c>
      <c r="I1183" s="2">
        <v>805.6</v>
      </c>
      <c r="J1183" s="3">
        <v>6</v>
      </c>
      <c r="K1183" s="2">
        <v>197.34</v>
      </c>
    </row>
    <row r="1184" spans="1:11" x14ac:dyDescent="0.25">
      <c r="A1184" s="4">
        <v>42342</v>
      </c>
      <c r="B1184" s="3">
        <f>YEAR(SalesData[[#This Row],[Order Date]])</f>
        <v>2015</v>
      </c>
      <c r="C1184" s="3">
        <f>MONTH(SalesData[[#This Row],[Order Date]])</f>
        <v>12</v>
      </c>
      <c r="D1184" t="s">
        <v>18</v>
      </c>
      <c r="E1184" t="s">
        <v>34</v>
      </c>
      <c r="F1184" t="s">
        <v>27</v>
      </c>
      <c r="G1184" t="s">
        <v>48</v>
      </c>
      <c r="H1184" t="s">
        <v>49</v>
      </c>
      <c r="I1184" s="2">
        <v>1560.59</v>
      </c>
      <c r="J1184" s="3">
        <v>4</v>
      </c>
      <c r="K1184" s="2">
        <v>448.99</v>
      </c>
    </row>
    <row r="1185" spans="1:11" x14ac:dyDescent="0.25">
      <c r="A1185" s="4">
        <v>42342</v>
      </c>
      <c r="B1185" s="3">
        <f>YEAR(SalesData[[#This Row],[Order Date]])</f>
        <v>2015</v>
      </c>
      <c r="C1185" s="3">
        <f>MONTH(SalesData[[#This Row],[Order Date]])</f>
        <v>12</v>
      </c>
      <c r="D1185" t="s">
        <v>68</v>
      </c>
      <c r="E1185" t="s">
        <v>10</v>
      </c>
      <c r="F1185" t="s">
        <v>27</v>
      </c>
      <c r="G1185" t="s">
        <v>28</v>
      </c>
      <c r="H1185" t="s">
        <v>69</v>
      </c>
      <c r="I1185" s="2">
        <v>3369.97</v>
      </c>
      <c r="J1185" s="3">
        <v>10</v>
      </c>
      <c r="K1185" s="2">
        <v>814.36</v>
      </c>
    </row>
    <row r="1186" spans="1:11" x14ac:dyDescent="0.25">
      <c r="A1186" s="4">
        <v>42343</v>
      </c>
      <c r="B1186" s="3">
        <f>YEAR(SalesData[[#This Row],[Order Date]])</f>
        <v>2015</v>
      </c>
      <c r="C1186" s="3">
        <f>MONTH(SalesData[[#This Row],[Order Date]])</f>
        <v>12</v>
      </c>
      <c r="D1186" t="s">
        <v>23</v>
      </c>
      <c r="E1186" t="s">
        <v>40</v>
      </c>
      <c r="F1186" t="s">
        <v>27</v>
      </c>
      <c r="G1186" t="s">
        <v>32</v>
      </c>
      <c r="H1186" t="s">
        <v>53</v>
      </c>
      <c r="I1186" s="2">
        <v>2014.67</v>
      </c>
      <c r="J1186" s="3">
        <v>8</v>
      </c>
      <c r="K1186" s="2">
        <v>551.07000000000005</v>
      </c>
    </row>
    <row r="1187" spans="1:11" x14ac:dyDescent="0.25">
      <c r="A1187" s="4">
        <v>42344</v>
      </c>
      <c r="B1187" s="3">
        <f>YEAR(SalesData[[#This Row],[Order Date]])</f>
        <v>2015</v>
      </c>
      <c r="C1187" s="3">
        <f>MONTH(SalesData[[#This Row],[Order Date]])</f>
        <v>12</v>
      </c>
      <c r="D1187" t="s">
        <v>62</v>
      </c>
      <c r="E1187" t="s">
        <v>37</v>
      </c>
      <c r="F1187" t="s">
        <v>27</v>
      </c>
      <c r="G1187" t="s">
        <v>32</v>
      </c>
      <c r="H1187" t="s">
        <v>33</v>
      </c>
      <c r="I1187" s="2">
        <v>518.02</v>
      </c>
      <c r="J1187" s="3">
        <v>6</v>
      </c>
      <c r="K1187" s="2">
        <v>50.99</v>
      </c>
    </row>
    <row r="1188" spans="1:11" x14ac:dyDescent="0.25">
      <c r="A1188" s="4">
        <v>42344</v>
      </c>
      <c r="B1188" s="3">
        <f>YEAR(SalesData[[#This Row],[Order Date]])</f>
        <v>2015</v>
      </c>
      <c r="C1188" s="3">
        <f>MONTH(SalesData[[#This Row],[Order Date]])</f>
        <v>12</v>
      </c>
      <c r="D1188" t="s">
        <v>47</v>
      </c>
      <c r="E1188" t="s">
        <v>60</v>
      </c>
      <c r="F1188" t="s">
        <v>27</v>
      </c>
      <c r="G1188" t="s">
        <v>32</v>
      </c>
      <c r="H1188" t="s">
        <v>53</v>
      </c>
      <c r="I1188" s="2">
        <v>3761.43</v>
      </c>
      <c r="J1188" s="3">
        <v>5</v>
      </c>
      <c r="K1188" s="2">
        <v>738.08</v>
      </c>
    </row>
    <row r="1189" spans="1:11" x14ac:dyDescent="0.25">
      <c r="A1189" s="4">
        <v>42345</v>
      </c>
      <c r="B1189" s="3">
        <f>YEAR(SalesData[[#This Row],[Order Date]])</f>
        <v>2015</v>
      </c>
      <c r="C1189" s="3">
        <f>MONTH(SalesData[[#This Row],[Order Date]])</f>
        <v>12</v>
      </c>
      <c r="D1189" t="s">
        <v>9</v>
      </c>
      <c r="E1189" t="s">
        <v>19</v>
      </c>
      <c r="F1189" t="s">
        <v>11</v>
      </c>
      <c r="G1189" t="s">
        <v>12</v>
      </c>
      <c r="H1189" t="s">
        <v>65</v>
      </c>
      <c r="I1189" s="2">
        <v>4872.38</v>
      </c>
      <c r="J1189" s="3">
        <v>7</v>
      </c>
      <c r="K1189" s="2">
        <v>1095.28</v>
      </c>
    </row>
    <row r="1190" spans="1:11" x14ac:dyDescent="0.25">
      <c r="A1190" s="4">
        <v>42346</v>
      </c>
      <c r="B1190" s="3">
        <f>YEAR(SalesData[[#This Row],[Order Date]])</f>
        <v>2015</v>
      </c>
      <c r="C1190" s="3">
        <f>MONTH(SalesData[[#This Row],[Order Date]])</f>
        <v>12</v>
      </c>
      <c r="D1190" t="s">
        <v>14</v>
      </c>
      <c r="E1190" t="s">
        <v>34</v>
      </c>
      <c r="F1190" t="s">
        <v>27</v>
      </c>
      <c r="G1190" t="s">
        <v>32</v>
      </c>
      <c r="H1190" t="s">
        <v>53</v>
      </c>
      <c r="I1190" s="2">
        <v>763.82</v>
      </c>
      <c r="J1190" s="3">
        <v>1</v>
      </c>
      <c r="K1190" s="2">
        <v>5.92</v>
      </c>
    </row>
    <row r="1191" spans="1:11" x14ac:dyDescent="0.25">
      <c r="A1191" s="4">
        <v>42346</v>
      </c>
      <c r="B1191" s="3">
        <f>YEAR(SalesData[[#This Row],[Order Date]])</f>
        <v>2015</v>
      </c>
      <c r="C1191" s="3">
        <f>MONTH(SalesData[[#This Row],[Order Date]])</f>
        <v>12</v>
      </c>
      <c r="D1191" t="s">
        <v>9</v>
      </c>
      <c r="E1191" t="s">
        <v>37</v>
      </c>
      <c r="F1191" t="s">
        <v>15</v>
      </c>
      <c r="G1191" t="s">
        <v>38</v>
      </c>
      <c r="H1191" t="s">
        <v>39</v>
      </c>
      <c r="I1191" s="2">
        <v>4897.96</v>
      </c>
      <c r="J1191" s="3">
        <v>7</v>
      </c>
      <c r="K1191" s="2">
        <v>779.7</v>
      </c>
    </row>
    <row r="1192" spans="1:11" x14ac:dyDescent="0.25">
      <c r="A1192" s="4">
        <v>42346</v>
      </c>
      <c r="B1192" s="3">
        <f>YEAR(SalesData[[#This Row],[Order Date]])</f>
        <v>2015</v>
      </c>
      <c r="C1192" s="3">
        <f>MONTH(SalesData[[#This Row],[Order Date]])</f>
        <v>12</v>
      </c>
      <c r="D1192" t="s">
        <v>23</v>
      </c>
      <c r="E1192" t="s">
        <v>37</v>
      </c>
      <c r="F1192" t="s">
        <v>11</v>
      </c>
      <c r="G1192" t="s">
        <v>35</v>
      </c>
      <c r="H1192" t="s">
        <v>71</v>
      </c>
      <c r="I1192" s="2">
        <v>168.5</v>
      </c>
      <c r="J1192" s="3">
        <v>3</v>
      </c>
      <c r="K1192" s="2">
        <v>43.51</v>
      </c>
    </row>
    <row r="1193" spans="1:11" x14ac:dyDescent="0.25">
      <c r="A1193" s="4">
        <v>42346</v>
      </c>
      <c r="B1193" s="3">
        <f>YEAR(SalesData[[#This Row],[Order Date]])</f>
        <v>2015</v>
      </c>
      <c r="C1193" s="3">
        <f>MONTH(SalesData[[#This Row],[Order Date]])</f>
        <v>12</v>
      </c>
      <c r="D1193" t="s">
        <v>20</v>
      </c>
      <c r="E1193" t="s">
        <v>60</v>
      </c>
      <c r="F1193" t="s">
        <v>15</v>
      </c>
      <c r="G1193" t="s">
        <v>63</v>
      </c>
      <c r="H1193" t="s">
        <v>64</v>
      </c>
      <c r="I1193" s="2">
        <v>1648.31</v>
      </c>
      <c r="J1193" s="3">
        <v>10</v>
      </c>
      <c r="K1193" s="2">
        <v>342.74</v>
      </c>
    </row>
    <row r="1194" spans="1:11" x14ac:dyDescent="0.25">
      <c r="A1194" s="4">
        <v>42348</v>
      </c>
      <c r="B1194" s="3">
        <f>YEAR(SalesData[[#This Row],[Order Date]])</f>
        <v>2015</v>
      </c>
      <c r="C1194" s="3">
        <f>MONTH(SalesData[[#This Row],[Order Date]])</f>
        <v>12</v>
      </c>
      <c r="D1194" t="s">
        <v>9</v>
      </c>
      <c r="E1194" t="s">
        <v>34</v>
      </c>
      <c r="F1194" t="s">
        <v>11</v>
      </c>
      <c r="G1194" t="s">
        <v>24</v>
      </c>
      <c r="H1194" t="s">
        <v>25</v>
      </c>
      <c r="I1194" s="2">
        <v>1714.8</v>
      </c>
      <c r="J1194" s="3">
        <v>6</v>
      </c>
      <c r="K1194" s="2">
        <v>142.77000000000001</v>
      </c>
    </row>
    <row r="1195" spans="1:11" x14ac:dyDescent="0.25">
      <c r="A1195" s="4">
        <v>42349</v>
      </c>
      <c r="B1195" s="3">
        <f>YEAR(SalesData[[#This Row],[Order Date]])</f>
        <v>2015</v>
      </c>
      <c r="C1195" s="3">
        <f>MONTH(SalesData[[#This Row],[Order Date]])</f>
        <v>12</v>
      </c>
      <c r="D1195" t="s">
        <v>47</v>
      </c>
      <c r="E1195" t="s">
        <v>31</v>
      </c>
      <c r="F1195" t="s">
        <v>11</v>
      </c>
      <c r="G1195" t="s">
        <v>21</v>
      </c>
      <c r="H1195" t="s">
        <v>22</v>
      </c>
      <c r="I1195" s="2">
        <v>2072.9499999999998</v>
      </c>
      <c r="J1195" s="3">
        <v>10</v>
      </c>
      <c r="K1195" s="2">
        <v>275.37</v>
      </c>
    </row>
    <row r="1196" spans="1:11" x14ac:dyDescent="0.25">
      <c r="A1196" s="4">
        <v>42350</v>
      </c>
      <c r="B1196" s="3">
        <f>YEAR(SalesData[[#This Row],[Order Date]])</f>
        <v>2015</v>
      </c>
      <c r="C1196" s="3">
        <f>MONTH(SalesData[[#This Row],[Order Date]])</f>
        <v>12</v>
      </c>
      <c r="D1196" t="s">
        <v>9</v>
      </c>
      <c r="E1196" t="s">
        <v>52</v>
      </c>
      <c r="F1196" t="s">
        <v>27</v>
      </c>
      <c r="G1196" t="s">
        <v>48</v>
      </c>
      <c r="H1196" t="s">
        <v>57</v>
      </c>
      <c r="I1196" s="2">
        <v>1053.44</v>
      </c>
      <c r="J1196" s="3">
        <v>3</v>
      </c>
      <c r="K1196" s="2">
        <v>214.37</v>
      </c>
    </row>
    <row r="1197" spans="1:11" x14ac:dyDescent="0.25">
      <c r="A1197" s="4">
        <v>42350</v>
      </c>
      <c r="B1197" s="3">
        <f>YEAR(SalesData[[#This Row],[Order Date]])</f>
        <v>2015</v>
      </c>
      <c r="C1197" s="3">
        <f>MONTH(SalesData[[#This Row],[Order Date]])</f>
        <v>12</v>
      </c>
      <c r="D1197" t="s">
        <v>55</v>
      </c>
      <c r="E1197" t="s">
        <v>44</v>
      </c>
      <c r="F1197" t="s">
        <v>15</v>
      </c>
      <c r="G1197" t="s">
        <v>41</v>
      </c>
      <c r="H1197" t="s">
        <v>42</v>
      </c>
      <c r="I1197" s="2">
        <v>1582.49</v>
      </c>
      <c r="J1197" s="3">
        <v>2</v>
      </c>
      <c r="K1197" s="2">
        <v>141.65</v>
      </c>
    </row>
    <row r="1198" spans="1:11" x14ac:dyDescent="0.25">
      <c r="A1198" s="4">
        <v>42351</v>
      </c>
      <c r="B1198" s="3">
        <f>YEAR(SalesData[[#This Row],[Order Date]])</f>
        <v>2015</v>
      </c>
      <c r="C1198" s="3">
        <f>MONTH(SalesData[[#This Row],[Order Date]])</f>
        <v>12</v>
      </c>
      <c r="D1198" t="s">
        <v>30</v>
      </c>
      <c r="E1198" t="s">
        <v>26</v>
      </c>
      <c r="F1198" t="s">
        <v>27</v>
      </c>
      <c r="G1198" t="s">
        <v>48</v>
      </c>
      <c r="H1198" t="s">
        <v>49</v>
      </c>
      <c r="I1198" s="2">
        <v>2652.9</v>
      </c>
      <c r="J1198" s="3">
        <v>9</v>
      </c>
      <c r="K1198" s="2">
        <v>124.69</v>
      </c>
    </row>
    <row r="1199" spans="1:11" x14ac:dyDescent="0.25">
      <c r="A1199" s="4">
        <v>42351</v>
      </c>
      <c r="B1199" s="3">
        <f>YEAR(SalesData[[#This Row],[Order Date]])</f>
        <v>2015</v>
      </c>
      <c r="C1199" s="3">
        <f>MONTH(SalesData[[#This Row],[Order Date]])</f>
        <v>12</v>
      </c>
      <c r="D1199" t="s">
        <v>30</v>
      </c>
      <c r="E1199" t="s">
        <v>34</v>
      </c>
      <c r="F1199" t="s">
        <v>15</v>
      </c>
      <c r="G1199" t="s">
        <v>45</v>
      </c>
      <c r="H1199" t="s">
        <v>59</v>
      </c>
      <c r="I1199" s="2">
        <v>1731.38</v>
      </c>
      <c r="J1199" s="3">
        <v>5</v>
      </c>
      <c r="K1199" s="2">
        <v>89.49</v>
      </c>
    </row>
    <row r="1200" spans="1:11" x14ac:dyDescent="0.25">
      <c r="A1200" s="4">
        <v>42352</v>
      </c>
      <c r="B1200" s="3">
        <f>YEAR(SalesData[[#This Row],[Order Date]])</f>
        <v>2015</v>
      </c>
      <c r="C1200" s="3">
        <f>MONTH(SalesData[[#This Row],[Order Date]])</f>
        <v>12</v>
      </c>
      <c r="D1200" t="s">
        <v>14</v>
      </c>
      <c r="E1200" t="s">
        <v>34</v>
      </c>
      <c r="F1200" t="s">
        <v>27</v>
      </c>
      <c r="G1200" t="s">
        <v>48</v>
      </c>
      <c r="H1200" t="s">
        <v>49</v>
      </c>
      <c r="I1200" s="2">
        <v>4288.16</v>
      </c>
      <c r="J1200" s="3">
        <v>1</v>
      </c>
      <c r="K1200" s="2">
        <v>969.61</v>
      </c>
    </row>
    <row r="1201" spans="1:11" x14ac:dyDescent="0.25">
      <c r="A1201" s="4">
        <v>42352</v>
      </c>
      <c r="B1201" s="3">
        <f>YEAR(SalesData[[#This Row],[Order Date]])</f>
        <v>2015</v>
      </c>
      <c r="C1201" s="3">
        <f>MONTH(SalesData[[#This Row],[Order Date]])</f>
        <v>12</v>
      </c>
      <c r="D1201" t="s">
        <v>43</v>
      </c>
      <c r="E1201" t="s">
        <v>40</v>
      </c>
      <c r="F1201" t="s">
        <v>11</v>
      </c>
      <c r="G1201" t="s">
        <v>12</v>
      </c>
      <c r="H1201" t="s">
        <v>13</v>
      </c>
      <c r="I1201" s="2">
        <v>463.04</v>
      </c>
      <c r="J1201" s="3">
        <v>10</v>
      </c>
      <c r="K1201" s="2">
        <v>70.650000000000006</v>
      </c>
    </row>
    <row r="1202" spans="1:11" x14ac:dyDescent="0.25">
      <c r="A1202" s="4">
        <v>42353</v>
      </c>
      <c r="B1202" s="3">
        <f>YEAR(SalesData[[#This Row],[Order Date]])</f>
        <v>2015</v>
      </c>
      <c r="C1202" s="3">
        <f>MONTH(SalesData[[#This Row],[Order Date]])</f>
        <v>12</v>
      </c>
      <c r="D1202" t="s">
        <v>50</v>
      </c>
      <c r="E1202" t="s">
        <v>26</v>
      </c>
      <c r="F1202" t="s">
        <v>27</v>
      </c>
      <c r="G1202" t="s">
        <v>48</v>
      </c>
      <c r="H1202" t="s">
        <v>57</v>
      </c>
      <c r="I1202" s="2">
        <v>3430.68</v>
      </c>
      <c r="J1202" s="3">
        <v>8</v>
      </c>
      <c r="K1202" s="2">
        <v>818.95</v>
      </c>
    </row>
    <row r="1203" spans="1:11" x14ac:dyDescent="0.25">
      <c r="A1203" s="4">
        <v>42353</v>
      </c>
      <c r="B1203" s="3">
        <f>YEAR(SalesData[[#This Row],[Order Date]])</f>
        <v>2015</v>
      </c>
      <c r="C1203" s="3">
        <f>MONTH(SalesData[[#This Row],[Order Date]])</f>
        <v>12</v>
      </c>
      <c r="D1203" t="s">
        <v>50</v>
      </c>
      <c r="E1203" t="s">
        <v>10</v>
      </c>
      <c r="F1203" t="s">
        <v>15</v>
      </c>
      <c r="G1203" t="s">
        <v>38</v>
      </c>
      <c r="H1203" t="s">
        <v>56</v>
      </c>
      <c r="I1203" s="2">
        <v>3567.6</v>
      </c>
      <c r="J1203" s="3">
        <v>5</v>
      </c>
      <c r="K1203" s="2">
        <v>410.41</v>
      </c>
    </row>
    <row r="1204" spans="1:11" x14ac:dyDescent="0.25">
      <c r="A1204" s="4">
        <v>42353</v>
      </c>
      <c r="B1204" s="3">
        <f>YEAR(SalesData[[#This Row],[Order Date]])</f>
        <v>2015</v>
      </c>
      <c r="C1204" s="3">
        <f>MONTH(SalesData[[#This Row],[Order Date]])</f>
        <v>12</v>
      </c>
      <c r="D1204" t="s">
        <v>30</v>
      </c>
      <c r="E1204" t="s">
        <v>19</v>
      </c>
      <c r="F1204" t="s">
        <v>15</v>
      </c>
      <c r="G1204" t="s">
        <v>45</v>
      </c>
      <c r="H1204" t="s">
        <v>46</v>
      </c>
      <c r="I1204" s="2">
        <v>1029.1199999999999</v>
      </c>
      <c r="J1204" s="3">
        <v>4</v>
      </c>
      <c r="K1204" s="2">
        <v>230.59</v>
      </c>
    </row>
    <row r="1205" spans="1:11" x14ac:dyDescent="0.25">
      <c r="A1205" s="4">
        <v>42353</v>
      </c>
      <c r="B1205" s="3">
        <f>YEAR(SalesData[[#This Row],[Order Date]])</f>
        <v>2015</v>
      </c>
      <c r="C1205" s="3">
        <f>MONTH(SalesData[[#This Row],[Order Date]])</f>
        <v>12</v>
      </c>
      <c r="D1205" t="s">
        <v>68</v>
      </c>
      <c r="E1205" t="s">
        <v>40</v>
      </c>
      <c r="F1205" t="s">
        <v>11</v>
      </c>
      <c r="G1205" t="s">
        <v>24</v>
      </c>
      <c r="H1205" t="s">
        <v>25</v>
      </c>
      <c r="I1205" s="2">
        <v>712.45</v>
      </c>
      <c r="J1205" s="3">
        <v>8</v>
      </c>
      <c r="K1205" s="2">
        <v>108.39</v>
      </c>
    </row>
    <row r="1206" spans="1:11" x14ac:dyDescent="0.25">
      <c r="A1206" s="4">
        <v>42353</v>
      </c>
      <c r="B1206" s="3">
        <f>YEAR(SalesData[[#This Row],[Order Date]])</f>
        <v>2015</v>
      </c>
      <c r="C1206" s="3">
        <f>MONTH(SalesData[[#This Row],[Order Date]])</f>
        <v>12</v>
      </c>
      <c r="D1206" t="s">
        <v>62</v>
      </c>
      <c r="E1206" t="s">
        <v>10</v>
      </c>
      <c r="F1206" t="s">
        <v>11</v>
      </c>
      <c r="G1206" t="s">
        <v>24</v>
      </c>
      <c r="H1206" t="s">
        <v>25</v>
      </c>
      <c r="I1206" s="2">
        <v>2532.6999999999998</v>
      </c>
      <c r="J1206" s="3">
        <v>5</v>
      </c>
      <c r="K1206" s="2">
        <v>7.31</v>
      </c>
    </row>
    <row r="1207" spans="1:11" x14ac:dyDescent="0.25">
      <c r="A1207" s="4">
        <v>42354</v>
      </c>
      <c r="B1207" s="3">
        <f>YEAR(SalesData[[#This Row],[Order Date]])</f>
        <v>2015</v>
      </c>
      <c r="C1207" s="3">
        <f>MONTH(SalesData[[#This Row],[Order Date]])</f>
        <v>12</v>
      </c>
      <c r="D1207" t="s">
        <v>18</v>
      </c>
      <c r="E1207" t="s">
        <v>40</v>
      </c>
      <c r="F1207" t="s">
        <v>15</v>
      </c>
      <c r="G1207" t="s">
        <v>38</v>
      </c>
      <c r="H1207" t="s">
        <v>39</v>
      </c>
      <c r="I1207" s="2">
        <v>1199.1300000000001</v>
      </c>
      <c r="J1207" s="3">
        <v>9</v>
      </c>
      <c r="K1207" s="2">
        <v>291.3</v>
      </c>
    </row>
    <row r="1208" spans="1:11" x14ac:dyDescent="0.25">
      <c r="A1208" s="4">
        <v>42355</v>
      </c>
      <c r="B1208" s="3">
        <f>YEAR(SalesData[[#This Row],[Order Date]])</f>
        <v>2015</v>
      </c>
      <c r="C1208" s="3">
        <f>MONTH(SalesData[[#This Row],[Order Date]])</f>
        <v>12</v>
      </c>
      <c r="D1208" t="s">
        <v>55</v>
      </c>
      <c r="E1208" t="s">
        <v>31</v>
      </c>
      <c r="F1208" t="s">
        <v>27</v>
      </c>
      <c r="G1208" t="s">
        <v>28</v>
      </c>
      <c r="H1208" t="s">
        <v>58</v>
      </c>
      <c r="I1208" s="2">
        <v>3703.04</v>
      </c>
      <c r="J1208" s="3">
        <v>1</v>
      </c>
      <c r="K1208" s="2">
        <v>439.19</v>
      </c>
    </row>
    <row r="1209" spans="1:11" x14ac:dyDescent="0.25">
      <c r="A1209" s="4">
        <v>42355</v>
      </c>
      <c r="B1209" s="3">
        <f>YEAR(SalesData[[#This Row],[Order Date]])</f>
        <v>2015</v>
      </c>
      <c r="C1209" s="3">
        <f>MONTH(SalesData[[#This Row],[Order Date]])</f>
        <v>12</v>
      </c>
      <c r="D1209" t="s">
        <v>68</v>
      </c>
      <c r="E1209" t="s">
        <v>10</v>
      </c>
      <c r="F1209" t="s">
        <v>27</v>
      </c>
      <c r="G1209" t="s">
        <v>28</v>
      </c>
      <c r="H1209" t="s">
        <v>58</v>
      </c>
      <c r="I1209" s="2">
        <v>2628.11</v>
      </c>
      <c r="J1209" s="3">
        <v>2</v>
      </c>
      <c r="K1209" s="2">
        <v>338.08</v>
      </c>
    </row>
    <row r="1210" spans="1:11" x14ac:dyDescent="0.25">
      <c r="A1210" s="4">
        <v>42356</v>
      </c>
      <c r="B1210" s="3">
        <f>YEAR(SalesData[[#This Row],[Order Date]])</f>
        <v>2015</v>
      </c>
      <c r="C1210" s="3">
        <f>MONTH(SalesData[[#This Row],[Order Date]])</f>
        <v>12</v>
      </c>
      <c r="D1210" t="s">
        <v>9</v>
      </c>
      <c r="E1210" t="s">
        <v>37</v>
      </c>
      <c r="F1210" t="s">
        <v>15</v>
      </c>
      <c r="G1210" t="s">
        <v>38</v>
      </c>
      <c r="H1210" t="s">
        <v>56</v>
      </c>
      <c r="I1210" s="2">
        <v>1938.7</v>
      </c>
      <c r="J1210" s="3">
        <v>3</v>
      </c>
      <c r="K1210" s="2">
        <v>520.35</v>
      </c>
    </row>
    <row r="1211" spans="1:11" x14ac:dyDescent="0.25">
      <c r="A1211" s="4">
        <v>42356</v>
      </c>
      <c r="B1211" s="3">
        <f>YEAR(SalesData[[#This Row],[Order Date]])</f>
        <v>2015</v>
      </c>
      <c r="C1211" s="3">
        <f>MONTH(SalesData[[#This Row],[Order Date]])</f>
        <v>12</v>
      </c>
      <c r="D1211" t="s">
        <v>20</v>
      </c>
      <c r="E1211" t="s">
        <v>44</v>
      </c>
      <c r="F1211" t="s">
        <v>15</v>
      </c>
      <c r="G1211" t="s">
        <v>45</v>
      </c>
      <c r="H1211" t="s">
        <v>59</v>
      </c>
      <c r="I1211" s="2">
        <v>2320.46</v>
      </c>
      <c r="J1211" s="3">
        <v>7</v>
      </c>
      <c r="K1211" s="2">
        <v>624.26</v>
      </c>
    </row>
    <row r="1212" spans="1:11" x14ac:dyDescent="0.25">
      <c r="A1212" s="4">
        <v>42357</v>
      </c>
      <c r="B1212" s="3">
        <f>YEAR(SalesData[[#This Row],[Order Date]])</f>
        <v>2015</v>
      </c>
      <c r="C1212" s="3">
        <f>MONTH(SalesData[[#This Row],[Order Date]])</f>
        <v>12</v>
      </c>
      <c r="D1212" t="s">
        <v>43</v>
      </c>
      <c r="E1212" t="s">
        <v>44</v>
      </c>
      <c r="F1212" t="s">
        <v>15</v>
      </c>
      <c r="G1212" t="s">
        <v>16</v>
      </c>
      <c r="H1212" t="s">
        <v>17</v>
      </c>
      <c r="I1212" s="2">
        <v>4938.9399999999996</v>
      </c>
      <c r="J1212" s="3">
        <v>1</v>
      </c>
      <c r="K1212" s="2">
        <v>1013.59</v>
      </c>
    </row>
    <row r="1213" spans="1:11" x14ac:dyDescent="0.25">
      <c r="A1213" s="4">
        <v>42357</v>
      </c>
      <c r="B1213" s="3">
        <f>YEAR(SalesData[[#This Row],[Order Date]])</f>
        <v>2015</v>
      </c>
      <c r="C1213" s="3">
        <f>MONTH(SalesData[[#This Row],[Order Date]])</f>
        <v>12</v>
      </c>
      <c r="D1213" t="s">
        <v>18</v>
      </c>
      <c r="E1213" t="s">
        <v>31</v>
      </c>
      <c r="F1213" t="s">
        <v>11</v>
      </c>
      <c r="G1213" t="s">
        <v>21</v>
      </c>
      <c r="H1213" t="s">
        <v>67</v>
      </c>
      <c r="I1213" s="2">
        <v>754.34</v>
      </c>
      <c r="J1213" s="3">
        <v>3</v>
      </c>
      <c r="K1213" s="2">
        <v>158.41</v>
      </c>
    </row>
    <row r="1214" spans="1:11" x14ac:dyDescent="0.25">
      <c r="A1214" s="4">
        <v>42358</v>
      </c>
      <c r="B1214" s="3">
        <f>YEAR(SalesData[[#This Row],[Order Date]])</f>
        <v>2015</v>
      </c>
      <c r="C1214" s="3">
        <f>MONTH(SalesData[[#This Row],[Order Date]])</f>
        <v>12</v>
      </c>
      <c r="D1214" t="s">
        <v>55</v>
      </c>
      <c r="E1214" t="s">
        <v>34</v>
      </c>
      <c r="F1214" t="s">
        <v>27</v>
      </c>
      <c r="G1214" t="s">
        <v>48</v>
      </c>
      <c r="H1214" t="s">
        <v>49</v>
      </c>
      <c r="I1214" s="2">
        <v>840.89</v>
      </c>
      <c r="J1214" s="3">
        <v>10</v>
      </c>
      <c r="K1214" s="2">
        <v>230.53</v>
      </c>
    </row>
    <row r="1215" spans="1:11" x14ac:dyDescent="0.25">
      <c r="A1215" s="4">
        <v>42358</v>
      </c>
      <c r="B1215" s="3">
        <f>YEAR(SalesData[[#This Row],[Order Date]])</f>
        <v>2015</v>
      </c>
      <c r="C1215" s="3">
        <f>MONTH(SalesData[[#This Row],[Order Date]])</f>
        <v>12</v>
      </c>
      <c r="D1215" t="s">
        <v>20</v>
      </c>
      <c r="E1215" t="s">
        <v>26</v>
      </c>
      <c r="F1215" t="s">
        <v>27</v>
      </c>
      <c r="G1215" t="s">
        <v>28</v>
      </c>
      <c r="H1215" t="s">
        <v>69</v>
      </c>
      <c r="I1215" s="2">
        <v>3745.16</v>
      </c>
      <c r="J1215" s="3">
        <v>8</v>
      </c>
      <c r="K1215" s="2">
        <v>193.6</v>
      </c>
    </row>
    <row r="1216" spans="1:11" x14ac:dyDescent="0.25">
      <c r="A1216" s="4">
        <v>42359</v>
      </c>
      <c r="B1216" s="3">
        <f>YEAR(SalesData[[#This Row],[Order Date]])</f>
        <v>2015</v>
      </c>
      <c r="C1216" s="3">
        <f>MONTH(SalesData[[#This Row],[Order Date]])</f>
        <v>12</v>
      </c>
      <c r="D1216" t="s">
        <v>62</v>
      </c>
      <c r="E1216" t="s">
        <v>60</v>
      </c>
      <c r="F1216" t="s">
        <v>27</v>
      </c>
      <c r="G1216" t="s">
        <v>28</v>
      </c>
      <c r="H1216" t="s">
        <v>29</v>
      </c>
      <c r="I1216" s="2">
        <v>4119.04</v>
      </c>
      <c r="J1216" s="3">
        <v>6</v>
      </c>
      <c r="K1216" s="2">
        <v>691.45</v>
      </c>
    </row>
    <row r="1217" spans="1:11" x14ac:dyDescent="0.25">
      <c r="A1217" s="4">
        <v>42359</v>
      </c>
      <c r="B1217" s="3">
        <f>YEAR(SalesData[[#This Row],[Order Date]])</f>
        <v>2015</v>
      </c>
      <c r="C1217" s="3">
        <f>MONTH(SalesData[[#This Row],[Order Date]])</f>
        <v>12</v>
      </c>
      <c r="D1217" t="s">
        <v>20</v>
      </c>
      <c r="E1217" t="s">
        <v>31</v>
      </c>
      <c r="F1217" t="s">
        <v>11</v>
      </c>
      <c r="G1217" t="s">
        <v>21</v>
      </c>
      <c r="H1217" t="s">
        <v>22</v>
      </c>
      <c r="I1217" s="2">
        <v>4929.76</v>
      </c>
      <c r="J1217" s="3">
        <v>7</v>
      </c>
      <c r="K1217" s="2">
        <v>1403.48</v>
      </c>
    </row>
    <row r="1218" spans="1:11" x14ac:dyDescent="0.25">
      <c r="A1218" s="4">
        <v>42360</v>
      </c>
      <c r="B1218" s="3">
        <f>YEAR(SalesData[[#This Row],[Order Date]])</f>
        <v>2015</v>
      </c>
      <c r="C1218" s="3">
        <f>MONTH(SalesData[[#This Row],[Order Date]])</f>
        <v>12</v>
      </c>
      <c r="D1218" t="s">
        <v>55</v>
      </c>
      <c r="E1218" t="s">
        <v>52</v>
      </c>
      <c r="F1218" t="s">
        <v>15</v>
      </c>
      <c r="G1218" t="s">
        <v>41</v>
      </c>
      <c r="H1218" t="s">
        <v>42</v>
      </c>
      <c r="I1218" s="2">
        <v>4680.54</v>
      </c>
      <c r="J1218" s="3">
        <v>10</v>
      </c>
      <c r="K1218" s="2">
        <v>964.27</v>
      </c>
    </row>
    <row r="1219" spans="1:11" x14ac:dyDescent="0.25">
      <c r="A1219" s="4">
        <v>42360</v>
      </c>
      <c r="B1219" s="3">
        <f>YEAR(SalesData[[#This Row],[Order Date]])</f>
        <v>2015</v>
      </c>
      <c r="C1219" s="3">
        <f>MONTH(SalesData[[#This Row],[Order Date]])</f>
        <v>12</v>
      </c>
      <c r="D1219" t="s">
        <v>18</v>
      </c>
      <c r="E1219" t="s">
        <v>34</v>
      </c>
      <c r="F1219" t="s">
        <v>15</v>
      </c>
      <c r="G1219" t="s">
        <v>38</v>
      </c>
      <c r="H1219" t="s">
        <v>39</v>
      </c>
      <c r="I1219" s="2">
        <v>2480.52</v>
      </c>
      <c r="J1219" s="3">
        <v>3</v>
      </c>
      <c r="K1219" s="2">
        <v>376.79</v>
      </c>
    </row>
    <row r="1220" spans="1:11" x14ac:dyDescent="0.25">
      <c r="A1220" s="4">
        <v>42361</v>
      </c>
      <c r="B1220" s="3">
        <f>YEAR(SalesData[[#This Row],[Order Date]])</f>
        <v>2015</v>
      </c>
      <c r="C1220" s="3">
        <f>MONTH(SalesData[[#This Row],[Order Date]])</f>
        <v>12</v>
      </c>
      <c r="D1220" t="s">
        <v>14</v>
      </c>
      <c r="E1220" t="s">
        <v>60</v>
      </c>
      <c r="F1220" t="s">
        <v>27</v>
      </c>
      <c r="G1220" t="s">
        <v>48</v>
      </c>
      <c r="H1220" t="s">
        <v>57</v>
      </c>
      <c r="I1220" s="2">
        <v>2515.9</v>
      </c>
      <c r="J1220" s="3">
        <v>6</v>
      </c>
      <c r="K1220" s="2">
        <v>564.65</v>
      </c>
    </row>
    <row r="1221" spans="1:11" x14ac:dyDescent="0.25">
      <c r="A1221" s="4">
        <v>42362</v>
      </c>
      <c r="B1221" s="3">
        <f>YEAR(SalesData[[#This Row],[Order Date]])</f>
        <v>2015</v>
      </c>
      <c r="C1221" s="3">
        <f>MONTH(SalesData[[#This Row],[Order Date]])</f>
        <v>12</v>
      </c>
      <c r="D1221" t="s">
        <v>14</v>
      </c>
      <c r="E1221" t="s">
        <v>34</v>
      </c>
      <c r="F1221" t="s">
        <v>27</v>
      </c>
      <c r="G1221" t="s">
        <v>48</v>
      </c>
      <c r="H1221" t="s">
        <v>57</v>
      </c>
      <c r="I1221" s="2">
        <v>1613.17</v>
      </c>
      <c r="J1221" s="3">
        <v>9</v>
      </c>
      <c r="K1221" s="2">
        <v>263.94</v>
      </c>
    </row>
    <row r="1222" spans="1:11" x14ac:dyDescent="0.25">
      <c r="A1222" s="4">
        <v>42362</v>
      </c>
      <c r="B1222" s="3">
        <f>YEAR(SalesData[[#This Row],[Order Date]])</f>
        <v>2015</v>
      </c>
      <c r="C1222" s="3">
        <f>MONTH(SalesData[[#This Row],[Order Date]])</f>
        <v>12</v>
      </c>
      <c r="D1222" t="s">
        <v>9</v>
      </c>
      <c r="E1222" t="s">
        <v>26</v>
      </c>
      <c r="F1222" t="s">
        <v>27</v>
      </c>
      <c r="G1222" t="s">
        <v>28</v>
      </c>
      <c r="H1222" t="s">
        <v>29</v>
      </c>
      <c r="I1222" s="2">
        <v>4695.1099999999997</v>
      </c>
      <c r="J1222" s="3">
        <v>5</v>
      </c>
      <c r="K1222" s="2">
        <v>978.71</v>
      </c>
    </row>
    <row r="1223" spans="1:11" x14ac:dyDescent="0.25">
      <c r="A1223" s="4">
        <v>42362</v>
      </c>
      <c r="B1223" s="3">
        <f>YEAR(SalesData[[#This Row],[Order Date]])</f>
        <v>2015</v>
      </c>
      <c r="C1223" s="3">
        <f>MONTH(SalesData[[#This Row],[Order Date]])</f>
        <v>12</v>
      </c>
      <c r="D1223" t="s">
        <v>62</v>
      </c>
      <c r="E1223" t="s">
        <v>19</v>
      </c>
      <c r="F1223" t="s">
        <v>27</v>
      </c>
      <c r="G1223" t="s">
        <v>32</v>
      </c>
      <c r="H1223" t="s">
        <v>33</v>
      </c>
      <c r="I1223" s="2">
        <v>1312.79</v>
      </c>
      <c r="J1223" s="3">
        <v>9</v>
      </c>
      <c r="K1223" s="2">
        <v>143.36000000000001</v>
      </c>
    </row>
    <row r="1224" spans="1:11" x14ac:dyDescent="0.25">
      <c r="A1224" s="4">
        <v>42364</v>
      </c>
      <c r="B1224" s="3">
        <f>YEAR(SalesData[[#This Row],[Order Date]])</f>
        <v>2015</v>
      </c>
      <c r="C1224" s="3">
        <f>MONTH(SalesData[[#This Row],[Order Date]])</f>
        <v>12</v>
      </c>
      <c r="D1224" t="s">
        <v>9</v>
      </c>
      <c r="E1224" t="s">
        <v>26</v>
      </c>
      <c r="F1224" t="s">
        <v>15</v>
      </c>
      <c r="G1224" t="s">
        <v>38</v>
      </c>
      <c r="H1224" t="s">
        <v>39</v>
      </c>
      <c r="I1224" s="2">
        <v>3851.77</v>
      </c>
      <c r="J1224" s="3">
        <v>1</v>
      </c>
      <c r="K1224" s="2">
        <v>929.02</v>
      </c>
    </row>
    <row r="1225" spans="1:11" x14ac:dyDescent="0.25">
      <c r="A1225" s="4">
        <v>42364</v>
      </c>
      <c r="B1225" s="3">
        <f>YEAR(SalesData[[#This Row],[Order Date]])</f>
        <v>2015</v>
      </c>
      <c r="C1225" s="3">
        <f>MONTH(SalesData[[#This Row],[Order Date]])</f>
        <v>12</v>
      </c>
      <c r="D1225" t="s">
        <v>14</v>
      </c>
      <c r="E1225" t="s">
        <v>31</v>
      </c>
      <c r="F1225" t="s">
        <v>15</v>
      </c>
      <c r="G1225" t="s">
        <v>63</v>
      </c>
      <c r="H1225" t="s">
        <v>66</v>
      </c>
      <c r="I1225" s="2">
        <v>3677.33</v>
      </c>
      <c r="J1225" s="3">
        <v>3</v>
      </c>
      <c r="K1225" s="2">
        <v>467.95</v>
      </c>
    </row>
    <row r="1226" spans="1:11" x14ac:dyDescent="0.25">
      <c r="A1226" s="4">
        <v>42364</v>
      </c>
      <c r="B1226" s="3">
        <f>YEAR(SalesData[[#This Row],[Order Date]])</f>
        <v>2015</v>
      </c>
      <c r="C1226" s="3">
        <f>MONTH(SalesData[[#This Row],[Order Date]])</f>
        <v>12</v>
      </c>
      <c r="D1226" t="s">
        <v>18</v>
      </c>
      <c r="E1226" t="s">
        <v>19</v>
      </c>
      <c r="F1226" t="s">
        <v>15</v>
      </c>
      <c r="G1226" t="s">
        <v>63</v>
      </c>
      <c r="H1226" t="s">
        <v>64</v>
      </c>
      <c r="I1226" s="2">
        <v>3770.72</v>
      </c>
      <c r="J1226" s="3">
        <v>9</v>
      </c>
      <c r="K1226" s="2">
        <v>130.94999999999999</v>
      </c>
    </row>
    <row r="1227" spans="1:11" x14ac:dyDescent="0.25">
      <c r="A1227" s="4">
        <v>42366</v>
      </c>
      <c r="B1227" s="3">
        <f>YEAR(SalesData[[#This Row],[Order Date]])</f>
        <v>2015</v>
      </c>
      <c r="C1227" s="3">
        <f>MONTH(SalesData[[#This Row],[Order Date]])</f>
        <v>12</v>
      </c>
      <c r="D1227" t="s">
        <v>14</v>
      </c>
      <c r="E1227" t="s">
        <v>10</v>
      </c>
      <c r="F1227" t="s">
        <v>11</v>
      </c>
      <c r="G1227" t="s">
        <v>12</v>
      </c>
      <c r="H1227" t="s">
        <v>65</v>
      </c>
      <c r="I1227" s="2">
        <v>20.88</v>
      </c>
      <c r="J1227" s="3">
        <v>6</v>
      </c>
      <c r="K1227" s="2">
        <v>1.48</v>
      </c>
    </row>
    <row r="1228" spans="1:11" x14ac:dyDescent="0.25">
      <c r="A1228" s="4">
        <v>42367</v>
      </c>
      <c r="B1228" s="3">
        <f>YEAR(SalesData[[#This Row],[Order Date]])</f>
        <v>2015</v>
      </c>
      <c r="C1228" s="3">
        <f>MONTH(SalesData[[#This Row],[Order Date]])</f>
        <v>12</v>
      </c>
      <c r="D1228" t="s">
        <v>68</v>
      </c>
      <c r="E1228" t="s">
        <v>34</v>
      </c>
      <c r="F1228" t="s">
        <v>27</v>
      </c>
      <c r="G1228" t="s">
        <v>48</v>
      </c>
      <c r="H1228" t="s">
        <v>49</v>
      </c>
      <c r="I1228" s="2">
        <v>2091.2399999999998</v>
      </c>
      <c r="J1228" s="3">
        <v>2</v>
      </c>
      <c r="K1228" s="2">
        <v>570.32000000000005</v>
      </c>
    </row>
    <row r="1229" spans="1:11" x14ac:dyDescent="0.25">
      <c r="A1229" s="4">
        <v>42368</v>
      </c>
      <c r="B1229" s="3">
        <f>YEAR(SalesData[[#This Row],[Order Date]])</f>
        <v>2015</v>
      </c>
      <c r="C1229" s="3">
        <f>MONTH(SalesData[[#This Row],[Order Date]])</f>
        <v>12</v>
      </c>
      <c r="D1229" t="s">
        <v>20</v>
      </c>
      <c r="E1229" t="s">
        <v>44</v>
      </c>
      <c r="F1229" t="s">
        <v>27</v>
      </c>
      <c r="G1229" t="s">
        <v>28</v>
      </c>
      <c r="H1229" t="s">
        <v>29</v>
      </c>
      <c r="I1229" s="2">
        <v>4487.5200000000004</v>
      </c>
      <c r="J1229" s="3">
        <v>5</v>
      </c>
      <c r="K1229" s="2">
        <v>255.6</v>
      </c>
    </row>
    <row r="1230" spans="1:11" x14ac:dyDescent="0.25">
      <c r="A1230" s="4">
        <v>42369</v>
      </c>
      <c r="B1230" s="3">
        <f>YEAR(SalesData[[#This Row],[Order Date]])</f>
        <v>2015</v>
      </c>
      <c r="C1230" s="3">
        <f>MONTH(SalesData[[#This Row],[Order Date]])</f>
        <v>12</v>
      </c>
      <c r="D1230" t="s">
        <v>14</v>
      </c>
      <c r="E1230" t="s">
        <v>34</v>
      </c>
      <c r="F1230" t="s">
        <v>11</v>
      </c>
      <c r="G1230" t="s">
        <v>35</v>
      </c>
      <c r="H1230" t="s">
        <v>36</v>
      </c>
      <c r="I1230" s="2">
        <v>422.2</v>
      </c>
      <c r="J1230" s="3">
        <v>7</v>
      </c>
      <c r="K1230" s="2">
        <v>50.04</v>
      </c>
    </row>
    <row r="1231" spans="1:11" x14ac:dyDescent="0.25">
      <c r="A1231" s="4">
        <v>42369</v>
      </c>
      <c r="B1231" s="3">
        <f>YEAR(SalesData[[#This Row],[Order Date]])</f>
        <v>2015</v>
      </c>
      <c r="C1231" s="3">
        <f>MONTH(SalesData[[#This Row],[Order Date]])</f>
        <v>12</v>
      </c>
      <c r="D1231" t="s">
        <v>68</v>
      </c>
      <c r="E1231" t="s">
        <v>37</v>
      </c>
      <c r="F1231" t="s">
        <v>27</v>
      </c>
      <c r="G1231" t="s">
        <v>48</v>
      </c>
      <c r="H1231" t="s">
        <v>57</v>
      </c>
      <c r="I1231" s="2">
        <v>623.91</v>
      </c>
      <c r="J1231" s="3">
        <v>2</v>
      </c>
      <c r="K1231" s="2">
        <v>117.06</v>
      </c>
    </row>
    <row r="1232" spans="1:11" x14ac:dyDescent="0.25">
      <c r="A1232" s="4">
        <v>42370</v>
      </c>
      <c r="B1232" s="3">
        <f>YEAR(SalesData[[#This Row],[Order Date]])</f>
        <v>2016</v>
      </c>
      <c r="C1232" s="3">
        <f>MONTH(SalesData[[#This Row],[Order Date]])</f>
        <v>1</v>
      </c>
      <c r="D1232" t="s">
        <v>14</v>
      </c>
      <c r="E1232" t="s">
        <v>34</v>
      </c>
      <c r="F1232" t="s">
        <v>27</v>
      </c>
      <c r="G1232" t="s">
        <v>28</v>
      </c>
      <c r="H1232" t="s">
        <v>58</v>
      </c>
      <c r="I1232" s="2">
        <v>3091.64</v>
      </c>
      <c r="J1232" s="3">
        <v>10</v>
      </c>
      <c r="K1232" s="2">
        <v>576.19000000000005</v>
      </c>
    </row>
    <row r="1233" spans="1:11" x14ac:dyDescent="0.25">
      <c r="A1233" s="4">
        <v>42371</v>
      </c>
      <c r="B1233" s="3">
        <f>YEAR(SalesData[[#This Row],[Order Date]])</f>
        <v>2016</v>
      </c>
      <c r="C1233" s="3">
        <f>MONTH(SalesData[[#This Row],[Order Date]])</f>
        <v>1</v>
      </c>
      <c r="D1233" t="s">
        <v>30</v>
      </c>
      <c r="E1233" t="s">
        <v>44</v>
      </c>
      <c r="F1233" t="s">
        <v>11</v>
      </c>
      <c r="G1233" t="s">
        <v>12</v>
      </c>
      <c r="H1233" t="s">
        <v>65</v>
      </c>
      <c r="I1233" s="2">
        <v>2469.09</v>
      </c>
      <c r="J1233" s="3">
        <v>9</v>
      </c>
      <c r="K1233" s="2">
        <v>510.6</v>
      </c>
    </row>
    <row r="1234" spans="1:11" x14ac:dyDescent="0.25">
      <c r="A1234" s="4">
        <v>42372</v>
      </c>
      <c r="B1234" s="3">
        <f>YEAR(SalesData[[#This Row],[Order Date]])</f>
        <v>2016</v>
      </c>
      <c r="C1234" s="3">
        <f>MONTH(SalesData[[#This Row],[Order Date]])</f>
        <v>1</v>
      </c>
      <c r="D1234" t="s">
        <v>47</v>
      </c>
      <c r="E1234" t="s">
        <v>60</v>
      </c>
      <c r="F1234" t="s">
        <v>27</v>
      </c>
      <c r="G1234" t="s">
        <v>28</v>
      </c>
      <c r="H1234" t="s">
        <v>58</v>
      </c>
      <c r="I1234" s="2">
        <v>460.91</v>
      </c>
      <c r="J1234" s="3">
        <v>9</v>
      </c>
      <c r="K1234" s="2">
        <v>62.35</v>
      </c>
    </row>
    <row r="1235" spans="1:11" x14ac:dyDescent="0.25">
      <c r="A1235" s="4">
        <v>42372</v>
      </c>
      <c r="B1235" s="3">
        <f>YEAR(SalesData[[#This Row],[Order Date]])</f>
        <v>2016</v>
      </c>
      <c r="C1235" s="3">
        <f>MONTH(SalesData[[#This Row],[Order Date]])</f>
        <v>1</v>
      </c>
      <c r="D1235" t="s">
        <v>62</v>
      </c>
      <c r="E1235" t="s">
        <v>37</v>
      </c>
      <c r="F1235" t="s">
        <v>11</v>
      </c>
      <c r="G1235" t="s">
        <v>24</v>
      </c>
      <c r="H1235" t="s">
        <v>54</v>
      </c>
      <c r="I1235" s="2">
        <v>4063.97</v>
      </c>
      <c r="J1235" s="3">
        <v>5</v>
      </c>
      <c r="K1235" s="2">
        <v>864.51</v>
      </c>
    </row>
    <row r="1236" spans="1:11" x14ac:dyDescent="0.25">
      <c r="A1236" s="4">
        <v>42372</v>
      </c>
      <c r="B1236" s="3">
        <f>YEAR(SalesData[[#This Row],[Order Date]])</f>
        <v>2016</v>
      </c>
      <c r="C1236" s="3">
        <f>MONTH(SalesData[[#This Row],[Order Date]])</f>
        <v>1</v>
      </c>
      <c r="D1236" t="s">
        <v>43</v>
      </c>
      <c r="E1236" t="s">
        <v>26</v>
      </c>
      <c r="F1236" t="s">
        <v>11</v>
      </c>
      <c r="G1236" t="s">
        <v>12</v>
      </c>
      <c r="H1236" t="s">
        <v>65</v>
      </c>
      <c r="I1236" s="2">
        <v>1203.48</v>
      </c>
      <c r="J1236" s="3">
        <v>4</v>
      </c>
      <c r="K1236" s="2">
        <v>135.53</v>
      </c>
    </row>
    <row r="1237" spans="1:11" x14ac:dyDescent="0.25">
      <c r="A1237" s="4">
        <v>42373</v>
      </c>
      <c r="B1237" s="3">
        <f>YEAR(SalesData[[#This Row],[Order Date]])</f>
        <v>2016</v>
      </c>
      <c r="C1237" s="3">
        <f>MONTH(SalesData[[#This Row],[Order Date]])</f>
        <v>1</v>
      </c>
      <c r="D1237" t="s">
        <v>68</v>
      </c>
      <c r="E1237" t="s">
        <v>52</v>
      </c>
      <c r="F1237" t="s">
        <v>27</v>
      </c>
      <c r="G1237" t="s">
        <v>32</v>
      </c>
      <c r="H1237" t="s">
        <v>53</v>
      </c>
      <c r="I1237" s="2">
        <v>2322.8000000000002</v>
      </c>
      <c r="J1237" s="3">
        <v>6</v>
      </c>
      <c r="K1237" s="2">
        <v>68.8</v>
      </c>
    </row>
    <row r="1238" spans="1:11" x14ac:dyDescent="0.25">
      <c r="A1238" s="4">
        <v>42374</v>
      </c>
      <c r="B1238" s="3">
        <f>YEAR(SalesData[[#This Row],[Order Date]])</f>
        <v>2016</v>
      </c>
      <c r="C1238" s="3">
        <f>MONTH(SalesData[[#This Row],[Order Date]])</f>
        <v>1</v>
      </c>
      <c r="D1238" t="s">
        <v>23</v>
      </c>
      <c r="E1238" t="s">
        <v>52</v>
      </c>
      <c r="F1238" t="s">
        <v>27</v>
      </c>
      <c r="G1238" t="s">
        <v>32</v>
      </c>
      <c r="H1238" t="s">
        <v>53</v>
      </c>
      <c r="I1238" s="2">
        <v>4898.1899999999996</v>
      </c>
      <c r="J1238" s="3">
        <v>1</v>
      </c>
      <c r="K1238" s="2">
        <v>833.51</v>
      </c>
    </row>
    <row r="1239" spans="1:11" x14ac:dyDescent="0.25">
      <c r="A1239" s="4">
        <v>42375</v>
      </c>
      <c r="B1239" s="3">
        <f>YEAR(SalesData[[#This Row],[Order Date]])</f>
        <v>2016</v>
      </c>
      <c r="C1239" s="3">
        <f>MONTH(SalesData[[#This Row],[Order Date]])</f>
        <v>1</v>
      </c>
      <c r="D1239" t="s">
        <v>18</v>
      </c>
      <c r="E1239" t="s">
        <v>19</v>
      </c>
      <c r="F1239" t="s">
        <v>15</v>
      </c>
      <c r="G1239" t="s">
        <v>41</v>
      </c>
      <c r="H1239" t="s">
        <v>42</v>
      </c>
      <c r="I1239" s="2">
        <v>4281.6400000000003</v>
      </c>
      <c r="J1239" s="3">
        <v>6</v>
      </c>
      <c r="K1239" s="2">
        <v>764.89</v>
      </c>
    </row>
    <row r="1240" spans="1:11" x14ac:dyDescent="0.25">
      <c r="A1240" s="4">
        <v>42375</v>
      </c>
      <c r="B1240" s="3">
        <f>YEAR(SalesData[[#This Row],[Order Date]])</f>
        <v>2016</v>
      </c>
      <c r="C1240" s="3">
        <f>MONTH(SalesData[[#This Row],[Order Date]])</f>
        <v>1</v>
      </c>
      <c r="D1240" t="s">
        <v>47</v>
      </c>
      <c r="E1240" t="s">
        <v>40</v>
      </c>
      <c r="F1240" t="s">
        <v>11</v>
      </c>
      <c r="G1240" t="s">
        <v>12</v>
      </c>
      <c r="H1240" t="s">
        <v>65</v>
      </c>
      <c r="I1240" s="2">
        <v>1119.22</v>
      </c>
      <c r="J1240" s="3">
        <v>4</v>
      </c>
      <c r="K1240" s="2">
        <v>0.02</v>
      </c>
    </row>
    <row r="1241" spans="1:11" x14ac:dyDescent="0.25">
      <c r="A1241" s="4">
        <v>42376</v>
      </c>
      <c r="B1241" s="3">
        <f>YEAR(SalesData[[#This Row],[Order Date]])</f>
        <v>2016</v>
      </c>
      <c r="C1241" s="3">
        <f>MONTH(SalesData[[#This Row],[Order Date]])</f>
        <v>1</v>
      </c>
      <c r="D1241" t="s">
        <v>20</v>
      </c>
      <c r="E1241" t="s">
        <v>34</v>
      </c>
      <c r="F1241" t="s">
        <v>15</v>
      </c>
      <c r="G1241" t="s">
        <v>38</v>
      </c>
      <c r="H1241" t="s">
        <v>39</v>
      </c>
      <c r="I1241" s="2">
        <v>4280.62</v>
      </c>
      <c r="J1241" s="3">
        <v>5</v>
      </c>
      <c r="K1241" s="2">
        <v>337.26</v>
      </c>
    </row>
    <row r="1242" spans="1:11" x14ac:dyDescent="0.25">
      <c r="A1242" s="4">
        <v>42376</v>
      </c>
      <c r="B1242" s="3">
        <f>YEAR(SalesData[[#This Row],[Order Date]])</f>
        <v>2016</v>
      </c>
      <c r="C1242" s="3">
        <f>MONTH(SalesData[[#This Row],[Order Date]])</f>
        <v>1</v>
      </c>
      <c r="D1242" t="s">
        <v>43</v>
      </c>
      <c r="E1242" t="s">
        <v>34</v>
      </c>
      <c r="F1242" t="s">
        <v>15</v>
      </c>
      <c r="G1242" t="s">
        <v>41</v>
      </c>
      <c r="H1242" t="s">
        <v>61</v>
      </c>
      <c r="I1242" s="2">
        <v>3256.82</v>
      </c>
      <c r="J1242" s="3">
        <v>1</v>
      </c>
      <c r="K1242" s="2">
        <v>583.29999999999995</v>
      </c>
    </row>
    <row r="1243" spans="1:11" x14ac:dyDescent="0.25">
      <c r="A1243" s="4">
        <v>42377</v>
      </c>
      <c r="B1243" s="3">
        <f>YEAR(SalesData[[#This Row],[Order Date]])</f>
        <v>2016</v>
      </c>
      <c r="C1243" s="3">
        <f>MONTH(SalesData[[#This Row],[Order Date]])</f>
        <v>1</v>
      </c>
      <c r="D1243" t="s">
        <v>68</v>
      </c>
      <c r="E1243" t="s">
        <v>31</v>
      </c>
      <c r="F1243" t="s">
        <v>11</v>
      </c>
      <c r="G1243" t="s">
        <v>12</v>
      </c>
      <c r="H1243" t="s">
        <v>65</v>
      </c>
      <c r="I1243" s="2">
        <v>1979.26</v>
      </c>
      <c r="J1243" s="3">
        <v>4</v>
      </c>
      <c r="K1243" s="2">
        <v>411.76</v>
      </c>
    </row>
    <row r="1244" spans="1:11" x14ac:dyDescent="0.25">
      <c r="A1244" s="4">
        <v>42378</v>
      </c>
      <c r="B1244" s="3">
        <f>YEAR(SalesData[[#This Row],[Order Date]])</f>
        <v>2016</v>
      </c>
      <c r="C1244" s="3">
        <f>MONTH(SalesData[[#This Row],[Order Date]])</f>
        <v>1</v>
      </c>
      <c r="D1244" t="s">
        <v>23</v>
      </c>
      <c r="E1244" t="s">
        <v>52</v>
      </c>
      <c r="F1244" t="s">
        <v>11</v>
      </c>
      <c r="G1244" t="s">
        <v>12</v>
      </c>
      <c r="H1244" t="s">
        <v>13</v>
      </c>
      <c r="I1244" s="2">
        <v>4959.47</v>
      </c>
      <c r="J1244" s="3">
        <v>8</v>
      </c>
      <c r="K1244" s="2">
        <v>840.66</v>
      </c>
    </row>
    <row r="1245" spans="1:11" x14ac:dyDescent="0.25">
      <c r="A1245" s="4">
        <v>42381</v>
      </c>
      <c r="B1245" s="3">
        <f>YEAR(SalesData[[#This Row],[Order Date]])</f>
        <v>2016</v>
      </c>
      <c r="C1245" s="3">
        <f>MONTH(SalesData[[#This Row],[Order Date]])</f>
        <v>1</v>
      </c>
      <c r="D1245" t="s">
        <v>43</v>
      </c>
      <c r="E1245" t="s">
        <v>10</v>
      </c>
      <c r="F1245" t="s">
        <v>11</v>
      </c>
      <c r="G1245" t="s">
        <v>12</v>
      </c>
      <c r="H1245" t="s">
        <v>13</v>
      </c>
      <c r="I1245" s="2">
        <v>533.91999999999996</v>
      </c>
      <c r="J1245" s="3">
        <v>3</v>
      </c>
      <c r="K1245" s="2">
        <v>78.849999999999994</v>
      </c>
    </row>
    <row r="1246" spans="1:11" x14ac:dyDescent="0.25">
      <c r="A1246" s="4">
        <v>42381</v>
      </c>
      <c r="B1246" s="3">
        <f>YEAR(SalesData[[#This Row],[Order Date]])</f>
        <v>2016</v>
      </c>
      <c r="C1246" s="3">
        <f>MONTH(SalesData[[#This Row],[Order Date]])</f>
        <v>1</v>
      </c>
      <c r="D1246" t="s">
        <v>50</v>
      </c>
      <c r="E1246" t="s">
        <v>31</v>
      </c>
      <c r="F1246" t="s">
        <v>15</v>
      </c>
      <c r="G1246" t="s">
        <v>16</v>
      </c>
      <c r="H1246" t="s">
        <v>17</v>
      </c>
      <c r="I1246" s="2">
        <v>688</v>
      </c>
      <c r="J1246" s="3">
        <v>7</v>
      </c>
      <c r="K1246" s="2">
        <v>16.010000000000002</v>
      </c>
    </row>
    <row r="1247" spans="1:11" x14ac:dyDescent="0.25">
      <c r="A1247" s="4">
        <v>42381</v>
      </c>
      <c r="B1247" s="3">
        <f>YEAR(SalesData[[#This Row],[Order Date]])</f>
        <v>2016</v>
      </c>
      <c r="C1247" s="3">
        <f>MONTH(SalesData[[#This Row],[Order Date]])</f>
        <v>1</v>
      </c>
      <c r="D1247" t="s">
        <v>14</v>
      </c>
      <c r="E1247" t="s">
        <v>60</v>
      </c>
      <c r="F1247" t="s">
        <v>11</v>
      </c>
      <c r="G1247" t="s">
        <v>21</v>
      </c>
      <c r="H1247" t="s">
        <v>67</v>
      </c>
      <c r="I1247" s="2">
        <v>3421.23</v>
      </c>
      <c r="J1247" s="3">
        <v>1</v>
      </c>
      <c r="K1247" s="2">
        <v>700.71</v>
      </c>
    </row>
    <row r="1248" spans="1:11" x14ac:dyDescent="0.25">
      <c r="A1248" s="4">
        <v>42382</v>
      </c>
      <c r="B1248" s="3">
        <f>YEAR(SalesData[[#This Row],[Order Date]])</f>
        <v>2016</v>
      </c>
      <c r="C1248" s="3">
        <f>MONTH(SalesData[[#This Row],[Order Date]])</f>
        <v>1</v>
      </c>
      <c r="D1248" t="s">
        <v>18</v>
      </c>
      <c r="E1248" t="s">
        <v>44</v>
      </c>
      <c r="F1248" t="s">
        <v>27</v>
      </c>
      <c r="G1248" t="s">
        <v>32</v>
      </c>
      <c r="H1248" t="s">
        <v>33</v>
      </c>
      <c r="I1248" s="2">
        <v>4337.1499999999996</v>
      </c>
      <c r="J1248" s="3">
        <v>6</v>
      </c>
      <c r="K1248" s="2">
        <v>274.92</v>
      </c>
    </row>
    <row r="1249" spans="1:11" x14ac:dyDescent="0.25">
      <c r="A1249" s="4">
        <v>42382</v>
      </c>
      <c r="B1249" s="3">
        <f>YEAR(SalesData[[#This Row],[Order Date]])</f>
        <v>2016</v>
      </c>
      <c r="C1249" s="3">
        <f>MONTH(SalesData[[#This Row],[Order Date]])</f>
        <v>1</v>
      </c>
      <c r="D1249" t="s">
        <v>14</v>
      </c>
      <c r="E1249" t="s">
        <v>10</v>
      </c>
      <c r="F1249" t="s">
        <v>15</v>
      </c>
      <c r="G1249" t="s">
        <v>38</v>
      </c>
      <c r="H1249" t="s">
        <v>39</v>
      </c>
      <c r="I1249" s="2">
        <v>3160.26</v>
      </c>
      <c r="J1249" s="3">
        <v>10</v>
      </c>
      <c r="K1249" s="2">
        <v>805.79</v>
      </c>
    </row>
    <row r="1250" spans="1:11" x14ac:dyDescent="0.25">
      <c r="A1250" s="4">
        <v>42382</v>
      </c>
      <c r="B1250" s="3">
        <f>YEAR(SalesData[[#This Row],[Order Date]])</f>
        <v>2016</v>
      </c>
      <c r="C1250" s="3">
        <f>MONTH(SalesData[[#This Row],[Order Date]])</f>
        <v>1</v>
      </c>
      <c r="D1250" t="s">
        <v>9</v>
      </c>
      <c r="E1250" t="s">
        <v>31</v>
      </c>
      <c r="F1250" t="s">
        <v>11</v>
      </c>
      <c r="G1250" t="s">
        <v>24</v>
      </c>
      <c r="H1250" t="s">
        <v>54</v>
      </c>
      <c r="I1250" s="2">
        <v>397.63</v>
      </c>
      <c r="J1250" s="3">
        <v>3</v>
      </c>
      <c r="K1250" s="2">
        <v>105.03</v>
      </c>
    </row>
    <row r="1251" spans="1:11" x14ac:dyDescent="0.25">
      <c r="A1251" s="4">
        <v>42383</v>
      </c>
      <c r="B1251" s="3">
        <f>YEAR(SalesData[[#This Row],[Order Date]])</f>
        <v>2016</v>
      </c>
      <c r="C1251" s="3">
        <f>MONTH(SalesData[[#This Row],[Order Date]])</f>
        <v>1</v>
      </c>
      <c r="D1251" t="s">
        <v>30</v>
      </c>
      <c r="E1251" t="s">
        <v>37</v>
      </c>
      <c r="F1251" t="s">
        <v>11</v>
      </c>
      <c r="G1251" t="s">
        <v>21</v>
      </c>
      <c r="H1251" t="s">
        <v>22</v>
      </c>
      <c r="I1251" s="2">
        <v>2364.12</v>
      </c>
      <c r="J1251" s="3">
        <v>1</v>
      </c>
      <c r="K1251" s="2">
        <v>277.39999999999998</v>
      </c>
    </row>
    <row r="1252" spans="1:11" x14ac:dyDescent="0.25">
      <c r="A1252" s="4">
        <v>42384</v>
      </c>
      <c r="B1252" s="3">
        <f>YEAR(SalesData[[#This Row],[Order Date]])</f>
        <v>2016</v>
      </c>
      <c r="C1252" s="3">
        <f>MONTH(SalesData[[#This Row],[Order Date]])</f>
        <v>1</v>
      </c>
      <c r="D1252" t="s">
        <v>50</v>
      </c>
      <c r="E1252" t="s">
        <v>31</v>
      </c>
      <c r="F1252" t="s">
        <v>27</v>
      </c>
      <c r="G1252" t="s">
        <v>32</v>
      </c>
      <c r="H1252" t="s">
        <v>53</v>
      </c>
      <c r="I1252" s="2">
        <v>2727.46</v>
      </c>
      <c r="J1252" s="3">
        <v>7</v>
      </c>
      <c r="K1252" s="2">
        <v>764.75</v>
      </c>
    </row>
    <row r="1253" spans="1:11" x14ac:dyDescent="0.25">
      <c r="A1253" s="4">
        <v>42385</v>
      </c>
      <c r="B1253" s="3">
        <f>YEAR(SalesData[[#This Row],[Order Date]])</f>
        <v>2016</v>
      </c>
      <c r="C1253" s="3">
        <f>MONTH(SalesData[[#This Row],[Order Date]])</f>
        <v>1</v>
      </c>
      <c r="D1253" t="s">
        <v>20</v>
      </c>
      <c r="E1253" t="s">
        <v>19</v>
      </c>
      <c r="F1253" t="s">
        <v>27</v>
      </c>
      <c r="G1253" t="s">
        <v>32</v>
      </c>
      <c r="H1253" t="s">
        <v>53</v>
      </c>
      <c r="I1253" s="2">
        <v>2272.15</v>
      </c>
      <c r="J1253" s="3">
        <v>2</v>
      </c>
      <c r="K1253" s="2">
        <v>47.77</v>
      </c>
    </row>
    <row r="1254" spans="1:11" x14ac:dyDescent="0.25">
      <c r="A1254" s="4">
        <v>42385</v>
      </c>
      <c r="B1254" s="3">
        <f>YEAR(SalesData[[#This Row],[Order Date]])</f>
        <v>2016</v>
      </c>
      <c r="C1254" s="3">
        <f>MONTH(SalesData[[#This Row],[Order Date]])</f>
        <v>1</v>
      </c>
      <c r="D1254" t="s">
        <v>55</v>
      </c>
      <c r="E1254" t="s">
        <v>10</v>
      </c>
      <c r="F1254" t="s">
        <v>15</v>
      </c>
      <c r="G1254" t="s">
        <v>45</v>
      </c>
      <c r="H1254" t="s">
        <v>46</v>
      </c>
      <c r="I1254" s="2">
        <v>1583.56</v>
      </c>
      <c r="J1254" s="3">
        <v>2</v>
      </c>
      <c r="K1254" s="2">
        <v>55.87</v>
      </c>
    </row>
    <row r="1255" spans="1:11" x14ac:dyDescent="0.25">
      <c r="A1255" s="4">
        <v>42386</v>
      </c>
      <c r="B1255" s="3">
        <f>YEAR(SalesData[[#This Row],[Order Date]])</f>
        <v>2016</v>
      </c>
      <c r="C1255" s="3">
        <f>MONTH(SalesData[[#This Row],[Order Date]])</f>
        <v>1</v>
      </c>
      <c r="D1255" t="s">
        <v>9</v>
      </c>
      <c r="E1255" t="s">
        <v>44</v>
      </c>
      <c r="F1255" t="s">
        <v>27</v>
      </c>
      <c r="G1255" t="s">
        <v>48</v>
      </c>
      <c r="H1255" t="s">
        <v>49</v>
      </c>
      <c r="I1255" s="2">
        <v>1694.43</v>
      </c>
      <c r="J1255" s="3">
        <v>3</v>
      </c>
      <c r="K1255" s="2">
        <v>469.55</v>
      </c>
    </row>
    <row r="1256" spans="1:11" x14ac:dyDescent="0.25">
      <c r="A1256" s="4">
        <v>42387</v>
      </c>
      <c r="B1256" s="3">
        <f>YEAR(SalesData[[#This Row],[Order Date]])</f>
        <v>2016</v>
      </c>
      <c r="C1256" s="3">
        <f>MONTH(SalesData[[#This Row],[Order Date]])</f>
        <v>1</v>
      </c>
      <c r="D1256" t="s">
        <v>47</v>
      </c>
      <c r="E1256" t="s">
        <v>26</v>
      </c>
      <c r="F1256" t="s">
        <v>27</v>
      </c>
      <c r="G1256" t="s">
        <v>48</v>
      </c>
      <c r="H1256" t="s">
        <v>49</v>
      </c>
      <c r="I1256" s="2">
        <v>231.53</v>
      </c>
      <c r="J1256" s="3">
        <v>7</v>
      </c>
      <c r="K1256" s="2">
        <v>53.69</v>
      </c>
    </row>
    <row r="1257" spans="1:11" x14ac:dyDescent="0.25">
      <c r="A1257" s="4">
        <v>42388</v>
      </c>
      <c r="B1257" s="3">
        <f>YEAR(SalesData[[#This Row],[Order Date]])</f>
        <v>2016</v>
      </c>
      <c r="C1257" s="3">
        <f>MONTH(SalesData[[#This Row],[Order Date]])</f>
        <v>1</v>
      </c>
      <c r="D1257" t="s">
        <v>14</v>
      </c>
      <c r="E1257" t="s">
        <v>26</v>
      </c>
      <c r="F1257" t="s">
        <v>27</v>
      </c>
      <c r="G1257" t="s">
        <v>48</v>
      </c>
      <c r="H1257" t="s">
        <v>49</v>
      </c>
      <c r="I1257" s="2">
        <v>1568.04</v>
      </c>
      <c r="J1257" s="3">
        <v>5</v>
      </c>
      <c r="K1257" s="2">
        <v>295.93</v>
      </c>
    </row>
    <row r="1258" spans="1:11" x14ac:dyDescent="0.25">
      <c r="A1258" s="4">
        <v>42388</v>
      </c>
      <c r="B1258" s="3">
        <f>YEAR(SalesData[[#This Row],[Order Date]])</f>
        <v>2016</v>
      </c>
      <c r="C1258" s="3">
        <f>MONTH(SalesData[[#This Row],[Order Date]])</f>
        <v>1</v>
      </c>
      <c r="D1258" t="s">
        <v>18</v>
      </c>
      <c r="E1258" t="s">
        <v>31</v>
      </c>
      <c r="F1258" t="s">
        <v>11</v>
      </c>
      <c r="G1258" t="s">
        <v>35</v>
      </c>
      <c r="H1258" t="s">
        <v>36</v>
      </c>
      <c r="I1258" s="2">
        <v>45.03</v>
      </c>
      <c r="J1258" s="3">
        <v>5</v>
      </c>
      <c r="K1258" s="2">
        <v>0.41</v>
      </c>
    </row>
    <row r="1259" spans="1:11" x14ac:dyDescent="0.25">
      <c r="A1259" s="4">
        <v>42388</v>
      </c>
      <c r="B1259" s="3">
        <f>YEAR(SalesData[[#This Row],[Order Date]])</f>
        <v>2016</v>
      </c>
      <c r="C1259" s="3">
        <f>MONTH(SalesData[[#This Row],[Order Date]])</f>
        <v>1</v>
      </c>
      <c r="D1259" t="s">
        <v>62</v>
      </c>
      <c r="E1259" t="s">
        <v>44</v>
      </c>
      <c r="F1259" t="s">
        <v>15</v>
      </c>
      <c r="G1259" t="s">
        <v>45</v>
      </c>
      <c r="H1259" t="s">
        <v>59</v>
      </c>
      <c r="I1259" s="2">
        <v>1391.3</v>
      </c>
      <c r="J1259" s="3">
        <v>10</v>
      </c>
      <c r="K1259" s="2">
        <v>151.26</v>
      </c>
    </row>
    <row r="1260" spans="1:11" x14ac:dyDescent="0.25">
      <c r="A1260" s="4">
        <v>42388</v>
      </c>
      <c r="B1260" s="3">
        <f>YEAR(SalesData[[#This Row],[Order Date]])</f>
        <v>2016</v>
      </c>
      <c r="C1260" s="3">
        <f>MONTH(SalesData[[#This Row],[Order Date]])</f>
        <v>1</v>
      </c>
      <c r="D1260" t="s">
        <v>20</v>
      </c>
      <c r="E1260" t="s">
        <v>60</v>
      </c>
      <c r="F1260" t="s">
        <v>15</v>
      </c>
      <c r="G1260" t="s">
        <v>38</v>
      </c>
      <c r="H1260" t="s">
        <v>56</v>
      </c>
      <c r="I1260" s="2">
        <v>4580.2</v>
      </c>
      <c r="J1260" s="3">
        <v>1</v>
      </c>
      <c r="K1260" s="2">
        <v>155.46</v>
      </c>
    </row>
    <row r="1261" spans="1:11" x14ac:dyDescent="0.25">
      <c r="A1261" s="4">
        <v>42389</v>
      </c>
      <c r="B1261" s="3">
        <f>YEAR(SalesData[[#This Row],[Order Date]])</f>
        <v>2016</v>
      </c>
      <c r="C1261" s="3">
        <f>MONTH(SalesData[[#This Row],[Order Date]])</f>
        <v>1</v>
      </c>
      <c r="D1261" t="s">
        <v>20</v>
      </c>
      <c r="E1261" t="s">
        <v>10</v>
      </c>
      <c r="F1261" t="s">
        <v>15</v>
      </c>
      <c r="G1261" t="s">
        <v>45</v>
      </c>
      <c r="H1261" t="s">
        <v>59</v>
      </c>
      <c r="I1261" s="2">
        <v>1794.16</v>
      </c>
      <c r="J1261" s="3">
        <v>9</v>
      </c>
      <c r="K1261" s="2">
        <v>450.46</v>
      </c>
    </row>
    <row r="1262" spans="1:11" x14ac:dyDescent="0.25">
      <c r="A1262" s="4">
        <v>42390</v>
      </c>
      <c r="B1262" s="3">
        <f>YEAR(SalesData[[#This Row],[Order Date]])</f>
        <v>2016</v>
      </c>
      <c r="C1262" s="3">
        <f>MONTH(SalesData[[#This Row],[Order Date]])</f>
        <v>1</v>
      </c>
      <c r="D1262" t="s">
        <v>23</v>
      </c>
      <c r="E1262" t="s">
        <v>31</v>
      </c>
      <c r="F1262" t="s">
        <v>15</v>
      </c>
      <c r="G1262" t="s">
        <v>41</v>
      </c>
      <c r="H1262" t="s">
        <v>61</v>
      </c>
      <c r="I1262" s="2">
        <v>2171.37</v>
      </c>
      <c r="J1262" s="3">
        <v>9</v>
      </c>
      <c r="K1262" s="2">
        <v>117.62</v>
      </c>
    </row>
    <row r="1263" spans="1:11" x14ac:dyDescent="0.25">
      <c r="A1263" s="4">
        <v>42391</v>
      </c>
      <c r="B1263" s="3">
        <f>YEAR(SalesData[[#This Row],[Order Date]])</f>
        <v>2016</v>
      </c>
      <c r="C1263" s="3">
        <f>MONTH(SalesData[[#This Row],[Order Date]])</f>
        <v>1</v>
      </c>
      <c r="D1263" t="s">
        <v>30</v>
      </c>
      <c r="E1263" t="s">
        <v>31</v>
      </c>
      <c r="F1263" t="s">
        <v>15</v>
      </c>
      <c r="G1263" t="s">
        <v>16</v>
      </c>
      <c r="H1263" t="s">
        <v>51</v>
      </c>
      <c r="I1263" s="2">
        <v>3304.09</v>
      </c>
      <c r="J1263" s="3">
        <v>10</v>
      </c>
      <c r="K1263" s="2">
        <v>383.31</v>
      </c>
    </row>
    <row r="1264" spans="1:11" x14ac:dyDescent="0.25">
      <c r="A1264" s="4">
        <v>42391</v>
      </c>
      <c r="B1264" s="3">
        <f>YEAR(SalesData[[#This Row],[Order Date]])</f>
        <v>2016</v>
      </c>
      <c r="C1264" s="3">
        <f>MONTH(SalesData[[#This Row],[Order Date]])</f>
        <v>1</v>
      </c>
      <c r="D1264" t="s">
        <v>43</v>
      </c>
      <c r="E1264" t="s">
        <v>10</v>
      </c>
      <c r="F1264" t="s">
        <v>15</v>
      </c>
      <c r="G1264" t="s">
        <v>45</v>
      </c>
      <c r="H1264" t="s">
        <v>46</v>
      </c>
      <c r="I1264" s="2">
        <v>4389.5200000000004</v>
      </c>
      <c r="J1264" s="3">
        <v>8</v>
      </c>
      <c r="K1264" s="2">
        <v>1058.42</v>
      </c>
    </row>
    <row r="1265" spans="1:11" x14ac:dyDescent="0.25">
      <c r="A1265" s="4">
        <v>42391</v>
      </c>
      <c r="B1265" s="3">
        <f>YEAR(SalesData[[#This Row],[Order Date]])</f>
        <v>2016</v>
      </c>
      <c r="C1265" s="3">
        <f>MONTH(SalesData[[#This Row],[Order Date]])</f>
        <v>1</v>
      </c>
      <c r="D1265" t="s">
        <v>43</v>
      </c>
      <c r="E1265" t="s">
        <v>31</v>
      </c>
      <c r="F1265" t="s">
        <v>27</v>
      </c>
      <c r="G1265" t="s">
        <v>48</v>
      </c>
      <c r="H1265" t="s">
        <v>57</v>
      </c>
      <c r="I1265" s="2">
        <v>3963.92</v>
      </c>
      <c r="J1265" s="3">
        <v>9</v>
      </c>
      <c r="K1265" s="2">
        <v>66.849999999999994</v>
      </c>
    </row>
    <row r="1266" spans="1:11" x14ac:dyDescent="0.25">
      <c r="A1266" s="4">
        <v>42392</v>
      </c>
      <c r="B1266" s="3">
        <f>YEAR(SalesData[[#This Row],[Order Date]])</f>
        <v>2016</v>
      </c>
      <c r="C1266" s="3">
        <f>MONTH(SalesData[[#This Row],[Order Date]])</f>
        <v>1</v>
      </c>
      <c r="D1266" t="s">
        <v>68</v>
      </c>
      <c r="E1266" t="s">
        <v>10</v>
      </c>
      <c r="F1266" t="s">
        <v>27</v>
      </c>
      <c r="G1266" t="s">
        <v>48</v>
      </c>
      <c r="H1266" t="s">
        <v>57</v>
      </c>
      <c r="I1266" s="2">
        <v>1259.3599999999999</v>
      </c>
      <c r="J1266" s="3">
        <v>6</v>
      </c>
      <c r="K1266" s="2">
        <v>299.45</v>
      </c>
    </row>
    <row r="1267" spans="1:11" x14ac:dyDescent="0.25">
      <c r="A1267" s="4">
        <v>42392</v>
      </c>
      <c r="B1267" s="3">
        <f>YEAR(SalesData[[#This Row],[Order Date]])</f>
        <v>2016</v>
      </c>
      <c r="C1267" s="3">
        <f>MONTH(SalesData[[#This Row],[Order Date]])</f>
        <v>1</v>
      </c>
      <c r="D1267" t="s">
        <v>23</v>
      </c>
      <c r="E1267" t="s">
        <v>26</v>
      </c>
      <c r="F1267" t="s">
        <v>27</v>
      </c>
      <c r="G1267" t="s">
        <v>28</v>
      </c>
      <c r="H1267" t="s">
        <v>58</v>
      </c>
      <c r="I1267" s="2">
        <v>4124.6099999999997</v>
      </c>
      <c r="J1267" s="3">
        <v>5</v>
      </c>
      <c r="K1267" s="2">
        <v>240.86</v>
      </c>
    </row>
    <row r="1268" spans="1:11" x14ac:dyDescent="0.25">
      <c r="A1268" s="4">
        <v>42392</v>
      </c>
      <c r="B1268" s="3">
        <f>YEAR(SalesData[[#This Row],[Order Date]])</f>
        <v>2016</v>
      </c>
      <c r="C1268" s="3">
        <f>MONTH(SalesData[[#This Row],[Order Date]])</f>
        <v>1</v>
      </c>
      <c r="D1268" t="s">
        <v>9</v>
      </c>
      <c r="E1268" t="s">
        <v>60</v>
      </c>
      <c r="F1268" t="s">
        <v>27</v>
      </c>
      <c r="G1268" t="s">
        <v>32</v>
      </c>
      <c r="H1268" t="s">
        <v>53</v>
      </c>
      <c r="I1268" s="2">
        <v>1780.91</v>
      </c>
      <c r="J1268" s="3">
        <v>7</v>
      </c>
      <c r="K1268" s="2">
        <v>354.17</v>
      </c>
    </row>
    <row r="1269" spans="1:11" x14ac:dyDescent="0.25">
      <c r="A1269" s="4">
        <v>42394</v>
      </c>
      <c r="B1269" s="3">
        <f>YEAR(SalesData[[#This Row],[Order Date]])</f>
        <v>2016</v>
      </c>
      <c r="C1269" s="3">
        <f>MONTH(SalesData[[#This Row],[Order Date]])</f>
        <v>1</v>
      </c>
      <c r="D1269" t="s">
        <v>47</v>
      </c>
      <c r="E1269" t="s">
        <v>40</v>
      </c>
      <c r="F1269" t="s">
        <v>27</v>
      </c>
      <c r="G1269" t="s">
        <v>32</v>
      </c>
      <c r="H1269" t="s">
        <v>53</v>
      </c>
      <c r="I1269" s="2">
        <v>3606.04</v>
      </c>
      <c r="J1269" s="3">
        <v>9</v>
      </c>
      <c r="K1269" s="2">
        <v>696.48</v>
      </c>
    </row>
    <row r="1270" spans="1:11" x14ac:dyDescent="0.25">
      <c r="A1270" s="4">
        <v>42394</v>
      </c>
      <c r="B1270" s="3">
        <f>YEAR(SalesData[[#This Row],[Order Date]])</f>
        <v>2016</v>
      </c>
      <c r="C1270" s="3">
        <f>MONTH(SalesData[[#This Row],[Order Date]])</f>
        <v>1</v>
      </c>
      <c r="D1270" t="s">
        <v>47</v>
      </c>
      <c r="E1270" t="s">
        <v>10</v>
      </c>
      <c r="F1270" t="s">
        <v>15</v>
      </c>
      <c r="G1270" t="s">
        <v>16</v>
      </c>
      <c r="H1270" t="s">
        <v>51</v>
      </c>
      <c r="I1270" s="2">
        <v>1545.46</v>
      </c>
      <c r="J1270" s="3">
        <v>10</v>
      </c>
      <c r="K1270" s="2">
        <v>212.92</v>
      </c>
    </row>
    <row r="1271" spans="1:11" x14ac:dyDescent="0.25">
      <c r="A1271" s="4">
        <v>42394</v>
      </c>
      <c r="B1271" s="3">
        <f>YEAR(SalesData[[#This Row],[Order Date]])</f>
        <v>2016</v>
      </c>
      <c r="C1271" s="3">
        <f>MONTH(SalesData[[#This Row],[Order Date]])</f>
        <v>1</v>
      </c>
      <c r="D1271" t="s">
        <v>55</v>
      </c>
      <c r="E1271" t="s">
        <v>26</v>
      </c>
      <c r="F1271" t="s">
        <v>27</v>
      </c>
      <c r="G1271" t="s">
        <v>48</v>
      </c>
      <c r="H1271" t="s">
        <v>57</v>
      </c>
      <c r="I1271" s="2">
        <v>4434.6899999999996</v>
      </c>
      <c r="J1271" s="3">
        <v>9</v>
      </c>
      <c r="K1271" s="2">
        <v>608.47</v>
      </c>
    </row>
    <row r="1272" spans="1:11" x14ac:dyDescent="0.25">
      <c r="A1272" s="4">
        <v>42395</v>
      </c>
      <c r="B1272" s="3">
        <f>YEAR(SalesData[[#This Row],[Order Date]])</f>
        <v>2016</v>
      </c>
      <c r="C1272" s="3">
        <f>MONTH(SalesData[[#This Row],[Order Date]])</f>
        <v>1</v>
      </c>
      <c r="D1272" t="s">
        <v>55</v>
      </c>
      <c r="E1272" t="s">
        <v>40</v>
      </c>
      <c r="F1272" t="s">
        <v>27</v>
      </c>
      <c r="G1272" t="s">
        <v>32</v>
      </c>
      <c r="H1272" t="s">
        <v>53</v>
      </c>
      <c r="I1272" s="2">
        <v>1083.49</v>
      </c>
      <c r="J1272" s="3">
        <v>2</v>
      </c>
      <c r="K1272" s="2">
        <v>1.37</v>
      </c>
    </row>
    <row r="1273" spans="1:11" x14ac:dyDescent="0.25">
      <c r="A1273" s="4">
        <v>42396</v>
      </c>
      <c r="B1273" s="3">
        <f>YEAR(SalesData[[#This Row],[Order Date]])</f>
        <v>2016</v>
      </c>
      <c r="C1273" s="3">
        <f>MONTH(SalesData[[#This Row],[Order Date]])</f>
        <v>1</v>
      </c>
      <c r="D1273" t="s">
        <v>9</v>
      </c>
      <c r="E1273" t="s">
        <v>40</v>
      </c>
      <c r="F1273" t="s">
        <v>27</v>
      </c>
      <c r="G1273" t="s">
        <v>32</v>
      </c>
      <c r="H1273" t="s">
        <v>53</v>
      </c>
      <c r="I1273" s="2">
        <v>4689.5200000000004</v>
      </c>
      <c r="J1273" s="3">
        <v>4</v>
      </c>
      <c r="K1273" s="2">
        <v>1155.6199999999999</v>
      </c>
    </row>
    <row r="1274" spans="1:11" x14ac:dyDescent="0.25">
      <c r="A1274" s="4">
        <v>42396</v>
      </c>
      <c r="B1274" s="3">
        <f>YEAR(SalesData[[#This Row],[Order Date]])</f>
        <v>2016</v>
      </c>
      <c r="C1274" s="3">
        <f>MONTH(SalesData[[#This Row],[Order Date]])</f>
        <v>1</v>
      </c>
      <c r="D1274" t="s">
        <v>55</v>
      </c>
      <c r="E1274" t="s">
        <v>31</v>
      </c>
      <c r="F1274" t="s">
        <v>27</v>
      </c>
      <c r="G1274" t="s">
        <v>28</v>
      </c>
      <c r="H1274" t="s">
        <v>29</v>
      </c>
      <c r="I1274" s="2">
        <v>3224.88</v>
      </c>
      <c r="J1274" s="3">
        <v>9</v>
      </c>
      <c r="K1274" s="2">
        <v>481.17</v>
      </c>
    </row>
    <row r="1275" spans="1:11" x14ac:dyDescent="0.25">
      <c r="A1275" s="4">
        <v>42397</v>
      </c>
      <c r="B1275" s="3">
        <f>YEAR(SalesData[[#This Row],[Order Date]])</f>
        <v>2016</v>
      </c>
      <c r="C1275" s="3">
        <f>MONTH(SalesData[[#This Row],[Order Date]])</f>
        <v>1</v>
      </c>
      <c r="D1275" t="s">
        <v>62</v>
      </c>
      <c r="E1275" t="s">
        <v>19</v>
      </c>
      <c r="F1275" t="s">
        <v>11</v>
      </c>
      <c r="G1275" t="s">
        <v>21</v>
      </c>
      <c r="H1275" t="s">
        <v>22</v>
      </c>
      <c r="I1275" s="2">
        <v>2812.66</v>
      </c>
      <c r="J1275" s="3">
        <v>8</v>
      </c>
      <c r="K1275" s="2">
        <v>483.75</v>
      </c>
    </row>
    <row r="1276" spans="1:11" x14ac:dyDescent="0.25">
      <c r="A1276" s="4">
        <v>42397</v>
      </c>
      <c r="B1276" s="3">
        <f>YEAR(SalesData[[#This Row],[Order Date]])</f>
        <v>2016</v>
      </c>
      <c r="C1276" s="3">
        <f>MONTH(SalesData[[#This Row],[Order Date]])</f>
        <v>1</v>
      </c>
      <c r="D1276" t="s">
        <v>18</v>
      </c>
      <c r="E1276" t="s">
        <v>52</v>
      </c>
      <c r="F1276" t="s">
        <v>11</v>
      </c>
      <c r="G1276" t="s">
        <v>35</v>
      </c>
      <c r="H1276" t="s">
        <v>36</v>
      </c>
      <c r="I1276" s="2">
        <v>3477.87</v>
      </c>
      <c r="J1276" s="3">
        <v>3</v>
      </c>
      <c r="K1276" s="2">
        <v>514.55999999999995</v>
      </c>
    </row>
    <row r="1277" spans="1:11" x14ac:dyDescent="0.25">
      <c r="A1277" s="4">
        <v>42398</v>
      </c>
      <c r="B1277" s="3">
        <f>YEAR(SalesData[[#This Row],[Order Date]])</f>
        <v>2016</v>
      </c>
      <c r="C1277" s="3">
        <f>MONTH(SalesData[[#This Row],[Order Date]])</f>
        <v>1</v>
      </c>
      <c r="D1277" t="s">
        <v>30</v>
      </c>
      <c r="E1277" t="s">
        <v>10</v>
      </c>
      <c r="F1277" t="s">
        <v>11</v>
      </c>
      <c r="G1277" t="s">
        <v>35</v>
      </c>
      <c r="H1277" t="s">
        <v>71</v>
      </c>
      <c r="I1277" s="2">
        <v>2928.85</v>
      </c>
      <c r="J1277" s="3">
        <v>3</v>
      </c>
      <c r="K1277" s="2">
        <v>385.84</v>
      </c>
    </row>
    <row r="1278" spans="1:11" x14ac:dyDescent="0.25">
      <c r="A1278" s="4">
        <v>42398</v>
      </c>
      <c r="B1278" s="3">
        <f>YEAR(SalesData[[#This Row],[Order Date]])</f>
        <v>2016</v>
      </c>
      <c r="C1278" s="3">
        <f>MONTH(SalesData[[#This Row],[Order Date]])</f>
        <v>1</v>
      </c>
      <c r="D1278" t="s">
        <v>62</v>
      </c>
      <c r="E1278" t="s">
        <v>52</v>
      </c>
      <c r="F1278" t="s">
        <v>27</v>
      </c>
      <c r="G1278" t="s">
        <v>28</v>
      </c>
      <c r="H1278" t="s">
        <v>29</v>
      </c>
      <c r="I1278" s="2">
        <v>1270.43</v>
      </c>
      <c r="J1278" s="3">
        <v>7</v>
      </c>
      <c r="K1278" s="2">
        <v>216.37</v>
      </c>
    </row>
    <row r="1279" spans="1:11" x14ac:dyDescent="0.25">
      <c r="A1279" s="4">
        <v>42399</v>
      </c>
      <c r="B1279" s="3">
        <f>YEAR(SalesData[[#This Row],[Order Date]])</f>
        <v>2016</v>
      </c>
      <c r="C1279" s="3">
        <f>MONTH(SalesData[[#This Row],[Order Date]])</f>
        <v>1</v>
      </c>
      <c r="D1279" t="s">
        <v>68</v>
      </c>
      <c r="E1279" t="s">
        <v>44</v>
      </c>
      <c r="F1279" t="s">
        <v>27</v>
      </c>
      <c r="G1279" t="s">
        <v>48</v>
      </c>
      <c r="H1279" t="s">
        <v>57</v>
      </c>
      <c r="I1279" s="2">
        <v>2941.53</v>
      </c>
      <c r="J1279" s="3">
        <v>3</v>
      </c>
      <c r="K1279" s="2">
        <v>623.16</v>
      </c>
    </row>
    <row r="1280" spans="1:11" x14ac:dyDescent="0.25">
      <c r="A1280" s="4">
        <v>42401</v>
      </c>
      <c r="B1280" s="3">
        <f>YEAR(SalesData[[#This Row],[Order Date]])</f>
        <v>2016</v>
      </c>
      <c r="C1280" s="3">
        <f>MONTH(SalesData[[#This Row],[Order Date]])</f>
        <v>2</v>
      </c>
      <c r="D1280" t="s">
        <v>43</v>
      </c>
      <c r="E1280" t="s">
        <v>44</v>
      </c>
      <c r="F1280" t="s">
        <v>15</v>
      </c>
      <c r="G1280" t="s">
        <v>45</v>
      </c>
      <c r="H1280" t="s">
        <v>46</v>
      </c>
      <c r="I1280" s="2">
        <v>2712.44</v>
      </c>
      <c r="J1280" s="3">
        <v>2</v>
      </c>
      <c r="K1280" s="2">
        <v>158.28</v>
      </c>
    </row>
    <row r="1281" spans="1:11" x14ac:dyDescent="0.25">
      <c r="A1281" s="4">
        <v>42401</v>
      </c>
      <c r="B1281" s="3">
        <f>YEAR(SalesData[[#This Row],[Order Date]])</f>
        <v>2016</v>
      </c>
      <c r="C1281" s="3">
        <f>MONTH(SalesData[[#This Row],[Order Date]])</f>
        <v>2</v>
      </c>
      <c r="D1281" t="s">
        <v>18</v>
      </c>
      <c r="E1281" t="s">
        <v>40</v>
      </c>
      <c r="F1281" t="s">
        <v>15</v>
      </c>
      <c r="G1281" t="s">
        <v>45</v>
      </c>
      <c r="H1281" t="s">
        <v>46</v>
      </c>
      <c r="I1281" s="2">
        <v>288.13</v>
      </c>
      <c r="J1281" s="3">
        <v>8</v>
      </c>
      <c r="K1281" s="2">
        <v>73.38</v>
      </c>
    </row>
    <row r="1282" spans="1:11" x14ac:dyDescent="0.25">
      <c r="A1282" s="4">
        <v>42401</v>
      </c>
      <c r="B1282" s="3">
        <f>YEAR(SalesData[[#This Row],[Order Date]])</f>
        <v>2016</v>
      </c>
      <c r="C1282" s="3">
        <f>MONTH(SalesData[[#This Row],[Order Date]])</f>
        <v>2</v>
      </c>
      <c r="D1282" t="s">
        <v>9</v>
      </c>
      <c r="E1282" t="s">
        <v>52</v>
      </c>
      <c r="F1282" t="s">
        <v>27</v>
      </c>
      <c r="G1282" t="s">
        <v>32</v>
      </c>
      <c r="H1282" t="s">
        <v>53</v>
      </c>
      <c r="I1282" s="2">
        <v>164.31</v>
      </c>
      <c r="J1282" s="3">
        <v>4</v>
      </c>
      <c r="K1282" s="2">
        <v>48.87</v>
      </c>
    </row>
    <row r="1283" spans="1:11" x14ac:dyDescent="0.25">
      <c r="A1283" s="4">
        <v>42402</v>
      </c>
      <c r="B1283" s="3">
        <f>YEAR(SalesData[[#This Row],[Order Date]])</f>
        <v>2016</v>
      </c>
      <c r="C1283" s="3">
        <f>MONTH(SalesData[[#This Row],[Order Date]])</f>
        <v>2</v>
      </c>
      <c r="D1283" t="s">
        <v>55</v>
      </c>
      <c r="E1283" t="s">
        <v>37</v>
      </c>
      <c r="F1283" t="s">
        <v>11</v>
      </c>
      <c r="G1283" t="s">
        <v>35</v>
      </c>
      <c r="H1283" t="s">
        <v>36</v>
      </c>
      <c r="I1283" s="2">
        <v>4888.68</v>
      </c>
      <c r="J1283" s="3">
        <v>1</v>
      </c>
      <c r="K1283" s="2">
        <v>1210.73</v>
      </c>
    </row>
    <row r="1284" spans="1:11" x14ac:dyDescent="0.25">
      <c r="A1284" s="4">
        <v>42402</v>
      </c>
      <c r="B1284" s="3">
        <f>YEAR(SalesData[[#This Row],[Order Date]])</f>
        <v>2016</v>
      </c>
      <c r="C1284" s="3">
        <f>MONTH(SalesData[[#This Row],[Order Date]])</f>
        <v>2</v>
      </c>
      <c r="D1284" t="s">
        <v>14</v>
      </c>
      <c r="E1284" t="s">
        <v>10</v>
      </c>
      <c r="F1284" t="s">
        <v>11</v>
      </c>
      <c r="G1284" t="s">
        <v>24</v>
      </c>
      <c r="H1284" t="s">
        <v>54</v>
      </c>
      <c r="I1284" s="2">
        <v>2197.5500000000002</v>
      </c>
      <c r="J1284" s="3">
        <v>4</v>
      </c>
      <c r="K1284" s="2">
        <v>613.54999999999995</v>
      </c>
    </row>
    <row r="1285" spans="1:11" x14ac:dyDescent="0.25">
      <c r="A1285" s="4">
        <v>42402</v>
      </c>
      <c r="B1285" s="3">
        <f>YEAR(SalesData[[#This Row],[Order Date]])</f>
        <v>2016</v>
      </c>
      <c r="C1285" s="3">
        <f>MONTH(SalesData[[#This Row],[Order Date]])</f>
        <v>2</v>
      </c>
      <c r="D1285" t="s">
        <v>14</v>
      </c>
      <c r="E1285" t="s">
        <v>52</v>
      </c>
      <c r="F1285" t="s">
        <v>27</v>
      </c>
      <c r="G1285" t="s">
        <v>48</v>
      </c>
      <c r="H1285" t="s">
        <v>49</v>
      </c>
      <c r="I1285" s="2">
        <v>850.9</v>
      </c>
      <c r="J1285" s="3">
        <v>8</v>
      </c>
      <c r="K1285" s="2">
        <v>223.05</v>
      </c>
    </row>
    <row r="1286" spans="1:11" x14ac:dyDescent="0.25">
      <c r="A1286" s="4">
        <v>42403</v>
      </c>
      <c r="B1286" s="3">
        <f>YEAR(SalesData[[#This Row],[Order Date]])</f>
        <v>2016</v>
      </c>
      <c r="C1286" s="3">
        <f>MONTH(SalesData[[#This Row],[Order Date]])</f>
        <v>2</v>
      </c>
      <c r="D1286" t="s">
        <v>43</v>
      </c>
      <c r="E1286" t="s">
        <v>26</v>
      </c>
      <c r="F1286" t="s">
        <v>15</v>
      </c>
      <c r="G1286" t="s">
        <v>63</v>
      </c>
      <c r="H1286" t="s">
        <v>64</v>
      </c>
      <c r="I1286" s="2">
        <v>699.6</v>
      </c>
      <c r="J1286" s="3">
        <v>3</v>
      </c>
      <c r="K1286" s="2">
        <v>62.94</v>
      </c>
    </row>
    <row r="1287" spans="1:11" x14ac:dyDescent="0.25">
      <c r="A1287" s="4">
        <v>42403</v>
      </c>
      <c r="B1287" s="3">
        <f>YEAR(SalesData[[#This Row],[Order Date]])</f>
        <v>2016</v>
      </c>
      <c r="C1287" s="3">
        <f>MONTH(SalesData[[#This Row],[Order Date]])</f>
        <v>2</v>
      </c>
      <c r="D1287" t="s">
        <v>50</v>
      </c>
      <c r="E1287" t="s">
        <v>10</v>
      </c>
      <c r="F1287" t="s">
        <v>11</v>
      </c>
      <c r="G1287" t="s">
        <v>35</v>
      </c>
      <c r="H1287" t="s">
        <v>71</v>
      </c>
      <c r="I1287" s="2">
        <v>98.95</v>
      </c>
      <c r="J1287" s="3">
        <v>9</v>
      </c>
      <c r="K1287" s="2">
        <v>26.38</v>
      </c>
    </row>
    <row r="1288" spans="1:11" x14ac:dyDescent="0.25">
      <c r="A1288" s="4">
        <v>42404</v>
      </c>
      <c r="B1288" s="3">
        <f>YEAR(SalesData[[#This Row],[Order Date]])</f>
        <v>2016</v>
      </c>
      <c r="C1288" s="3">
        <f>MONTH(SalesData[[#This Row],[Order Date]])</f>
        <v>2</v>
      </c>
      <c r="D1288" t="s">
        <v>50</v>
      </c>
      <c r="E1288" t="s">
        <v>31</v>
      </c>
      <c r="F1288" t="s">
        <v>15</v>
      </c>
      <c r="G1288" t="s">
        <v>41</v>
      </c>
      <c r="H1288" t="s">
        <v>42</v>
      </c>
      <c r="I1288" s="2">
        <v>261.61</v>
      </c>
      <c r="J1288" s="3">
        <v>9</v>
      </c>
      <c r="K1288" s="2">
        <v>51.46</v>
      </c>
    </row>
    <row r="1289" spans="1:11" x14ac:dyDescent="0.25">
      <c r="A1289" s="4">
        <v>42404</v>
      </c>
      <c r="B1289" s="3">
        <f>YEAR(SalesData[[#This Row],[Order Date]])</f>
        <v>2016</v>
      </c>
      <c r="C1289" s="3">
        <f>MONTH(SalesData[[#This Row],[Order Date]])</f>
        <v>2</v>
      </c>
      <c r="D1289" t="s">
        <v>68</v>
      </c>
      <c r="E1289" t="s">
        <v>34</v>
      </c>
      <c r="F1289" t="s">
        <v>11</v>
      </c>
      <c r="G1289" t="s">
        <v>35</v>
      </c>
      <c r="H1289" t="s">
        <v>71</v>
      </c>
      <c r="I1289" s="2">
        <v>42.92</v>
      </c>
      <c r="J1289" s="3">
        <v>4</v>
      </c>
      <c r="K1289" s="2">
        <v>6.7</v>
      </c>
    </row>
    <row r="1290" spans="1:11" x14ac:dyDescent="0.25">
      <c r="A1290" s="4">
        <v>42405</v>
      </c>
      <c r="B1290" s="3">
        <f>YEAR(SalesData[[#This Row],[Order Date]])</f>
        <v>2016</v>
      </c>
      <c r="C1290" s="3">
        <f>MONTH(SalesData[[#This Row],[Order Date]])</f>
        <v>2</v>
      </c>
      <c r="D1290" t="s">
        <v>47</v>
      </c>
      <c r="E1290" t="s">
        <v>52</v>
      </c>
      <c r="F1290" t="s">
        <v>15</v>
      </c>
      <c r="G1290" t="s">
        <v>41</v>
      </c>
      <c r="H1290" t="s">
        <v>42</v>
      </c>
      <c r="I1290" s="2">
        <v>2859.92</v>
      </c>
      <c r="J1290" s="3">
        <v>1</v>
      </c>
      <c r="K1290" s="2">
        <v>738.93</v>
      </c>
    </row>
    <row r="1291" spans="1:11" x14ac:dyDescent="0.25">
      <c r="A1291" s="4">
        <v>42408</v>
      </c>
      <c r="B1291" s="3">
        <f>YEAR(SalesData[[#This Row],[Order Date]])</f>
        <v>2016</v>
      </c>
      <c r="C1291" s="3">
        <f>MONTH(SalesData[[#This Row],[Order Date]])</f>
        <v>2</v>
      </c>
      <c r="D1291" t="s">
        <v>9</v>
      </c>
      <c r="E1291" t="s">
        <v>44</v>
      </c>
      <c r="F1291" t="s">
        <v>27</v>
      </c>
      <c r="G1291" t="s">
        <v>32</v>
      </c>
      <c r="H1291" t="s">
        <v>33</v>
      </c>
      <c r="I1291" s="2">
        <v>4865.16</v>
      </c>
      <c r="J1291" s="3">
        <v>2</v>
      </c>
      <c r="K1291" s="2">
        <v>30.08</v>
      </c>
    </row>
    <row r="1292" spans="1:11" x14ac:dyDescent="0.25">
      <c r="A1292" s="4">
        <v>42409</v>
      </c>
      <c r="B1292" s="3">
        <f>YEAR(SalesData[[#This Row],[Order Date]])</f>
        <v>2016</v>
      </c>
      <c r="C1292" s="3">
        <f>MONTH(SalesData[[#This Row],[Order Date]])</f>
        <v>2</v>
      </c>
      <c r="D1292" t="s">
        <v>55</v>
      </c>
      <c r="E1292" t="s">
        <v>60</v>
      </c>
      <c r="F1292" t="s">
        <v>27</v>
      </c>
      <c r="G1292" t="s">
        <v>28</v>
      </c>
      <c r="H1292" t="s">
        <v>69</v>
      </c>
      <c r="I1292" s="2">
        <v>1811.65</v>
      </c>
      <c r="J1292" s="3">
        <v>9</v>
      </c>
      <c r="K1292" s="2">
        <v>255.46</v>
      </c>
    </row>
    <row r="1293" spans="1:11" x14ac:dyDescent="0.25">
      <c r="A1293" s="4">
        <v>42409</v>
      </c>
      <c r="B1293" s="3">
        <f>YEAR(SalesData[[#This Row],[Order Date]])</f>
        <v>2016</v>
      </c>
      <c r="C1293" s="3">
        <f>MONTH(SalesData[[#This Row],[Order Date]])</f>
        <v>2</v>
      </c>
      <c r="D1293" t="s">
        <v>23</v>
      </c>
      <c r="E1293" t="s">
        <v>52</v>
      </c>
      <c r="F1293" t="s">
        <v>27</v>
      </c>
      <c r="G1293" t="s">
        <v>32</v>
      </c>
      <c r="H1293" t="s">
        <v>33</v>
      </c>
      <c r="I1293" s="2">
        <v>600.72</v>
      </c>
      <c r="J1293" s="3">
        <v>4</v>
      </c>
      <c r="K1293" s="2">
        <v>174.34</v>
      </c>
    </row>
    <row r="1294" spans="1:11" x14ac:dyDescent="0.25">
      <c r="A1294" s="4">
        <v>42409</v>
      </c>
      <c r="B1294" s="3">
        <f>YEAR(SalesData[[#This Row],[Order Date]])</f>
        <v>2016</v>
      </c>
      <c r="C1294" s="3">
        <f>MONTH(SalesData[[#This Row],[Order Date]])</f>
        <v>2</v>
      </c>
      <c r="D1294" t="s">
        <v>9</v>
      </c>
      <c r="E1294" t="s">
        <v>40</v>
      </c>
      <c r="F1294" t="s">
        <v>15</v>
      </c>
      <c r="G1294" t="s">
        <v>41</v>
      </c>
      <c r="H1294" t="s">
        <v>61</v>
      </c>
      <c r="I1294" s="2">
        <v>1360.55</v>
      </c>
      <c r="J1294" s="3">
        <v>7</v>
      </c>
      <c r="K1294" s="2">
        <v>125.93</v>
      </c>
    </row>
    <row r="1295" spans="1:11" x14ac:dyDescent="0.25">
      <c r="A1295" s="4">
        <v>42409</v>
      </c>
      <c r="B1295" s="3">
        <f>YEAR(SalesData[[#This Row],[Order Date]])</f>
        <v>2016</v>
      </c>
      <c r="C1295" s="3">
        <f>MONTH(SalesData[[#This Row],[Order Date]])</f>
        <v>2</v>
      </c>
      <c r="D1295" t="s">
        <v>30</v>
      </c>
      <c r="E1295" t="s">
        <v>34</v>
      </c>
      <c r="F1295" t="s">
        <v>27</v>
      </c>
      <c r="G1295" t="s">
        <v>48</v>
      </c>
      <c r="H1295" t="s">
        <v>49</v>
      </c>
      <c r="I1295" s="2">
        <v>1767.88</v>
      </c>
      <c r="J1295" s="3">
        <v>6</v>
      </c>
      <c r="K1295" s="2">
        <v>506.55</v>
      </c>
    </row>
    <row r="1296" spans="1:11" x14ac:dyDescent="0.25">
      <c r="A1296" s="4">
        <v>42409</v>
      </c>
      <c r="B1296" s="3">
        <f>YEAR(SalesData[[#This Row],[Order Date]])</f>
        <v>2016</v>
      </c>
      <c r="C1296" s="3">
        <f>MONTH(SalesData[[#This Row],[Order Date]])</f>
        <v>2</v>
      </c>
      <c r="D1296" t="s">
        <v>43</v>
      </c>
      <c r="E1296" t="s">
        <v>40</v>
      </c>
      <c r="F1296" t="s">
        <v>11</v>
      </c>
      <c r="G1296" t="s">
        <v>35</v>
      </c>
      <c r="H1296" t="s">
        <v>71</v>
      </c>
      <c r="I1296" s="2">
        <v>4922.4399999999996</v>
      </c>
      <c r="J1296" s="3">
        <v>5</v>
      </c>
      <c r="K1296" s="2">
        <v>668.34</v>
      </c>
    </row>
    <row r="1297" spans="1:11" x14ac:dyDescent="0.25">
      <c r="A1297" s="4">
        <v>42409</v>
      </c>
      <c r="B1297" s="3">
        <f>YEAR(SalesData[[#This Row],[Order Date]])</f>
        <v>2016</v>
      </c>
      <c r="C1297" s="3">
        <f>MONTH(SalesData[[#This Row],[Order Date]])</f>
        <v>2</v>
      </c>
      <c r="D1297" t="s">
        <v>43</v>
      </c>
      <c r="E1297" t="s">
        <v>52</v>
      </c>
      <c r="F1297" t="s">
        <v>11</v>
      </c>
      <c r="G1297" t="s">
        <v>21</v>
      </c>
      <c r="H1297" t="s">
        <v>67</v>
      </c>
      <c r="I1297" s="2">
        <v>3336.09</v>
      </c>
      <c r="J1297" s="3">
        <v>5</v>
      </c>
      <c r="K1297" s="2">
        <v>121.95</v>
      </c>
    </row>
    <row r="1298" spans="1:11" x14ac:dyDescent="0.25">
      <c r="A1298" s="4">
        <v>42410</v>
      </c>
      <c r="B1298" s="3">
        <f>YEAR(SalesData[[#This Row],[Order Date]])</f>
        <v>2016</v>
      </c>
      <c r="C1298" s="3">
        <f>MONTH(SalesData[[#This Row],[Order Date]])</f>
        <v>2</v>
      </c>
      <c r="D1298" t="s">
        <v>62</v>
      </c>
      <c r="E1298" t="s">
        <v>34</v>
      </c>
      <c r="F1298" t="s">
        <v>15</v>
      </c>
      <c r="G1298" t="s">
        <v>16</v>
      </c>
      <c r="H1298" t="s">
        <v>17</v>
      </c>
      <c r="I1298" s="2">
        <v>2607.39</v>
      </c>
      <c r="J1298" s="3">
        <v>2</v>
      </c>
      <c r="K1298" s="2">
        <v>760.65</v>
      </c>
    </row>
    <row r="1299" spans="1:11" x14ac:dyDescent="0.25">
      <c r="A1299" s="4">
        <v>42412</v>
      </c>
      <c r="B1299" s="3">
        <f>YEAR(SalesData[[#This Row],[Order Date]])</f>
        <v>2016</v>
      </c>
      <c r="C1299" s="3">
        <f>MONTH(SalesData[[#This Row],[Order Date]])</f>
        <v>2</v>
      </c>
      <c r="D1299" t="s">
        <v>20</v>
      </c>
      <c r="E1299" t="s">
        <v>34</v>
      </c>
      <c r="F1299" t="s">
        <v>27</v>
      </c>
      <c r="G1299" t="s">
        <v>32</v>
      </c>
      <c r="H1299" t="s">
        <v>53</v>
      </c>
      <c r="I1299" s="2">
        <v>2113.67</v>
      </c>
      <c r="J1299" s="3">
        <v>9</v>
      </c>
      <c r="K1299" s="2">
        <v>32.54</v>
      </c>
    </row>
    <row r="1300" spans="1:11" x14ac:dyDescent="0.25">
      <c r="A1300" s="4">
        <v>42413</v>
      </c>
      <c r="B1300" s="3">
        <f>YEAR(SalesData[[#This Row],[Order Date]])</f>
        <v>2016</v>
      </c>
      <c r="C1300" s="3">
        <f>MONTH(SalesData[[#This Row],[Order Date]])</f>
        <v>2</v>
      </c>
      <c r="D1300" t="s">
        <v>55</v>
      </c>
      <c r="E1300" t="s">
        <v>34</v>
      </c>
      <c r="F1300" t="s">
        <v>27</v>
      </c>
      <c r="G1300" t="s">
        <v>28</v>
      </c>
      <c r="H1300" t="s">
        <v>58</v>
      </c>
      <c r="I1300" s="2">
        <v>1457.57</v>
      </c>
      <c r="J1300" s="3">
        <v>9</v>
      </c>
      <c r="K1300" s="2">
        <v>40.57</v>
      </c>
    </row>
    <row r="1301" spans="1:11" x14ac:dyDescent="0.25">
      <c r="A1301" s="4">
        <v>42413</v>
      </c>
      <c r="B1301" s="3">
        <f>YEAR(SalesData[[#This Row],[Order Date]])</f>
        <v>2016</v>
      </c>
      <c r="C1301" s="3">
        <f>MONTH(SalesData[[#This Row],[Order Date]])</f>
        <v>2</v>
      </c>
      <c r="D1301" t="s">
        <v>50</v>
      </c>
      <c r="E1301" t="s">
        <v>31</v>
      </c>
      <c r="F1301" t="s">
        <v>15</v>
      </c>
      <c r="G1301" t="s">
        <v>63</v>
      </c>
      <c r="H1301" t="s">
        <v>64</v>
      </c>
      <c r="I1301" s="2">
        <v>3455.18</v>
      </c>
      <c r="J1301" s="3">
        <v>5</v>
      </c>
      <c r="K1301" s="2">
        <v>947.88</v>
      </c>
    </row>
    <row r="1302" spans="1:11" x14ac:dyDescent="0.25">
      <c r="A1302" s="4">
        <v>42414</v>
      </c>
      <c r="B1302" s="3">
        <f>YEAR(SalesData[[#This Row],[Order Date]])</f>
        <v>2016</v>
      </c>
      <c r="C1302" s="3">
        <f>MONTH(SalesData[[#This Row],[Order Date]])</f>
        <v>2</v>
      </c>
      <c r="D1302" t="s">
        <v>20</v>
      </c>
      <c r="E1302" t="s">
        <v>52</v>
      </c>
      <c r="F1302" t="s">
        <v>15</v>
      </c>
      <c r="G1302" t="s">
        <v>45</v>
      </c>
      <c r="H1302" t="s">
        <v>46</v>
      </c>
      <c r="I1302" s="2">
        <v>2116.81</v>
      </c>
      <c r="J1302" s="3">
        <v>6</v>
      </c>
      <c r="K1302" s="2">
        <v>608.53</v>
      </c>
    </row>
    <row r="1303" spans="1:11" x14ac:dyDescent="0.25">
      <c r="A1303" s="4">
        <v>42415</v>
      </c>
      <c r="B1303" s="3">
        <f>YEAR(SalesData[[#This Row],[Order Date]])</f>
        <v>2016</v>
      </c>
      <c r="C1303" s="3">
        <f>MONTH(SalesData[[#This Row],[Order Date]])</f>
        <v>2</v>
      </c>
      <c r="D1303" t="s">
        <v>9</v>
      </c>
      <c r="E1303" t="s">
        <v>44</v>
      </c>
      <c r="F1303" t="s">
        <v>15</v>
      </c>
      <c r="G1303" t="s">
        <v>45</v>
      </c>
      <c r="H1303" t="s">
        <v>46</v>
      </c>
      <c r="I1303" s="2">
        <v>308.26</v>
      </c>
      <c r="J1303" s="3">
        <v>4</v>
      </c>
      <c r="K1303" s="2">
        <v>16.98</v>
      </c>
    </row>
    <row r="1304" spans="1:11" x14ac:dyDescent="0.25">
      <c r="A1304" s="4">
        <v>42415</v>
      </c>
      <c r="B1304" s="3">
        <f>YEAR(SalesData[[#This Row],[Order Date]])</f>
        <v>2016</v>
      </c>
      <c r="C1304" s="3">
        <f>MONTH(SalesData[[#This Row],[Order Date]])</f>
        <v>2</v>
      </c>
      <c r="D1304" t="s">
        <v>50</v>
      </c>
      <c r="E1304" t="s">
        <v>10</v>
      </c>
      <c r="F1304" t="s">
        <v>27</v>
      </c>
      <c r="G1304" t="s">
        <v>32</v>
      </c>
      <c r="H1304" t="s">
        <v>33</v>
      </c>
      <c r="I1304" s="2">
        <v>1644.03</v>
      </c>
      <c r="J1304" s="3">
        <v>6</v>
      </c>
      <c r="K1304" s="2">
        <v>429.02</v>
      </c>
    </row>
    <row r="1305" spans="1:11" x14ac:dyDescent="0.25">
      <c r="A1305" s="4">
        <v>42418</v>
      </c>
      <c r="B1305" s="3">
        <f>YEAR(SalesData[[#This Row],[Order Date]])</f>
        <v>2016</v>
      </c>
      <c r="C1305" s="3">
        <f>MONTH(SalesData[[#This Row],[Order Date]])</f>
        <v>2</v>
      </c>
      <c r="D1305" t="s">
        <v>47</v>
      </c>
      <c r="E1305" t="s">
        <v>31</v>
      </c>
      <c r="F1305" t="s">
        <v>11</v>
      </c>
      <c r="G1305" t="s">
        <v>24</v>
      </c>
      <c r="H1305" t="s">
        <v>54</v>
      </c>
      <c r="I1305" s="2">
        <v>603.12</v>
      </c>
      <c r="J1305" s="3">
        <v>10</v>
      </c>
      <c r="K1305" s="2">
        <v>57.82</v>
      </c>
    </row>
    <row r="1306" spans="1:11" x14ac:dyDescent="0.25">
      <c r="A1306" s="4">
        <v>42418</v>
      </c>
      <c r="B1306" s="3">
        <f>YEAR(SalesData[[#This Row],[Order Date]])</f>
        <v>2016</v>
      </c>
      <c r="C1306" s="3">
        <f>MONTH(SalesData[[#This Row],[Order Date]])</f>
        <v>2</v>
      </c>
      <c r="D1306" t="s">
        <v>47</v>
      </c>
      <c r="E1306" t="s">
        <v>34</v>
      </c>
      <c r="F1306" t="s">
        <v>15</v>
      </c>
      <c r="G1306" t="s">
        <v>16</v>
      </c>
      <c r="H1306" t="s">
        <v>51</v>
      </c>
      <c r="I1306" s="2">
        <v>2878.18</v>
      </c>
      <c r="J1306" s="3">
        <v>2</v>
      </c>
      <c r="K1306" s="2">
        <v>721.37</v>
      </c>
    </row>
    <row r="1307" spans="1:11" x14ac:dyDescent="0.25">
      <c r="A1307" s="4">
        <v>42418</v>
      </c>
      <c r="B1307" s="3">
        <f>YEAR(SalesData[[#This Row],[Order Date]])</f>
        <v>2016</v>
      </c>
      <c r="C1307" s="3">
        <f>MONTH(SalesData[[#This Row],[Order Date]])</f>
        <v>2</v>
      </c>
      <c r="D1307" t="s">
        <v>23</v>
      </c>
      <c r="E1307" t="s">
        <v>60</v>
      </c>
      <c r="F1307" t="s">
        <v>27</v>
      </c>
      <c r="G1307" t="s">
        <v>48</v>
      </c>
      <c r="H1307" t="s">
        <v>49</v>
      </c>
      <c r="I1307" s="2">
        <v>2288.63</v>
      </c>
      <c r="J1307" s="3">
        <v>2</v>
      </c>
      <c r="K1307" s="2">
        <v>83.15</v>
      </c>
    </row>
    <row r="1308" spans="1:11" x14ac:dyDescent="0.25">
      <c r="A1308" s="4">
        <v>42419</v>
      </c>
      <c r="B1308" s="3">
        <f>YEAR(SalesData[[#This Row],[Order Date]])</f>
        <v>2016</v>
      </c>
      <c r="C1308" s="3">
        <f>MONTH(SalesData[[#This Row],[Order Date]])</f>
        <v>2</v>
      </c>
      <c r="D1308" t="s">
        <v>23</v>
      </c>
      <c r="E1308" t="s">
        <v>44</v>
      </c>
      <c r="F1308" t="s">
        <v>27</v>
      </c>
      <c r="G1308" t="s">
        <v>28</v>
      </c>
      <c r="H1308" t="s">
        <v>58</v>
      </c>
      <c r="I1308" s="2">
        <v>4454.58</v>
      </c>
      <c r="J1308" s="3">
        <v>5</v>
      </c>
      <c r="K1308" s="2">
        <v>624.16</v>
      </c>
    </row>
    <row r="1309" spans="1:11" x14ac:dyDescent="0.25">
      <c r="A1309" s="4">
        <v>42419</v>
      </c>
      <c r="B1309" s="3">
        <f>YEAR(SalesData[[#This Row],[Order Date]])</f>
        <v>2016</v>
      </c>
      <c r="C1309" s="3">
        <f>MONTH(SalesData[[#This Row],[Order Date]])</f>
        <v>2</v>
      </c>
      <c r="D1309" t="s">
        <v>9</v>
      </c>
      <c r="E1309" t="s">
        <v>52</v>
      </c>
      <c r="F1309" t="s">
        <v>11</v>
      </c>
      <c r="G1309" t="s">
        <v>24</v>
      </c>
      <c r="H1309" t="s">
        <v>54</v>
      </c>
      <c r="I1309" s="2">
        <v>4318.1099999999997</v>
      </c>
      <c r="J1309" s="3">
        <v>3</v>
      </c>
      <c r="K1309" s="2">
        <v>995.44</v>
      </c>
    </row>
    <row r="1310" spans="1:11" x14ac:dyDescent="0.25">
      <c r="A1310" s="4">
        <v>42419</v>
      </c>
      <c r="B1310" s="3">
        <f>YEAR(SalesData[[#This Row],[Order Date]])</f>
        <v>2016</v>
      </c>
      <c r="C1310" s="3">
        <f>MONTH(SalesData[[#This Row],[Order Date]])</f>
        <v>2</v>
      </c>
      <c r="D1310" t="s">
        <v>68</v>
      </c>
      <c r="E1310" t="s">
        <v>37</v>
      </c>
      <c r="F1310" t="s">
        <v>11</v>
      </c>
      <c r="G1310" t="s">
        <v>24</v>
      </c>
      <c r="H1310" t="s">
        <v>25</v>
      </c>
      <c r="I1310" s="2">
        <v>66.84</v>
      </c>
      <c r="J1310" s="3">
        <v>3</v>
      </c>
      <c r="K1310" s="2">
        <v>15.32</v>
      </c>
    </row>
    <row r="1311" spans="1:11" x14ac:dyDescent="0.25">
      <c r="A1311" s="4">
        <v>42421</v>
      </c>
      <c r="B1311" s="3">
        <f>YEAR(SalesData[[#This Row],[Order Date]])</f>
        <v>2016</v>
      </c>
      <c r="C1311" s="3">
        <f>MONTH(SalesData[[#This Row],[Order Date]])</f>
        <v>2</v>
      </c>
      <c r="D1311" t="s">
        <v>50</v>
      </c>
      <c r="E1311" t="s">
        <v>10</v>
      </c>
      <c r="F1311" t="s">
        <v>15</v>
      </c>
      <c r="G1311" t="s">
        <v>63</v>
      </c>
      <c r="H1311" t="s">
        <v>66</v>
      </c>
      <c r="I1311" s="2">
        <v>398.68</v>
      </c>
      <c r="J1311" s="3">
        <v>6</v>
      </c>
      <c r="K1311" s="2">
        <v>111.61</v>
      </c>
    </row>
    <row r="1312" spans="1:11" x14ac:dyDescent="0.25">
      <c r="A1312" s="4">
        <v>42421</v>
      </c>
      <c r="B1312" s="3">
        <f>YEAR(SalesData[[#This Row],[Order Date]])</f>
        <v>2016</v>
      </c>
      <c r="C1312" s="3">
        <f>MONTH(SalesData[[#This Row],[Order Date]])</f>
        <v>2</v>
      </c>
      <c r="D1312" t="s">
        <v>14</v>
      </c>
      <c r="E1312" t="s">
        <v>26</v>
      </c>
      <c r="F1312" t="s">
        <v>15</v>
      </c>
      <c r="G1312" t="s">
        <v>38</v>
      </c>
      <c r="H1312" t="s">
        <v>56</v>
      </c>
      <c r="I1312" s="2">
        <v>1981.05</v>
      </c>
      <c r="J1312" s="3">
        <v>1</v>
      </c>
      <c r="K1312" s="2">
        <v>98.5</v>
      </c>
    </row>
    <row r="1313" spans="1:11" x14ac:dyDescent="0.25">
      <c r="A1313" s="4">
        <v>42422</v>
      </c>
      <c r="B1313" s="3">
        <f>YEAR(SalesData[[#This Row],[Order Date]])</f>
        <v>2016</v>
      </c>
      <c r="C1313" s="3">
        <f>MONTH(SalesData[[#This Row],[Order Date]])</f>
        <v>2</v>
      </c>
      <c r="D1313" t="s">
        <v>47</v>
      </c>
      <c r="E1313" t="s">
        <v>40</v>
      </c>
      <c r="F1313" t="s">
        <v>15</v>
      </c>
      <c r="G1313" t="s">
        <v>16</v>
      </c>
      <c r="H1313" t="s">
        <v>17</v>
      </c>
      <c r="I1313" s="2">
        <v>3786.88</v>
      </c>
      <c r="J1313" s="3">
        <v>9</v>
      </c>
      <c r="K1313" s="2">
        <v>56.26</v>
      </c>
    </row>
    <row r="1314" spans="1:11" x14ac:dyDescent="0.25">
      <c r="A1314" s="4">
        <v>42423</v>
      </c>
      <c r="B1314" s="3">
        <f>YEAR(SalesData[[#This Row],[Order Date]])</f>
        <v>2016</v>
      </c>
      <c r="C1314" s="3">
        <f>MONTH(SalesData[[#This Row],[Order Date]])</f>
        <v>2</v>
      </c>
      <c r="D1314" t="s">
        <v>20</v>
      </c>
      <c r="E1314" t="s">
        <v>26</v>
      </c>
      <c r="F1314" t="s">
        <v>15</v>
      </c>
      <c r="G1314" t="s">
        <v>41</v>
      </c>
      <c r="H1314" t="s">
        <v>61</v>
      </c>
      <c r="I1314" s="2">
        <v>1978.91</v>
      </c>
      <c r="J1314" s="3">
        <v>4</v>
      </c>
      <c r="K1314" s="2">
        <v>398.75</v>
      </c>
    </row>
    <row r="1315" spans="1:11" x14ac:dyDescent="0.25">
      <c r="A1315" s="4">
        <v>42423</v>
      </c>
      <c r="B1315" s="3">
        <f>YEAR(SalesData[[#This Row],[Order Date]])</f>
        <v>2016</v>
      </c>
      <c r="C1315" s="3">
        <f>MONTH(SalesData[[#This Row],[Order Date]])</f>
        <v>2</v>
      </c>
      <c r="D1315" t="s">
        <v>18</v>
      </c>
      <c r="E1315" t="s">
        <v>44</v>
      </c>
      <c r="F1315" t="s">
        <v>15</v>
      </c>
      <c r="G1315" t="s">
        <v>63</v>
      </c>
      <c r="H1315" t="s">
        <v>64</v>
      </c>
      <c r="I1315" s="2">
        <v>4025.08</v>
      </c>
      <c r="J1315" s="3">
        <v>5</v>
      </c>
      <c r="K1315" s="2">
        <v>1189.68</v>
      </c>
    </row>
    <row r="1316" spans="1:11" x14ac:dyDescent="0.25">
      <c r="A1316" s="4">
        <v>42423</v>
      </c>
      <c r="B1316" s="3">
        <f>YEAR(SalesData[[#This Row],[Order Date]])</f>
        <v>2016</v>
      </c>
      <c r="C1316" s="3">
        <f>MONTH(SalesData[[#This Row],[Order Date]])</f>
        <v>2</v>
      </c>
      <c r="D1316" t="s">
        <v>18</v>
      </c>
      <c r="E1316" t="s">
        <v>19</v>
      </c>
      <c r="F1316" t="s">
        <v>27</v>
      </c>
      <c r="G1316" t="s">
        <v>48</v>
      </c>
      <c r="H1316" t="s">
        <v>57</v>
      </c>
      <c r="I1316" s="2">
        <v>4446.42</v>
      </c>
      <c r="J1316" s="3">
        <v>9</v>
      </c>
      <c r="K1316" s="2">
        <v>256.89</v>
      </c>
    </row>
    <row r="1317" spans="1:11" x14ac:dyDescent="0.25">
      <c r="A1317" s="4">
        <v>42423</v>
      </c>
      <c r="B1317" s="3">
        <f>YEAR(SalesData[[#This Row],[Order Date]])</f>
        <v>2016</v>
      </c>
      <c r="C1317" s="3">
        <f>MONTH(SalesData[[#This Row],[Order Date]])</f>
        <v>2</v>
      </c>
      <c r="D1317" t="s">
        <v>47</v>
      </c>
      <c r="E1317" t="s">
        <v>10</v>
      </c>
      <c r="F1317" t="s">
        <v>27</v>
      </c>
      <c r="G1317" t="s">
        <v>28</v>
      </c>
      <c r="H1317" t="s">
        <v>58</v>
      </c>
      <c r="I1317" s="2">
        <v>4372.54</v>
      </c>
      <c r="J1317" s="3">
        <v>1</v>
      </c>
      <c r="K1317" s="2">
        <v>1234.75</v>
      </c>
    </row>
    <row r="1318" spans="1:11" x14ac:dyDescent="0.25">
      <c r="A1318" s="4">
        <v>42423</v>
      </c>
      <c r="B1318" s="3">
        <f>YEAR(SalesData[[#This Row],[Order Date]])</f>
        <v>2016</v>
      </c>
      <c r="C1318" s="3">
        <f>MONTH(SalesData[[#This Row],[Order Date]])</f>
        <v>2</v>
      </c>
      <c r="D1318" t="s">
        <v>9</v>
      </c>
      <c r="E1318" t="s">
        <v>44</v>
      </c>
      <c r="F1318" t="s">
        <v>11</v>
      </c>
      <c r="G1318" t="s">
        <v>21</v>
      </c>
      <c r="H1318" t="s">
        <v>67</v>
      </c>
      <c r="I1318" s="2">
        <v>2470.8200000000002</v>
      </c>
      <c r="J1318" s="3">
        <v>10</v>
      </c>
      <c r="K1318" s="2">
        <v>553.89</v>
      </c>
    </row>
    <row r="1319" spans="1:11" x14ac:dyDescent="0.25">
      <c r="A1319" s="4">
        <v>42423</v>
      </c>
      <c r="B1319" s="3">
        <f>YEAR(SalesData[[#This Row],[Order Date]])</f>
        <v>2016</v>
      </c>
      <c r="C1319" s="3">
        <f>MONTH(SalesData[[#This Row],[Order Date]])</f>
        <v>2</v>
      </c>
      <c r="D1319" t="s">
        <v>43</v>
      </c>
      <c r="E1319" t="s">
        <v>37</v>
      </c>
      <c r="F1319" t="s">
        <v>27</v>
      </c>
      <c r="G1319" t="s">
        <v>48</v>
      </c>
      <c r="H1319" t="s">
        <v>49</v>
      </c>
      <c r="I1319" s="2">
        <v>836.77</v>
      </c>
      <c r="J1319" s="3">
        <v>7</v>
      </c>
      <c r="K1319" s="2">
        <v>183.37</v>
      </c>
    </row>
    <row r="1320" spans="1:11" x14ac:dyDescent="0.25">
      <c r="A1320" s="4">
        <v>42424</v>
      </c>
      <c r="B1320" s="3">
        <f>YEAR(SalesData[[#This Row],[Order Date]])</f>
        <v>2016</v>
      </c>
      <c r="C1320" s="3">
        <f>MONTH(SalesData[[#This Row],[Order Date]])</f>
        <v>2</v>
      </c>
      <c r="D1320" t="s">
        <v>30</v>
      </c>
      <c r="E1320" t="s">
        <v>10</v>
      </c>
      <c r="F1320" t="s">
        <v>27</v>
      </c>
      <c r="G1320" t="s">
        <v>32</v>
      </c>
      <c r="H1320" t="s">
        <v>33</v>
      </c>
      <c r="I1320" s="2">
        <v>4698.1499999999996</v>
      </c>
      <c r="J1320" s="3">
        <v>4</v>
      </c>
      <c r="K1320" s="2">
        <v>237.61</v>
      </c>
    </row>
    <row r="1321" spans="1:11" x14ac:dyDescent="0.25">
      <c r="A1321" s="4">
        <v>42424</v>
      </c>
      <c r="B1321" s="3">
        <f>YEAR(SalesData[[#This Row],[Order Date]])</f>
        <v>2016</v>
      </c>
      <c r="C1321" s="3">
        <f>MONTH(SalesData[[#This Row],[Order Date]])</f>
        <v>2</v>
      </c>
      <c r="D1321" t="s">
        <v>50</v>
      </c>
      <c r="E1321" t="s">
        <v>40</v>
      </c>
      <c r="F1321" t="s">
        <v>27</v>
      </c>
      <c r="G1321" t="s">
        <v>48</v>
      </c>
      <c r="H1321" t="s">
        <v>57</v>
      </c>
      <c r="I1321" s="2">
        <v>4532.08</v>
      </c>
      <c r="J1321" s="3">
        <v>7</v>
      </c>
      <c r="K1321" s="2">
        <v>208.33</v>
      </c>
    </row>
    <row r="1322" spans="1:11" x14ac:dyDescent="0.25">
      <c r="A1322" s="4">
        <v>42424</v>
      </c>
      <c r="B1322" s="3">
        <f>YEAR(SalesData[[#This Row],[Order Date]])</f>
        <v>2016</v>
      </c>
      <c r="C1322" s="3">
        <f>MONTH(SalesData[[#This Row],[Order Date]])</f>
        <v>2</v>
      </c>
      <c r="D1322" t="s">
        <v>23</v>
      </c>
      <c r="E1322" t="s">
        <v>19</v>
      </c>
      <c r="F1322" t="s">
        <v>27</v>
      </c>
      <c r="G1322" t="s">
        <v>32</v>
      </c>
      <c r="H1322" t="s">
        <v>53</v>
      </c>
      <c r="I1322" s="2">
        <v>4778.9799999999996</v>
      </c>
      <c r="J1322" s="3">
        <v>8</v>
      </c>
      <c r="K1322" s="2">
        <v>266.73</v>
      </c>
    </row>
    <row r="1323" spans="1:11" x14ac:dyDescent="0.25">
      <c r="A1323" s="4">
        <v>42425</v>
      </c>
      <c r="B1323" s="3">
        <f>YEAR(SalesData[[#This Row],[Order Date]])</f>
        <v>2016</v>
      </c>
      <c r="C1323" s="3">
        <f>MONTH(SalesData[[#This Row],[Order Date]])</f>
        <v>2</v>
      </c>
      <c r="D1323" t="s">
        <v>55</v>
      </c>
      <c r="E1323" t="s">
        <v>44</v>
      </c>
      <c r="F1323" t="s">
        <v>11</v>
      </c>
      <c r="G1323" t="s">
        <v>21</v>
      </c>
      <c r="H1323" t="s">
        <v>22</v>
      </c>
      <c r="I1323" s="2">
        <v>1002.18</v>
      </c>
      <c r="J1323" s="3">
        <v>10</v>
      </c>
      <c r="K1323" s="2">
        <v>184.46</v>
      </c>
    </row>
    <row r="1324" spans="1:11" x14ac:dyDescent="0.25">
      <c r="A1324" s="4">
        <v>42425</v>
      </c>
      <c r="B1324" s="3">
        <f>YEAR(SalesData[[#This Row],[Order Date]])</f>
        <v>2016</v>
      </c>
      <c r="C1324" s="3">
        <f>MONTH(SalesData[[#This Row],[Order Date]])</f>
        <v>2</v>
      </c>
      <c r="D1324" t="s">
        <v>23</v>
      </c>
      <c r="E1324" t="s">
        <v>37</v>
      </c>
      <c r="F1324" t="s">
        <v>11</v>
      </c>
      <c r="G1324" t="s">
        <v>21</v>
      </c>
      <c r="H1324" t="s">
        <v>22</v>
      </c>
      <c r="I1324" s="2">
        <v>3848.33</v>
      </c>
      <c r="J1324" s="3">
        <v>7</v>
      </c>
      <c r="K1324" s="2">
        <v>979.43</v>
      </c>
    </row>
    <row r="1325" spans="1:11" x14ac:dyDescent="0.25">
      <c r="A1325" s="4">
        <v>42426</v>
      </c>
      <c r="B1325" s="3">
        <f>YEAR(SalesData[[#This Row],[Order Date]])</f>
        <v>2016</v>
      </c>
      <c r="C1325" s="3">
        <f>MONTH(SalesData[[#This Row],[Order Date]])</f>
        <v>2</v>
      </c>
      <c r="D1325" t="s">
        <v>20</v>
      </c>
      <c r="E1325" t="s">
        <v>40</v>
      </c>
      <c r="F1325" t="s">
        <v>15</v>
      </c>
      <c r="G1325" t="s">
        <v>16</v>
      </c>
      <c r="H1325" t="s">
        <v>51</v>
      </c>
      <c r="I1325" s="2">
        <v>376.29</v>
      </c>
      <c r="J1325" s="3">
        <v>10</v>
      </c>
      <c r="K1325" s="2">
        <v>31.91</v>
      </c>
    </row>
    <row r="1326" spans="1:11" x14ac:dyDescent="0.25">
      <c r="A1326" s="4">
        <v>42426</v>
      </c>
      <c r="B1326" s="3">
        <f>YEAR(SalesData[[#This Row],[Order Date]])</f>
        <v>2016</v>
      </c>
      <c r="C1326" s="3">
        <f>MONTH(SalesData[[#This Row],[Order Date]])</f>
        <v>2</v>
      </c>
      <c r="D1326" t="s">
        <v>62</v>
      </c>
      <c r="E1326" t="s">
        <v>19</v>
      </c>
      <c r="F1326" t="s">
        <v>27</v>
      </c>
      <c r="G1326" t="s">
        <v>48</v>
      </c>
      <c r="H1326" t="s">
        <v>57</v>
      </c>
      <c r="I1326" s="2">
        <v>810.12</v>
      </c>
      <c r="J1326" s="3">
        <v>4</v>
      </c>
      <c r="K1326" s="2">
        <v>228.23</v>
      </c>
    </row>
    <row r="1327" spans="1:11" x14ac:dyDescent="0.25">
      <c r="A1327" s="4">
        <v>42426</v>
      </c>
      <c r="B1327" s="3">
        <f>YEAR(SalesData[[#This Row],[Order Date]])</f>
        <v>2016</v>
      </c>
      <c r="C1327" s="3">
        <f>MONTH(SalesData[[#This Row],[Order Date]])</f>
        <v>2</v>
      </c>
      <c r="D1327" t="s">
        <v>9</v>
      </c>
      <c r="E1327" t="s">
        <v>31</v>
      </c>
      <c r="F1327" t="s">
        <v>11</v>
      </c>
      <c r="G1327" t="s">
        <v>21</v>
      </c>
      <c r="H1327" t="s">
        <v>67</v>
      </c>
      <c r="I1327" s="2">
        <v>802.99</v>
      </c>
      <c r="J1327" s="3">
        <v>9</v>
      </c>
      <c r="K1327" s="2">
        <v>30.83</v>
      </c>
    </row>
    <row r="1328" spans="1:11" x14ac:dyDescent="0.25">
      <c r="A1328" s="4">
        <v>42426</v>
      </c>
      <c r="B1328" s="3">
        <f>YEAR(SalesData[[#This Row],[Order Date]])</f>
        <v>2016</v>
      </c>
      <c r="C1328" s="3">
        <f>MONTH(SalesData[[#This Row],[Order Date]])</f>
        <v>2</v>
      </c>
      <c r="D1328" t="s">
        <v>55</v>
      </c>
      <c r="E1328" t="s">
        <v>44</v>
      </c>
      <c r="F1328" t="s">
        <v>11</v>
      </c>
      <c r="G1328" t="s">
        <v>24</v>
      </c>
      <c r="H1328" t="s">
        <v>25</v>
      </c>
      <c r="I1328" s="2">
        <v>2900.76</v>
      </c>
      <c r="J1328" s="3">
        <v>3</v>
      </c>
      <c r="K1328" s="2">
        <v>404.49</v>
      </c>
    </row>
    <row r="1329" spans="1:11" x14ac:dyDescent="0.25">
      <c r="A1329" s="4">
        <v>42426</v>
      </c>
      <c r="B1329" s="3">
        <f>YEAR(SalesData[[#This Row],[Order Date]])</f>
        <v>2016</v>
      </c>
      <c r="C1329" s="3">
        <f>MONTH(SalesData[[#This Row],[Order Date]])</f>
        <v>2</v>
      </c>
      <c r="D1329" t="s">
        <v>62</v>
      </c>
      <c r="E1329" t="s">
        <v>52</v>
      </c>
      <c r="F1329" t="s">
        <v>27</v>
      </c>
      <c r="G1329" t="s">
        <v>48</v>
      </c>
      <c r="H1329" t="s">
        <v>49</v>
      </c>
      <c r="I1329" s="2">
        <v>486.77</v>
      </c>
      <c r="J1329" s="3">
        <v>1</v>
      </c>
      <c r="K1329" s="2">
        <v>34.74</v>
      </c>
    </row>
    <row r="1330" spans="1:11" x14ac:dyDescent="0.25">
      <c r="A1330" s="4">
        <v>42427</v>
      </c>
      <c r="B1330" s="3">
        <f>YEAR(SalesData[[#This Row],[Order Date]])</f>
        <v>2016</v>
      </c>
      <c r="C1330" s="3">
        <f>MONTH(SalesData[[#This Row],[Order Date]])</f>
        <v>2</v>
      </c>
      <c r="D1330" t="s">
        <v>30</v>
      </c>
      <c r="E1330" t="s">
        <v>44</v>
      </c>
      <c r="F1330" t="s">
        <v>11</v>
      </c>
      <c r="G1330" t="s">
        <v>24</v>
      </c>
      <c r="H1330" t="s">
        <v>54</v>
      </c>
      <c r="I1330" s="2">
        <v>833.29</v>
      </c>
      <c r="J1330" s="3">
        <v>9</v>
      </c>
      <c r="K1330" s="2">
        <v>56.39</v>
      </c>
    </row>
    <row r="1331" spans="1:11" x14ac:dyDescent="0.25">
      <c r="A1331" s="4">
        <v>42427</v>
      </c>
      <c r="B1331" s="3">
        <f>YEAR(SalesData[[#This Row],[Order Date]])</f>
        <v>2016</v>
      </c>
      <c r="C1331" s="3">
        <f>MONTH(SalesData[[#This Row],[Order Date]])</f>
        <v>2</v>
      </c>
      <c r="D1331" t="s">
        <v>68</v>
      </c>
      <c r="E1331" t="s">
        <v>31</v>
      </c>
      <c r="F1331" t="s">
        <v>11</v>
      </c>
      <c r="G1331" t="s">
        <v>35</v>
      </c>
      <c r="H1331" t="s">
        <v>71</v>
      </c>
      <c r="I1331" s="2">
        <v>1283.21</v>
      </c>
      <c r="J1331" s="3">
        <v>5</v>
      </c>
      <c r="K1331" s="2">
        <v>30.48</v>
      </c>
    </row>
    <row r="1332" spans="1:11" x14ac:dyDescent="0.25">
      <c r="A1332" s="4">
        <v>42427</v>
      </c>
      <c r="B1332" s="3">
        <f>YEAR(SalesData[[#This Row],[Order Date]])</f>
        <v>2016</v>
      </c>
      <c r="C1332" s="3">
        <f>MONTH(SalesData[[#This Row],[Order Date]])</f>
        <v>2</v>
      </c>
      <c r="D1332" t="s">
        <v>9</v>
      </c>
      <c r="E1332" t="s">
        <v>31</v>
      </c>
      <c r="F1332" t="s">
        <v>15</v>
      </c>
      <c r="G1332" t="s">
        <v>45</v>
      </c>
      <c r="H1332" t="s">
        <v>59</v>
      </c>
      <c r="I1332" s="2">
        <v>988.11</v>
      </c>
      <c r="J1332" s="3">
        <v>3</v>
      </c>
      <c r="K1332" s="2">
        <v>25.3</v>
      </c>
    </row>
    <row r="1333" spans="1:11" x14ac:dyDescent="0.25">
      <c r="A1333" s="4">
        <v>42429</v>
      </c>
      <c r="B1333" s="3">
        <f>YEAR(SalesData[[#This Row],[Order Date]])</f>
        <v>2016</v>
      </c>
      <c r="C1333" s="3">
        <f>MONTH(SalesData[[#This Row],[Order Date]])</f>
        <v>2</v>
      </c>
      <c r="D1333" t="s">
        <v>62</v>
      </c>
      <c r="E1333" t="s">
        <v>19</v>
      </c>
      <c r="F1333" t="s">
        <v>15</v>
      </c>
      <c r="G1333" t="s">
        <v>16</v>
      </c>
      <c r="H1333" t="s">
        <v>51</v>
      </c>
      <c r="I1333" s="2">
        <v>4522.87</v>
      </c>
      <c r="J1333" s="3">
        <v>6</v>
      </c>
      <c r="K1333" s="2">
        <v>246.33</v>
      </c>
    </row>
    <row r="1334" spans="1:11" x14ac:dyDescent="0.25">
      <c r="A1334" s="4">
        <v>42429</v>
      </c>
      <c r="B1334" s="3">
        <f>YEAR(SalesData[[#This Row],[Order Date]])</f>
        <v>2016</v>
      </c>
      <c r="C1334" s="3">
        <f>MONTH(SalesData[[#This Row],[Order Date]])</f>
        <v>2</v>
      </c>
      <c r="D1334" t="s">
        <v>55</v>
      </c>
      <c r="E1334" t="s">
        <v>60</v>
      </c>
      <c r="F1334" t="s">
        <v>27</v>
      </c>
      <c r="G1334" t="s">
        <v>32</v>
      </c>
      <c r="H1334" t="s">
        <v>33</v>
      </c>
      <c r="I1334" s="2">
        <v>1031.3699999999999</v>
      </c>
      <c r="J1334" s="3">
        <v>2</v>
      </c>
      <c r="K1334" s="2">
        <v>45.85</v>
      </c>
    </row>
    <row r="1335" spans="1:11" x14ac:dyDescent="0.25">
      <c r="A1335" s="4">
        <v>42429</v>
      </c>
      <c r="B1335" s="3">
        <f>YEAR(SalesData[[#This Row],[Order Date]])</f>
        <v>2016</v>
      </c>
      <c r="C1335" s="3">
        <f>MONTH(SalesData[[#This Row],[Order Date]])</f>
        <v>2</v>
      </c>
      <c r="D1335" t="s">
        <v>14</v>
      </c>
      <c r="E1335" t="s">
        <v>60</v>
      </c>
      <c r="F1335" t="s">
        <v>15</v>
      </c>
      <c r="G1335" t="s">
        <v>16</v>
      </c>
      <c r="H1335" t="s">
        <v>17</v>
      </c>
      <c r="I1335" s="2">
        <v>4388.68</v>
      </c>
      <c r="J1335" s="3">
        <v>9</v>
      </c>
      <c r="K1335" s="2">
        <v>681.75</v>
      </c>
    </row>
    <row r="1336" spans="1:11" x14ac:dyDescent="0.25">
      <c r="A1336" s="4">
        <v>42429</v>
      </c>
      <c r="B1336" s="3">
        <f>YEAR(SalesData[[#This Row],[Order Date]])</f>
        <v>2016</v>
      </c>
      <c r="C1336" s="3">
        <f>MONTH(SalesData[[#This Row],[Order Date]])</f>
        <v>2</v>
      </c>
      <c r="D1336" t="s">
        <v>43</v>
      </c>
      <c r="E1336" t="s">
        <v>37</v>
      </c>
      <c r="F1336" t="s">
        <v>15</v>
      </c>
      <c r="G1336" t="s">
        <v>38</v>
      </c>
      <c r="H1336" t="s">
        <v>39</v>
      </c>
      <c r="I1336" s="2">
        <v>3578.92</v>
      </c>
      <c r="J1336" s="3">
        <v>6</v>
      </c>
      <c r="K1336" s="2">
        <v>196.14</v>
      </c>
    </row>
    <row r="1337" spans="1:11" x14ac:dyDescent="0.25">
      <c r="A1337" s="4">
        <v>42429</v>
      </c>
      <c r="B1337" s="3">
        <f>YEAR(SalesData[[#This Row],[Order Date]])</f>
        <v>2016</v>
      </c>
      <c r="C1337" s="3">
        <f>MONTH(SalesData[[#This Row],[Order Date]])</f>
        <v>2</v>
      </c>
      <c r="D1337" t="s">
        <v>50</v>
      </c>
      <c r="E1337" t="s">
        <v>40</v>
      </c>
      <c r="F1337" t="s">
        <v>11</v>
      </c>
      <c r="G1337" t="s">
        <v>21</v>
      </c>
      <c r="H1337" t="s">
        <v>22</v>
      </c>
      <c r="I1337" s="2">
        <v>2212.61</v>
      </c>
      <c r="J1337" s="3">
        <v>10</v>
      </c>
      <c r="K1337" s="2">
        <v>271.94</v>
      </c>
    </row>
    <row r="1338" spans="1:11" x14ac:dyDescent="0.25">
      <c r="A1338" s="4">
        <v>42429</v>
      </c>
      <c r="B1338" s="3">
        <f>YEAR(SalesData[[#This Row],[Order Date]])</f>
        <v>2016</v>
      </c>
      <c r="C1338" s="3">
        <f>MONTH(SalesData[[#This Row],[Order Date]])</f>
        <v>2</v>
      </c>
      <c r="D1338" t="s">
        <v>9</v>
      </c>
      <c r="E1338" t="s">
        <v>37</v>
      </c>
      <c r="F1338" t="s">
        <v>15</v>
      </c>
      <c r="G1338" t="s">
        <v>45</v>
      </c>
      <c r="H1338" t="s">
        <v>46</v>
      </c>
      <c r="I1338" s="2">
        <v>4920.55</v>
      </c>
      <c r="J1338" s="3">
        <v>10</v>
      </c>
      <c r="K1338" s="2">
        <v>127.96</v>
      </c>
    </row>
    <row r="1339" spans="1:11" x14ac:dyDescent="0.25">
      <c r="A1339" s="4">
        <v>42429</v>
      </c>
      <c r="B1339" s="3">
        <f>YEAR(SalesData[[#This Row],[Order Date]])</f>
        <v>2016</v>
      </c>
      <c r="C1339" s="3">
        <f>MONTH(SalesData[[#This Row],[Order Date]])</f>
        <v>2</v>
      </c>
      <c r="D1339" t="s">
        <v>47</v>
      </c>
      <c r="E1339" t="s">
        <v>44</v>
      </c>
      <c r="F1339" t="s">
        <v>27</v>
      </c>
      <c r="G1339" t="s">
        <v>48</v>
      </c>
      <c r="H1339" t="s">
        <v>49</v>
      </c>
      <c r="I1339" s="2">
        <v>1630.04</v>
      </c>
      <c r="J1339" s="3">
        <v>10</v>
      </c>
      <c r="K1339" s="2">
        <v>16.79</v>
      </c>
    </row>
    <row r="1340" spans="1:11" x14ac:dyDescent="0.25">
      <c r="A1340" s="4">
        <v>42429</v>
      </c>
      <c r="B1340" s="3">
        <f>YEAR(SalesData[[#This Row],[Order Date]])</f>
        <v>2016</v>
      </c>
      <c r="C1340" s="3">
        <f>MONTH(SalesData[[#This Row],[Order Date]])</f>
        <v>2</v>
      </c>
      <c r="D1340" t="s">
        <v>50</v>
      </c>
      <c r="E1340" t="s">
        <v>52</v>
      </c>
      <c r="F1340" t="s">
        <v>27</v>
      </c>
      <c r="G1340" t="s">
        <v>48</v>
      </c>
      <c r="H1340" t="s">
        <v>49</v>
      </c>
      <c r="I1340" s="2">
        <v>1946.79</v>
      </c>
      <c r="J1340" s="3">
        <v>2</v>
      </c>
      <c r="K1340" s="2">
        <v>563.59</v>
      </c>
    </row>
    <row r="1341" spans="1:11" x14ac:dyDescent="0.25">
      <c r="A1341" s="4">
        <v>42430</v>
      </c>
      <c r="B1341" s="3">
        <f>YEAR(SalesData[[#This Row],[Order Date]])</f>
        <v>2016</v>
      </c>
      <c r="C1341" s="3">
        <f>MONTH(SalesData[[#This Row],[Order Date]])</f>
        <v>3</v>
      </c>
      <c r="D1341" t="s">
        <v>14</v>
      </c>
      <c r="E1341" t="s">
        <v>40</v>
      </c>
      <c r="F1341" t="s">
        <v>15</v>
      </c>
      <c r="G1341" t="s">
        <v>63</v>
      </c>
      <c r="H1341" t="s">
        <v>64</v>
      </c>
      <c r="I1341" s="2">
        <v>2918.95</v>
      </c>
      <c r="J1341" s="3">
        <v>6</v>
      </c>
      <c r="K1341" s="2">
        <v>172.74</v>
      </c>
    </row>
    <row r="1342" spans="1:11" x14ac:dyDescent="0.25">
      <c r="A1342" s="4">
        <v>42430</v>
      </c>
      <c r="B1342" s="3">
        <f>YEAR(SalesData[[#This Row],[Order Date]])</f>
        <v>2016</v>
      </c>
      <c r="C1342" s="3">
        <f>MONTH(SalesData[[#This Row],[Order Date]])</f>
        <v>3</v>
      </c>
      <c r="D1342" t="s">
        <v>43</v>
      </c>
      <c r="E1342" t="s">
        <v>34</v>
      </c>
      <c r="F1342" t="s">
        <v>15</v>
      </c>
      <c r="G1342" t="s">
        <v>38</v>
      </c>
      <c r="H1342" t="s">
        <v>56</v>
      </c>
      <c r="I1342" s="2">
        <v>3530.18</v>
      </c>
      <c r="J1342" s="3">
        <v>6</v>
      </c>
      <c r="K1342" s="2">
        <v>1050.94</v>
      </c>
    </row>
    <row r="1343" spans="1:11" x14ac:dyDescent="0.25">
      <c r="A1343" s="4">
        <v>42431</v>
      </c>
      <c r="B1343" s="3">
        <f>YEAR(SalesData[[#This Row],[Order Date]])</f>
        <v>2016</v>
      </c>
      <c r="C1343" s="3">
        <f>MONTH(SalesData[[#This Row],[Order Date]])</f>
        <v>3</v>
      </c>
      <c r="D1343" t="s">
        <v>20</v>
      </c>
      <c r="E1343" t="s">
        <v>37</v>
      </c>
      <c r="F1343" t="s">
        <v>11</v>
      </c>
      <c r="G1343" t="s">
        <v>21</v>
      </c>
      <c r="H1343" t="s">
        <v>67</v>
      </c>
      <c r="I1343" s="2">
        <v>1508.49</v>
      </c>
      <c r="J1343" s="3">
        <v>6</v>
      </c>
      <c r="K1343" s="2">
        <v>41.96</v>
      </c>
    </row>
    <row r="1344" spans="1:11" x14ac:dyDescent="0.25">
      <c r="A1344" s="4">
        <v>42431</v>
      </c>
      <c r="B1344" s="3">
        <f>YEAR(SalesData[[#This Row],[Order Date]])</f>
        <v>2016</v>
      </c>
      <c r="C1344" s="3">
        <f>MONTH(SalesData[[#This Row],[Order Date]])</f>
        <v>3</v>
      </c>
      <c r="D1344" t="s">
        <v>23</v>
      </c>
      <c r="E1344" t="s">
        <v>34</v>
      </c>
      <c r="F1344" t="s">
        <v>11</v>
      </c>
      <c r="G1344" t="s">
        <v>12</v>
      </c>
      <c r="H1344" t="s">
        <v>65</v>
      </c>
      <c r="I1344" s="2">
        <v>3272.65</v>
      </c>
      <c r="J1344" s="3">
        <v>1</v>
      </c>
      <c r="K1344" s="2">
        <v>472.05</v>
      </c>
    </row>
    <row r="1345" spans="1:11" x14ac:dyDescent="0.25">
      <c r="A1345" s="4">
        <v>42431</v>
      </c>
      <c r="B1345" s="3">
        <f>YEAR(SalesData[[#This Row],[Order Date]])</f>
        <v>2016</v>
      </c>
      <c r="C1345" s="3">
        <f>MONTH(SalesData[[#This Row],[Order Date]])</f>
        <v>3</v>
      </c>
      <c r="D1345" t="s">
        <v>14</v>
      </c>
      <c r="E1345" t="s">
        <v>19</v>
      </c>
      <c r="F1345" t="s">
        <v>11</v>
      </c>
      <c r="G1345" t="s">
        <v>24</v>
      </c>
      <c r="H1345" t="s">
        <v>25</v>
      </c>
      <c r="I1345" s="2">
        <v>3712.65</v>
      </c>
      <c r="J1345" s="3">
        <v>6</v>
      </c>
      <c r="K1345" s="2">
        <v>884.31</v>
      </c>
    </row>
    <row r="1346" spans="1:11" x14ac:dyDescent="0.25">
      <c r="A1346" s="4">
        <v>42433</v>
      </c>
      <c r="B1346" s="3">
        <f>YEAR(SalesData[[#This Row],[Order Date]])</f>
        <v>2016</v>
      </c>
      <c r="C1346" s="3">
        <f>MONTH(SalesData[[#This Row],[Order Date]])</f>
        <v>3</v>
      </c>
      <c r="D1346" t="s">
        <v>9</v>
      </c>
      <c r="E1346" t="s">
        <v>10</v>
      </c>
      <c r="F1346" t="s">
        <v>27</v>
      </c>
      <c r="G1346" t="s">
        <v>32</v>
      </c>
      <c r="H1346" t="s">
        <v>53</v>
      </c>
      <c r="I1346" s="2">
        <v>319.5</v>
      </c>
      <c r="J1346" s="3">
        <v>5</v>
      </c>
      <c r="K1346" s="2">
        <v>81.06</v>
      </c>
    </row>
    <row r="1347" spans="1:11" x14ac:dyDescent="0.25">
      <c r="A1347" s="4">
        <v>42433</v>
      </c>
      <c r="B1347" s="3">
        <f>YEAR(SalesData[[#This Row],[Order Date]])</f>
        <v>2016</v>
      </c>
      <c r="C1347" s="3">
        <f>MONTH(SalesData[[#This Row],[Order Date]])</f>
        <v>3</v>
      </c>
      <c r="D1347" t="s">
        <v>23</v>
      </c>
      <c r="E1347" t="s">
        <v>37</v>
      </c>
      <c r="F1347" t="s">
        <v>11</v>
      </c>
      <c r="G1347" t="s">
        <v>21</v>
      </c>
      <c r="H1347" t="s">
        <v>22</v>
      </c>
      <c r="I1347" s="2">
        <v>1463.59</v>
      </c>
      <c r="J1347" s="3">
        <v>3</v>
      </c>
      <c r="K1347" s="2">
        <v>132.06</v>
      </c>
    </row>
    <row r="1348" spans="1:11" x14ac:dyDescent="0.25">
      <c r="A1348" s="4">
        <v>42433</v>
      </c>
      <c r="B1348" s="3">
        <f>YEAR(SalesData[[#This Row],[Order Date]])</f>
        <v>2016</v>
      </c>
      <c r="C1348" s="3">
        <f>MONTH(SalesData[[#This Row],[Order Date]])</f>
        <v>3</v>
      </c>
      <c r="D1348" t="s">
        <v>20</v>
      </c>
      <c r="E1348" t="s">
        <v>19</v>
      </c>
      <c r="F1348" t="s">
        <v>27</v>
      </c>
      <c r="G1348" t="s">
        <v>48</v>
      </c>
      <c r="H1348" t="s">
        <v>49</v>
      </c>
      <c r="I1348" s="2">
        <v>2128.62</v>
      </c>
      <c r="J1348" s="3">
        <v>4</v>
      </c>
      <c r="K1348" s="2">
        <v>578.98</v>
      </c>
    </row>
    <row r="1349" spans="1:11" x14ac:dyDescent="0.25">
      <c r="A1349" s="4">
        <v>42433</v>
      </c>
      <c r="B1349" s="3">
        <f>YEAR(SalesData[[#This Row],[Order Date]])</f>
        <v>2016</v>
      </c>
      <c r="C1349" s="3">
        <f>MONTH(SalesData[[#This Row],[Order Date]])</f>
        <v>3</v>
      </c>
      <c r="D1349" t="s">
        <v>55</v>
      </c>
      <c r="E1349" t="s">
        <v>44</v>
      </c>
      <c r="F1349" t="s">
        <v>15</v>
      </c>
      <c r="G1349" t="s">
        <v>16</v>
      </c>
      <c r="H1349" t="s">
        <v>17</v>
      </c>
      <c r="I1349" s="2">
        <v>4924.3500000000004</v>
      </c>
      <c r="J1349" s="3">
        <v>9</v>
      </c>
      <c r="K1349" s="2">
        <v>157.21</v>
      </c>
    </row>
    <row r="1350" spans="1:11" x14ac:dyDescent="0.25">
      <c r="A1350" s="4">
        <v>42433</v>
      </c>
      <c r="B1350" s="3">
        <f>YEAR(SalesData[[#This Row],[Order Date]])</f>
        <v>2016</v>
      </c>
      <c r="C1350" s="3">
        <f>MONTH(SalesData[[#This Row],[Order Date]])</f>
        <v>3</v>
      </c>
      <c r="D1350" t="s">
        <v>20</v>
      </c>
      <c r="E1350" t="s">
        <v>37</v>
      </c>
      <c r="F1350" t="s">
        <v>15</v>
      </c>
      <c r="G1350" t="s">
        <v>38</v>
      </c>
      <c r="H1350" t="s">
        <v>39</v>
      </c>
      <c r="I1350" s="2">
        <v>1749.59</v>
      </c>
      <c r="J1350" s="3">
        <v>1</v>
      </c>
      <c r="K1350" s="2">
        <v>13.81</v>
      </c>
    </row>
    <row r="1351" spans="1:11" x14ac:dyDescent="0.25">
      <c r="A1351" s="4">
        <v>42433</v>
      </c>
      <c r="B1351" s="3">
        <f>YEAR(SalesData[[#This Row],[Order Date]])</f>
        <v>2016</v>
      </c>
      <c r="C1351" s="3">
        <f>MONTH(SalesData[[#This Row],[Order Date]])</f>
        <v>3</v>
      </c>
      <c r="D1351" t="s">
        <v>20</v>
      </c>
      <c r="E1351" t="s">
        <v>34</v>
      </c>
      <c r="F1351" t="s">
        <v>27</v>
      </c>
      <c r="G1351" t="s">
        <v>32</v>
      </c>
      <c r="H1351" t="s">
        <v>33</v>
      </c>
      <c r="I1351" s="2">
        <v>4720.74</v>
      </c>
      <c r="J1351" s="3">
        <v>10</v>
      </c>
      <c r="K1351" s="2">
        <v>623.98</v>
      </c>
    </row>
    <row r="1352" spans="1:11" x14ac:dyDescent="0.25">
      <c r="A1352" s="4">
        <v>42434</v>
      </c>
      <c r="B1352" s="3">
        <f>YEAR(SalesData[[#This Row],[Order Date]])</f>
        <v>2016</v>
      </c>
      <c r="C1352" s="3">
        <f>MONTH(SalesData[[#This Row],[Order Date]])</f>
        <v>3</v>
      </c>
      <c r="D1352" t="s">
        <v>20</v>
      </c>
      <c r="E1352" t="s">
        <v>37</v>
      </c>
      <c r="F1352" t="s">
        <v>15</v>
      </c>
      <c r="G1352" t="s">
        <v>38</v>
      </c>
      <c r="H1352" t="s">
        <v>56</v>
      </c>
      <c r="I1352" s="2">
        <v>3803.25</v>
      </c>
      <c r="J1352" s="3">
        <v>7</v>
      </c>
      <c r="K1352" s="2">
        <v>619</v>
      </c>
    </row>
    <row r="1353" spans="1:11" x14ac:dyDescent="0.25">
      <c r="A1353" s="4">
        <v>42436</v>
      </c>
      <c r="B1353" s="3">
        <f>YEAR(SalesData[[#This Row],[Order Date]])</f>
        <v>2016</v>
      </c>
      <c r="C1353" s="3">
        <f>MONTH(SalesData[[#This Row],[Order Date]])</f>
        <v>3</v>
      </c>
      <c r="D1353" t="s">
        <v>50</v>
      </c>
      <c r="E1353" t="s">
        <v>37</v>
      </c>
      <c r="F1353" t="s">
        <v>11</v>
      </c>
      <c r="G1353" t="s">
        <v>21</v>
      </c>
      <c r="H1353" t="s">
        <v>67</v>
      </c>
      <c r="I1353" s="2">
        <v>3891.93</v>
      </c>
      <c r="J1353" s="3">
        <v>6</v>
      </c>
      <c r="K1353" s="2">
        <v>48.81</v>
      </c>
    </row>
    <row r="1354" spans="1:11" x14ac:dyDescent="0.25">
      <c r="A1354" s="4">
        <v>42436</v>
      </c>
      <c r="B1354" s="3">
        <f>YEAR(SalesData[[#This Row],[Order Date]])</f>
        <v>2016</v>
      </c>
      <c r="C1354" s="3">
        <f>MONTH(SalesData[[#This Row],[Order Date]])</f>
        <v>3</v>
      </c>
      <c r="D1354" t="s">
        <v>23</v>
      </c>
      <c r="E1354" t="s">
        <v>19</v>
      </c>
      <c r="F1354" t="s">
        <v>15</v>
      </c>
      <c r="G1354" t="s">
        <v>63</v>
      </c>
      <c r="H1354" t="s">
        <v>66</v>
      </c>
      <c r="I1354" s="2">
        <v>2151.25</v>
      </c>
      <c r="J1354" s="3">
        <v>8</v>
      </c>
      <c r="K1354" s="2">
        <v>338.75</v>
      </c>
    </row>
    <row r="1355" spans="1:11" x14ac:dyDescent="0.25">
      <c r="A1355" s="4">
        <v>42436</v>
      </c>
      <c r="B1355" s="3">
        <f>YEAR(SalesData[[#This Row],[Order Date]])</f>
        <v>2016</v>
      </c>
      <c r="C1355" s="3">
        <f>MONTH(SalesData[[#This Row],[Order Date]])</f>
        <v>3</v>
      </c>
      <c r="D1355" t="s">
        <v>20</v>
      </c>
      <c r="E1355" t="s">
        <v>19</v>
      </c>
      <c r="F1355" t="s">
        <v>27</v>
      </c>
      <c r="G1355" t="s">
        <v>28</v>
      </c>
      <c r="H1355" t="s">
        <v>29</v>
      </c>
      <c r="I1355" s="2">
        <v>700.22</v>
      </c>
      <c r="J1355" s="3">
        <v>6</v>
      </c>
      <c r="K1355" s="2">
        <v>50.77</v>
      </c>
    </row>
    <row r="1356" spans="1:11" x14ac:dyDescent="0.25">
      <c r="A1356" s="4">
        <v>42438</v>
      </c>
      <c r="B1356" s="3">
        <f>YEAR(SalesData[[#This Row],[Order Date]])</f>
        <v>2016</v>
      </c>
      <c r="C1356" s="3">
        <f>MONTH(SalesData[[#This Row],[Order Date]])</f>
        <v>3</v>
      </c>
      <c r="D1356" t="s">
        <v>30</v>
      </c>
      <c r="E1356" t="s">
        <v>37</v>
      </c>
      <c r="F1356" t="s">
        <v>15</v>
      </c>
      <c r="G1356" t="s">
        <v>16</v>
      </c>
      <c r="H1356" t="s">
        <v>51</v>
      </c>
      <c r="I1356" s="2">
        <v>4632.42</v>
      </c>
      <c r="J1356" s="3">
        <v>3</v>
      </c>
      <c r="K1356" s="2">
        <v>158.66</v>
      </c>
    </row>
    <row r="1357" spans="1:11" x14ac:dyDescent="0.25">
      <c r="A1357" s="4">
        <v>42438</v>
      </c>
      <c r="B1357" s="3">
        <f>YEAR(SalesData[[#This Row],[Order Date]])</f>
        <v>2016</v>
      </c>
      <c r="C1357" s="3">
        <f>MONTH(SalesData[[#This Row],[Order Date]])</f>
        <v>3</v>
      </c>
      <c r="D1357" t="s">
        <v>62</v>
      </c>
      <c r="E1357" t="s">
        <v>37</v>
      </c>
      <c r="F1357" t="s">
        <v>11</v>
      </c>
      <c r="G1357" t="s">
        <v>24</v>
      </c>
      <c r="H1357" t="s">
        <v>54</v>
      </c>
      <c r="I1357" s="2">
        <v>118.12</v>
      </c>
      <c r="J1357" s="3">
        <v>5</v>
      </c>
      <c r="K1357" s="2">
        <v>16.350000000000001</v>
      </c>
    </row>
    <row r="1358" spans="1:11" x14ac:dyDescent="0.25">
      <c r="A1358" s="4">
        <v>42438</v>
      </c>
      <c r="B1358" s="3">
        <f>YEAR(SalesData[[#This Row],[Order Date]])</f>
        <v>2016</v>
      </c>
      <c r="C1358" s="3">
        <f>MONTH(SalesData[[#This Row],[Order Date]])</f>
        <v>3</v>
      </c>
      <c r="D1358" t="s">
        <v>23</v>
      </c>
      <c r="E1358" t="s">
        <v>19</v>
      </c>
      <c r="F1358" t="s">
        <v>27</v>
      </c>
      <c r="G1358" t="s">
        <v>32</v>
      </c>
      <c r="H1358" t="s">
        <v>53</v>
      </c>
      <c r="I1358" s="2">
        <v>3113.75</v>
      </c>
      <c r="J1358" s="3">
        <v>10</v>
      </c>
      <c r="K1358" s="2">
        <v>264.82</v>
      </c>
    </row>
    <row r="1359" spans="1:11" x14ac:dyDescent="0.25">
      <c r="A1359" s="4">
        <v>42438</v>
      </c>
      <c r="B1359" s="3">
        <f>YEAR(SalesData[[#This Row],[Order Date]])</f>
        <v>2016</v>
      </c>
      <c r="C1359" s="3">
        <f>MONTH(SalesData[[#This Row],[Order Date]])</f>
        <v>3</v>
      </c>
      <c r="D1359" t="s">
        <v>43</v>
      </c>
      <c r="E1359" t="s">
        <v>52</v>
      </c>
      <c r="F1359" t="s">
        <v>15</v>
      </c>
      <c r="G1359" t="s">
        <v>45</v>
      </c>
      <c r="H1359" t="s">
        <v>46</v>
      </c>
      <c r="I1359" s="2">
        <v>774.03</v>
      </c>
      <c r="J1359" s="3">
        <v>3</v>
      </c>
      <c r="K1359" s="2">
        <v>161.38</v>
      </c>
    </row>
    <row r="1360" spans="1:11" x14ac:dyDescent="0.25">
      <c r="A1360" s="4">
        <v>42438</v>
      </c>
      <c r="B1360" s="3">
        <f>YEAR(SalesData[[#This Row],[Order Date]])</f>
        <v>2016</v>
      </c>
      <c r="C1360" s="3">
        <f>MONTH(SalesData[[#This Row],[Order Date]])</f>
        <v>3</v>
      </c>
      <c r="D1360" t="s">
        <v>9</v>
      </c>
      <c r="E1360" t="s">
        <v>31</v>
      </c>
      <c r="F1360" t="s">
        <v>15</v>
      </c>
      <c r="G1360" t="s">
        <v>38</v>
      </c>
      <c r="H1360" t="s">
        <v>56</v>
      </c>
      <c r="I1360" s="2">
        <v>2323.5300000000002</v>
      </c>
      <c r="J1360" s="3">
        <v>3</v>
      </c>
      <c r="K1360" s="2">
        <v>620.6</v>
      </c>
    </row>
    <row r="1361" spans="1:11" x14ac:dyDescent="0.25">
      <c r="A1361" s="4">
        <v>42439</v>
      </c>
      <c r="B1361" s="3">
        <f>YEAR(SalesData[[#This Row],[Order Date]])</f>
        <v>2016</v>
      </c>
      <c r="C1361" s="3">
        <f>MONTH(SalesData[[#This Row],[Order Date]])</f>
        <v>3</v>
      </c>
      <c r="D1361" t="s">
        <v>9</v>
      </c>
      <c r="E1361" t="s">
        <v>26</v>
      </c>
      <c r="F1361" t="s">
        <v>15</v>
      </c>
      <c r="G1361" t="s">
        <v>16</v>
      </c>
      <c r="H1361" t="s">
        <v>17</v>
      </c>
      <c r="I1361" s="2">
        <v>3742.42</v>
      </c>
      <c r="J1361" s="3">
        <v>6</v>
      </c>
      <c r="K1361" s="2">
        <v>571.86</v>
      </c>
    </row>
    <row r="1362" spans="1:11" x14ac:dyDescent="0.25">
      <c r="A1362" s="4">
        <v>42441</v>
      </c>
      <c r="B1362" s="3">
        <f>YEAR(SalesData[[#This Row],[Order Date]])</f>
        <v>2016</v>
      </c>
      <c r="C1362" s="3">
        <f>MONTH(SalesData[[#This Row],[Order Date]])</f>
        <v>3</v>
      </c>
      <c r="D1362" t="s">
        <v>9</v>
      </c>
      <c r="E1362" t="s">
        <v>40</v>
      </c>
      <c r="F1362" t="s">
        <v>15</v>
      </c>
      <c r="G1362" t="s">
        <v>45</v>
      </c>
      <c r="H1362" t="s">
        <v>59</v>
      </c>
      <c r="I1362" s="2">
        <v>1045.72</v>
      </c>
      <c r="J1362" s="3">
        <v>9</v>
      </c>
      <c r="K1362" s="2">
        <v>53.9</v>
      </c>
    </row>
    <row r="1363" spans="1:11" x14ac:dyDescent="0.25">
      <c r="A1363" s="4">
        <v>42441</v>
      </c>
      <c r="B1363" s="3">
        <f>YEAR(SalesData[[#This Row],[Order Date]])</f>
        <v>2016</v>
      </c>
      <c r="C1363" s="3">
        <f>MONTH(SalesData[[#This Row],[Order Date]])</f>
        <v>3</v>
      </c>
      <c r="D1363" t="s">
        <v>18</v>
      </c>
      <c r="E1363" t="s">
        <v>10</v>
      </c>
      <c r="F1363" t="s">
        <v>15</v>
      </c>
      <c r="G1363" t="s">
        <v>41</v>
      </c>
      <c r="H1363" t="s">
        <v>61</v>
      </c>
      <c r="I1363" s="2">
        <v>3005.45</v>
      </c>
      <c r="J1363" s="3">
        <v>10</v>
      </c>
      <c r="K1363" s="2">
        <v>130.15</v>
      </c>
    </row>
    <row r="1364" spans="1:11" x14ac:dyDescent="0.25">
      <c r="A1364" s="4">
        <v>42442</v>
      </c>
      <c r="B1364" s="3">
        <f>YEAR(SalesData[[#This Row],[Order Date]])</f>
        <v>2016</v>
      </c>
      <c r="C1364" s="3">
        <f>MONTH(SalesData[[#This Row],[Order Date]])</f>
        <v>3</v>
      </c>
      <c r="D1364" t="s">
        <v>30</v>
      </c>
      <c r="E1364" t="s">
        <v>40</v>
      </c>
      <c r="F1364" t="s">
        <v>11</v>
      </c>
      <c r="G1364" t="s">
        <v>35</v>
      </c>
      <c r="H1364" t="s">
        <v>71</v>
      </c>
      <c r="I1364" s="2">
        <v>4320.7299999999996</v>
      </c>
      <c r="J1364" s="3">
        <v>7</v>
      </c>
      <c r="K1364" s="2">
        <v>960.95</v>
      </c>
    </row>
    <row r="1365" spans="1:11" x14ac:dyDescent="0.25">
      <c r="A1365" s="4">
        <v>42442</v>
      </c>
      <c r="B1365" s="3">
        <f>YEAR(SalesData[[#This Row],[Order Date]])</f>
        <v>2016</v>
      </c>
      <c r="C1365" s="3">
        <f>MONTH(SalesData[[#This Row],[Order Date]])</f>
        <v>3</v>
      </c>
      <c r="D1365" t="s">
        <v>20</v>
      </c>
      <c r="E1365" t="s">
        <v>52</v>
      </c>
      <c r="F1365" t="s">
        <v>27</v>
      </c>
      <c r="G1365" t="s">
        <v>28</v>
      </c>
      <c r="H1365" t="s">
        <v>69</v>
      </c>
      <c r="I1365" s="2">
        <v>4176.51</v>
      </c>
      <c r="J1365" s="3">
        <v>2</v>
      </c>
      <c r="K1365" s="2">
        <v>766.1</v>
      </c>
    </row>
    <row r="1366" spans="1:11" x14ac:dyDescent="0.25">
      <c r="A1366" s="4">
        <v>42443</v>
      </c>
      <c r="B1366" s="3">
        <f>YEAR(SalesData[[#This Row],[Order Date]])</f>
        <v>2016</v>
      </c>
      <c r="C1366" s="3">
        <f>MONTH(SalesData[[#This Row],[Order Date]])</f>
        <v>3</v>
      </c>
      <c r="D1366" t="s">
        <v>47</v>
      </c>
      <c r="E1366" t="s">
        <v>60</v>
      </c>
      <c r="F1366" t="s">
        <v>15</v>
      </c>
      <c r="G1366" t="s">
        <v>63</v>
      </c>
      <c r="H1366" t="s">
        <v>64</v>
      </c>
      <c r="I1366" s="2">
        <v>181.98</v>
      </c>
      <c r="J1366" s="3">
        <v>6</v>
      </c>
      <c r="K1366" s="2">
        <v>44.58</v>
      </c>
    </row>
    <row r="1367" spans="1:11" x14ac:dyDescent="0.25">
      <c r="A1367" s="4">
        <v>42443</v>
      </c>
      <c r="B1367" s="3">
        <f>YEAR(SalesData[[#This Row],[Order Date]])</f>
        <v>2016</v>
      </c>
      <c r="C1367" s="3">
        <f>MONTH(SalesData[[#This Row],[Order Date]])</f>
        <v>3</v>
      </c>
      <c r="D1367" t="s">
        <v>43</v>
      </c>
      <c r="E1367" t="s">
        <v>44</v>
      </c>
      <c r="F1367" t="s">
        <v>15</v>
      </c>
      <c r="G1367" t="s">
        <v>38</v>
      </c>
      <c r="H1367" t="s">
        <v>39</v>
      </c>
      <c r="I1367" s="2">
        <v>3619.5</v>
      </c>
      <c r="J1367" s="3">
        <v>8</v>
      </c>
      <c r="K1367" s="2">
        <v>963.53</v>
      </c>
    </row>
    <row r="1368" spans="1:11" x14ac:dyDescent="0.25">
      <c r="A1368" s="4">
        <v>42444</v>
      </c>
      <c r="B1368" s="3">
        <f>YEAR(SalesData[[#This Row],[Order Date]])</f>
        <v>2016</v>
      </c>
      <c r="C1368" s="3">
        <f>MONTH(SalesData[[#This Row],[Order Date]])</f>
        <v>3</v>
      </c>
      <c r="D1368" t="s">
        <v>20</v>
      </c>
      <c r="E1368" t="s">
        <v>31</v>
      </c>
      <c r="F1368" t="s">
        <v>27</v>
      </c>
      <c r="G1368" t="s">
        <v>28</v>
      </c>
      <c r="H1368" t="s">
        <v>58</v>
      </c>
      <c r="I1368" s="2">
        <v>4924.67</v>
      </c>
      <c r="J1368" s="3">
        <v>3</v>
      </c>
      <c r="K1368" s="2">
        <v>1365.12</v>
      </c>
    </row>
    <row r="1369" spans="1:11" x14ac:dyDescent="0.25">
      <c r="A1369" s="4">
        <v>42444</v>
      </c>
      <c r="B1369" s="3">
        <f>YEAR(SalesData[[#This Row],[Order Date]])</f>
        <v>2016</v>
      </c>
      <c r="C1369" s="3">
        <f>MONTH(SalesData[[#This Row],[Order Date]])</f>
        <v>3</v>
      </c>
      <c r="D1369" t="s">
        <v>68</v>
      </c>
      <c r="E1369" t="s">
        <v>37</v>
      </c>
      <c r="F1369" t="s">
        <v>27</v>
      </c>
      <c r="G1369" t="s">
        <v>28</v>
      </c>
      <c r="H1369" t="s">
        <v>69</v>
      </c>
      <c r="I1369" s="2">
        <v>4593.26</v>
      </c>
      <c r="J1369" s="3">
        <v>2</v>
      </c>
      <c r="K1369" s="2">
        <v>984.77</v>
      </c>
    </row>
    <row r="1370" spans="1:11" x14ac:dyDescent="0.25">
      <c r="A1370" s="4">
        <v>42444</v>
      </c>
      <c r="B1370" s="3">
        <f>YEAR(SalesData[[#This Row],[Order Date]])</f>
        <v>2016</v>
      </c>
      <c r="C1370" s="3">
        <f>MONTH(SalesData[[#This Row],[Order Date]])</f>
        <v>3</v>
      </c>
      <c r="D1370" t="s">
        <v>20</v>
      </c>
      <c r="E1370" t="s">
        <v>34</v>
      </c>
      <c r="F1370" t="s">
        <v>27</v>
      </c>
      <c r="G1370" t="s">
        <v>48</v>
      </c>
      <c r="H1370" t="s">
        <v>49</v>
      </c>
      <c r="I1370" s="2">
        <v>2088.9899999999998</v>
      </c>
      <c r="J1370" s="3">
        <v>4</v>
      </c>
      <c r="K1370" s="2">
        <v>165.28</v>
      </c>
    </row>
    <row r="1371" spans="1:11" x14ac:dyDescent="0.25">
      <c r="A1371" s="4">
        <v>42444</v>
      </c>
      <c r="B1371" s="3">
        <f>YEAR(SalesData[[#This Row],[Order Date]])</f>
        <v>2016</v>
      </c>
      <c r="C1371" s="3">
        <f>MONTH(SalesData[[#This Row],[Order Date]])</f>
        <v>3</v>
      </c>
      <c r="D1371" t="s">
        <v>9</v>
      </c>
      <c r="E1371" t="s">
        <v>37</v>
      </c>
      <c r="F1371" t="s">
        <v>27</v>
      </c>
      <c r="G1371" t="s">
        <v>48</v>
      </c>
      <c r="H1371" t="s">
        <v>49</v>
      </c>
      <c r="I1371" s="2">
        <v>2315.88</v>
      </c>
      <c r="J1371" s="3">
        <v>7</v>
      </c>
      <c r="K1371" s="2">
        <v>550.24</v>
      </c>
    </row>
    <row r="1372" spans="1:11" x14ac:dyDescent="0.25">
      <c r="A1372" s="4">
        <v>42444</v>
      </c>
      <c r="B1372" s="3">
        <f>YEAR(SalesData[[#This Row],[Order Date]])</f>
        <v>2016</v>
      </c>
      <c r="C1372" s="3">
        <f>MONTH(SalesData[[#This Row],[Order Date]])</f>
        <v>3</v>
      </c>
      <c r="D1372" t="s">
        <v>9</v>
      </c>
      <c r="E1372" t="s">
        <v>60</v>
      </c>
      <c r="F1372" t="s">
        <v>27</v>
      </c>
      <c r="G1372" t="s">
        <v>28</v>
      </c>
      <c r="H1372" t="s">
        <v>69</v>
      </c>
      <c r="I1372" s="2">
        <v>3467.54</v>
      </c>
      <c r="J1372" s="3">
        <v>7</v>
      </c>
      <c r="K1372" s="2">
        <v>88.65</v>
      </c>
    </row>
    <row r="1373" spans="1:11" x14ac:dyDescent="0.25">
      <c r="A1373" s="4">
        <v>42445</v>
      </c>
      <c r="B1373" s="3">
        <f>YEAR(SalesData[[#This Row],[Order Date]])</f>
        <v>2016</v>
      </c>
      <c r="C1373" s="3">
        <f>MONTH(SalesData[[#This Row],[Order Date]])</f>
        <v>3</v>
      </c>
      <c r="D1373" t="s">
        <v>68</v>
      </c>
      <c r="E1373" t="s">
        <v>37</v>
      </c>
      <c r="F1373" t="s">
        <v>27</v>
      </c>
      <c r="G1373" t="s">
        <v>28</v>
      </c>
      <c r="H1373" t="s">
        <v>69</v>
      </c>
      <c r="I1373" s="2">
        <v>1041.0999999999999</v>
      </c>
      <c r="J1373" s="3">
        <v>1</v>
      </c>
      <c r="K1373" s="2">
        <v>94.52</v>
      </c>
    </row>
    <row r="1374" spans="1:11" x14ac:dyDescent="0.25">
      <c r="A1374" s="4">
        <v>42446</v>
      </c>
      <c r="B1374" s="3">
        <f>YEAR(SalesData[[#This Row],[Order Date]])</f>
        <v>2016</v>
      </c>
      <c r="C1374" s="3">
        <f>MONTH(SalesData[[#This Row],[Order Date]])</f>
        <v>3</v>
      </c>
      <c r="D1374" t="s">
        <v>68</v>
      </c>
      <c r="E1374" t="s">
        <v>37</v>
      </c>
      <c r="F1374" t="s">
        <v>15</v>
      </c>
      <c r="G1374" t="s">
        <v>16</v>
      </c>
      <c r="H1374" t="s">
        <v>51</v>
      </c>
      <c r="I1374" s="2">
        <v>2909.47</v>
      </c>
      <c r="J1374" s="3">
        <v>5</v>
      </c>
      <c r="K1374" s="2">
        <v>555.03</v>
      </c>
    </row>
    <row r="1375" spans="1:11" x14ac:dyDescent="0.25">
      <c r="A1375" s="4">
        <v>42448</v>
      </c>
      <c r="B1375" s="3">
        <f>YEAR(SalesData[[#This Row],[Order Date]])</f>
        <v>2016</v>
      </c>
      <c r="C1375" s="3">
        <f>MONTH(SalesData[[#This Row],[Order Date]])</f>
        <v>3</v>
      </c>
      <c r="D1375" t="s">
        <v>43</v>
      </c>
      <c r="E1375" t="s">
        <v>52</v>
      </c>
      <c r="F1375" t="s">
        <v>27</v>
      </c>
      <c r="G1375" t="s">
        <v>48</v>
      </c>
      <c r="H1375" t="s">
        <v>49</v>
      </c>
      <c r="I1375" s="2">
        <v>3202.19</v>
      </c>
      <c r="J1375" s="3">
        <v>10</v>
      </c>
      <c r="K1375" s="2">
        <v>352.43</v>
      </c>
    </row>
    <row r="1376" spans="1:11" x14ac:dyDescent="0.25">
      <c r="A1376" s="4">
        <v>42448</v>
      </c>
      <c r="B1376" s="3">
        <f>YEAR(SalesData[[#This Row],[Order Date]])</f>
        <v>2016</v>
      </c>
      <c r="C1376" s="3">
        <f>MONTH(SalesData[[#This Row],[Order Date]])</f>
        <v>3</v>
      </c>
      <c r="D1376" t="s">
        <v>43</v>
      </c>
      <c r="E1376" t="s">
        <v>37</v>
      </c>
      <c r="F1376" t="s">
        <v>15</v>
      </c>
      <c r="G1376" t="s">
        <v>16</v>
      </c>
      <c r="H1376" t="s">
        <v>51</v>
      </c>
      <c r="I1376" s="2">
        <v>2526.87</v>
      </c>
      <c r="J1376" s="3">
        <v>6</v>
      </c>
      <c r="K1376" s="2">
        <v>548.80999999999995</v>
      </c>
    </row>
    <row r="1377" spans="1:11" x14ac:dyDescent="0.25">
      <c r="A1377" s="4">
        <v>42448</v>
      </c>
      <c r="B1377" s="3">
        <f>YEAR(SalesData[[#This Row],[Order Date]])</f>
        <v>2016</v>
      </c>
      <c r="C1377" s="3">
        <f>MONTH(SalesData[[#This Row],[Order Date]])</f>
        <v>3</v>
      </c>
      <c r="D1377" t="s">
        <v>55</v>
      </c>
      <c r="E1377" t="s">
        <v>26</v>
      </c>
      <c r="F1377" t="s">
        <v>11</v>
      </c>
      <c r="G1377" t="s">
        <v>35</v>
      </c>
      <c r="H1377" t="s">
        <v>71</v>
      </c>
      <c r="I1377" s="2">
        <v>888.49</v>
      </c>
      <c r="J1377" s="3">
        <v>5</v>
      </c>
      <c r="K1377" s="2">
        <v>33.369999999999997</v>
      </c>
    </row>
    <row r="1378" spans="1:11" x14ac:dyDescent="0.25">
      <c r="A1378" s="4">
        <v>42448</v>
      </c>
      <c r="B1378" s="3">
        <f>YEAR(SalesData[[#This Row],[Order Date]])</f>
        <v>2016</v>
      </c>
      <c r="C1378" s="3">
        <f>MONTH(SalesData[[#This Row],[Order Date]])</f>
        <v>3</v>
      </c>
      <c r="D1378" t="s">
        <v>14</v>
      </c>
      <c r="E1378" t="s">
        <v>44</v>
      </c>
      <c r="F1378" t="s">
        <v>11</v>
      </c>
      <c r="G1378" t="s">
        <v>12</v>
      </c>
      <c r="H1378" t="s">
        <v>65</v>
      </c>
      <c r="I1378" s="2">
        <v>3540.73</v>
      </c>
      <c r="J1378" s="3">
        <v>6</v>
      </c>
      <c r="K1378" s="2">
        <v>283.8</v>
      </c>
    </row>
    <row r="1379" spans="1:11" x14ac:dyDescent="0.25">
      <c r="A1379" s="4">
        <v>42449</v>
      </c>
      <c r="B1379" s="3">
        <f>YEAR(SalesData[[#This Row],[Order Date]])</f>
        <v>2016</v>
      </c>
      <c r="C1379" s="3">
        <f>MONTH(SalesData[[#This Row],[Order Date]])</f>
        <v>3</v>
      </c>
      <c r="D1379" t="s">
        <v>30</v>
      </c>
      <c r="E1379" t="s">
        <v>31</v>
      </c>
      <c r="F1379" t="s">
        <v>11</v>
      </c>
      <c r="G1379" t="s">
        <v>24</v>
      </c>
      <c r="H1379" t="s">
        <v>54</v>
      </c>
      <c r="I1379" s="2">
        <v>4842.09</v>
      </c>
      <c r="J1379" s="3">
        <v>1</v>
      </c>
      <c r="K1379" s="2">
        <v>1269.21</v>
      </c>
    </row>
    <row r="1380" spans="1:11" x14ac:dyDescent="0.25">
      <c r="A1380" s="4">
        <v>42450</v>
      </c>
      <c r="B1380" s="3">
        <f>YEAR(SalesData[[#This Row],[Order Date]])</f>
        <v>2016</v>
      </c>
      <c r="C1380" s="3">
        <f>MONTH(SalesData[[#This Row],[Order Date]])</f>
        <v>3</v>
      </c>
      <c r="D1380" t="s">
        <v>50</v>
      </c>
      <c r="E1380" t="s">
        <v>10</v>
      </c>
      <c r="F1380" t="s">
        <v>27</v>
      </c>
      <c r="G1380" t="s">
        <v>28</v>
      </c>
      <c r="H1380" t="s">
        <v>69</v>
      </c>
      <c r="I1380" s="2">
        <v>370.38</v>
      </c>
      <c r="J1380" s="3">
        <v>9</v>
      </c>
      <c r="K1380" s="2">
        <v>58.08</v>
      </c>
    </row>
    <row r="1381" spans="1:11" x14ac:dyDescent="0.25">
      <c r="A1381" s="4">
        <v>42450</v>
      </c>
      <c r="B1381" s="3">
        <f>YEAR(SalesData[[#This Row],[Order Date]])</f>
        <v>2016</v>
      </c>
      <c r="C1381" s="3">
        <f>MONTH(SalesData[[#This Row],[Order Date]])</f>
        <v>3</v>
      </c>
      <c r="D1381" t="s">
        <v>18</v>
      </c>
      <c r="E1381" t="s">
        <v>26</v>
      </c>
      <c r="F1381" t="s">
        <v>27</v>
      </c>
      <c r="G1381" t="s">
        <v>32</v>
      </c>
      <c r="H1381" t="s">
        <v>53</v>
      </c>
      <c r="I1381" s="2">
        <v>4526.6000000000004</v>
      </c>
      <c r="J1381" s="3">
        <v>6</v>
      </c>
      <c r="K1381" s="2">
        <v>269.69</v>
      </c>
    </row>
    <row r="1382" spans="1:11" x14ac:dyDescent="0.25">
      <c r="A1382" s="4">
        <v>42452</v>
      </c>
      <c r="B1382" s="3">
        <f>YEAR(SalesData[[#This Row],[Order Date]])</f>
        <v>2016</v>
      </c>
      <c r="C1382" s="3">
        <f>MONTH(SalesData[[#This Row],[Order Date]])</f>
        <v>3</v>
      </c>
      <c r="D1382" t="s">
        <v>50</v>
      </c>
      <c r="E1382" t="s">
        <v>19</v>
      </c>
      <c r="F1382" t="s">
        <v>15</v>
      </c>
      <c r="G1382" t="s">
        <v>16</v>
      </c>
      <c r="H1382" t="s">
        <v>17</v>
      </c>
      <c r="I1382" s="2">
        <v>316.08</v>
      </c>
      <c r="J1382" s="3">
        <v>7</v>
      </c>
      <c r="K1382" s="2">
        <v>37.04</v>
      </c>
    </row>
    <row r="1383" spans="1:11" x14ac:dyDescent="0.25">
      <c r="A1383" s="4">
        <v>42452</v>
      </c>
      <c r="B1383" s="3">
        <f>YEAR(SalesData[[#This Row],[Order Date]])</f>
        <v>2016</v>
      </c>
      <c r="C1383" s="3">
        <f>MONTH(SalesData[[#This Row],[Order Date]])</f>
        <v>3</v>
      </c>
      <c r="D1383" t="s">
        <v>55</v>
      </c>
      <c r="E1383" t="s">
        <v>52</v>
      </c>
      <c r="F1383" t="s">
        <v>11</v>
      </c>
      <c r="G1383" t="s">
        <v>12</v>
      </c>
      <c r="H1383" t="s">
        <v>13</v>
      </c>
      <c r="I1383" s="2">
        <v>2655.15</v>
      </c>
      <c r="J1383" s="3">
        <v>2</v>
      </c>
      <c r="K1383" s="2">
        <v>566.51</v>
      </c>
    </row>
    <row r="1384" spans="1:11" x14ac:dyDescent="0.25">
      <c r="A1384" s="4">
        <v>42453</v>
      </c>
      <c r="B1384" s="3">
        <f>YEAR(SalesData[[#This Row],[Order Date]])</f>
        <v>2016</v>
      </c>
      <c r="C1384" s="3">
        <f>MONTH(SalesData[[#This Row],[Order Date]])</f>
        <v>3</v>
      </c>
      <c r="D1384" t="s">
        <v>14</v>
      </c>
      <c r="E1384" t="s">
        <v>34</v>
      </c>
      <c r="F1384" t="s">
        <v>27</v>
      </c>
      <c r="G1384" t="s">
        <v>32</v>
      </c>
      <c r="H1384" t="s">
        <v>53</v>
      </c>
      <c r="I1384" s="2">
        <v>1501.79</v>
      </c>
      <c r="J1384" s="3">
        <v>3</v>
      </c>
      <c r="K1384" s="2">
        <v>194.24</v>
      </c>
    </row>
    <row r="1385" spans="1:11" x14ac:dyDescent="0.25">
      <c r="A1385" s="4">
        <v>42453</v>
      </c>
      <c r="B1385" s="3">
        <f>YEAR(SalesData[[#This Row],[Order Date]])</f>
        <v>2016</v>
      </c>
      <c r="C1385" s="3">
        <f>MONTH(SalesData[[#This Row],[Order Date]])</f>
        <v>3</v>
      </c>
      <c r="D1385" t="s">
        <v>68</v>
      </c>
      <c r="E1385" t="s">
        <v>37</v>
      </c>
      <c r="F1385" t="s">
        <v>15</v>
      </c>
      <c r="G1385" t="s">
        <v>45</v>
      </c>
      <c r="H1385" t="s">
        <v>59</v>
      </c>
      <c r="I1385" s="2">
        <v>3124.52</v>
      </c>
      <c r="J1385" s="3">
        <v>10</v>
      </c>
      <c r="K1385" s="2">
        <v>344.93</v>
      </c>
    </row>
    <row r="1386" spans="1:11" x14ac:dyDescent="0.25">
      <c r="A1386" s="4">
        <v>42453</v>
      </c>
      <c r="B1386" s="3">
        <f>YEAR(SalesData[[#This Row],[Order Date]])</f>
        <v>2016</v>
      </c>
      <c r="C1386" s="3">
        <f>MONTH(SalesData[[#This Row],[Order Date]])</f>
        <v>3</v>
      </c>
      <c r="D1386" t="s">
        <v>68</v>
      </c>
      <c r="E1386" t="s">
        <v>31</v>
      </c>
      <c r="F1386" t="s">
        <v>11</v>
      </c>
      <c r="G1386" t="s">
        <v>21</v>
      </c>
      <c r="H1386" t="s">
        <v>22</v>
      </c>
      <c r="I1386" s="2">
        <v>3118.49</v>
      </c>
      <c r="J1386" s="3">
        <v>6</v>
      </c>
      <c r="K1386" s="2">
        <v>432.18</v>
      </c>
    </row>
    <row r="1387" spans="1:11" x14ac:dyDescent="0.25">
      <c r="A1387" s="4">
        <v>42454</v>
      </c>
      <c r="B1387" s="3">
        <f>YEAR(SalesData[[#This Row],[Order Date]])</f>
        <v>2016</v>
      </c>
      <c r="C1387" s="3">
        <f>MONTH(SalesData[[#This Row],[Order Date]])</f>
        <v>3</v>
      </c>
      <c r="D1387" t="s">
        <v>23</v>
      </c>
      <c r="E1387" t="s">
        <v>34</v>
      </c>
      <c r="F1387" t="s">
        <v>11</v>
      </c>
      <c r="G1387" t="s">
        <v>12</v>
      </c>
      <c r="H1387" t="s">
        <v>13</v>
      </c>
      <c r="I1387" s="2">
        <v>2168.65</v>
      </c>
      <c r="J1387" s="3">
        <v>8</v>
      </c>
      <c r="K1387" s="2">
        <v>263.99</v>
      </c>
    </row>
    <row r="1388" spans="1:11" x14ac:dyDescent="0.25">
      <c r="A1388" s="4">
        <v>42455</v>
      </c>
      <c r="B1388" s="3">
        <f>YEAR(SalesData[[#This Row],[Order Date]])</f>
        <v>2016</v>
      </c>
      <c r="C1388" s="3">
        <f>MONTH(SalesData[[#This Row],[Order Date]])</f>
        <v>3</v>
      </c>
      <c r="D1388" t="s">
        <v>43</v>
      </c>
      <c r="E1388" t="s">
        <v>31</v>
      </c>
      <c r="F1388" t="s">
        <v>27</v>
      </c>
      <c r="G1388" t="s">
        <v>32</v>
      </c>
      <c r="H1388" t="s">
        <v>33</v>
      </c>
      <c r="I1388" s="2">
        <v>2700.7</v>
      </c>
      <c r="J1388" s="3">
        <v>10</v>
      </c>
      <c r="K1388" s="2">
        <v>439.55</v>
      </c>
    </row>
    <row r="1389" spans="1:11" x14ac:dyDescent="0.25">
      <c r="A1389" s="4">
        <v>42456</v>
      </c>
      <c r="B1389" s="3">
        <f>YEAR(SalesData[[#This Row],[Order Date]])</f>
        <v>2016</v>
      </c>
      <c r="C1389" s="3">
        <f>MONTH(SalesData[[#This Row],[Order Date]])</f>
        <v>3</v>
      </c>
      <c r="D1389" t="s">
        <v>9</v>
      </c>
      <c r="E1389" t="s">
        <v>44</v>
      </c>
      <c r="F1389" t="s">
        <v>27</v>
      </c>
      <c r="G1389" t="s">
        <v>48</v>
      </c>
      <c r="H1389" t="s">
        <v>49</v>
      </c>
      <c r="I1389" s="2">
        <v>2603.9</v>
      </c>
      <c r="J1389" s="3">
        <v>1</v>
      </c>
      <c r="K1389" s="2">
        <v>531.80999999999995</v>
      </c>
    </row>
    <row r="1390" spans="1:11" x14ac:dyDescent="0.25">
      <c r="A1390" s="4">
        <v>42456</v>
      </c>
      <c r="B1390" s="3">
        <f>YEAR(SalesData[[#This Row],[Order Date]])</f>
        <v>2016</v>
      </c>
      <c r="C1390" s="3">
        <f>MONTH(SalesData[[#This Row],[Order Date]])</f>
        <v>3</v>
      </c>
      <c r="D1390" t="s">
        <v>50</v>
      </c>
      <c r="E1390" t="s">
        <v>34</v>
      </c>
      <c r="F1390" t="s">
        <v>27</v>
      </c>
      <c r="G1390" t="s">
        <v>48</v>
      </c>
      <c r="H1390" t="s">
        <v>49</v>
      </c>
      <c r="I1390" s="2">
        <v>2743.99</v>
      </c>
      <c r="J1390" s="3">
        <v>8</v>
      </c>
      <c r="K1390" s="2">
        <v>102.02</v>
      </c>
    </row>
    <row r="1391" spans="1:11" x14ac:dyDescent="0.25">
      <c r="A1391" s="4">
        <v>42458</v>
      </c>
      <c r="B1391" s="3">
        <f>YEAR(SalesData[[#This Row],[Order Date]])</f>
        <v>2016</v>
      </c>
      <c r="C1391" s="3">
        <f>MONTH(SalesData[[#This Row],[Order Date]])</f>
        <v>3</v>
      </c>
      <c r="D1391" t="s">
        <v>20</v>
      </c>
      <c r="E1391" t="s">
        <v>19</v>
      </c>
      <c r="F1391" t="s">
        <v>15</v>
      </c>
      <c r="G1391" t="s">
        <v>16</v>
      </c>
      <c r="H1391" t="s">
        <v>17</v>
      </c>
      <c r="I1391" s="2">
        <v>2841.67</v>
      </c>
      <c r="J1391" s="3">
        <v>10</v>
      </c>
      <c r="K1391" s="2">
        <v>282.49</v>
      </c>
    </row>
    <row r="1392" spans="1:11" x14ac:dyDescent="0.25">
      <c r="A1392" s="4">
        <v>42459</v>
      </c>
      <c r="B1392" s="3">
        <f>YEAR(SalesData[[#This Row],[Order Date]])</f>
        <v>2016</v>
      </c>
      <c r="C1392" s="3">
        <f>MONTH(SalesData[[#This Row],[Order Date]])</f>
        <v>3</v>
      </c>
      <c r="D1392" t="s">
        <v>23</v>
      </c>
      <c r="E1392" t="s">
        <v>37</v>
      </c>
      <c r="F1392" t="s">
        <v>15</v>
      </c>
      <c r="G1392" t="s">
        <v>16</v>
      </c>
      <c r="H1392" t="s">
        <v>51</v>
      </c>
      <c r="I1392" s="2">
        <v>2422.64</v>
      </c>
      <c r="J1392" s="3">
        <v>10</v>
      </c>
      <c r="K1392" s="2">
        <v>719.65</v>
      </c>
    </row>
    <row r="1393" spans="1:11" x14ac:dyDescent="0.25">
      <c r="A1393" s="4">
        <v>42461</v>
      </c>
      <c r="B1393" s="3">
        <f>YEAR(SalesData[[#This Row],[Order Date]])</f>
        <v>2016</v>
      </c>
      <c r="C1393" s="3">
        <f>MONTH(SalesData[[#This Row],[Order Date]])</f>
        <v>4</v>
      </c>
      <c r="D1393" t="s">
        <v>9</v>
      </c>
      <c r="E1393" t="s">
        <v>60</v>
      </c>
      <c r="F1393" t="s">
        <v>15</v>
      </c>
      <c r="G1393" t="s">
        <v>45</v>
      </c>
      <c r="H1393" t="s">
        <v>46</v>
      </c>
      <c r="I1393" s="2">
        <v>1041.8900000000001</v>
      </c>
      <c r="J1393" s="3">
        <v>9</v>
      </c>
      <c r="K1393" s="2">
        <v>87.93</v>
      </c>
    </row>
    <row r="1394" spans="1:11" x14ac:dyDescent="0.25">
      <c r="A1394" s="4">
        <v>42461</v>
      </c>
      <c r="B1394" s="3">
        <f>YEAR(SalesData[[#This Row],[Order Date]])</f>
        <v>2016</v>
      </c>
      <c r="C1394" s="3">
        <f>MONTH(SalesData[[#This Row],[Order Date]])</f>
        <v>4</v>
      </c>
      <c r="D1394" t="s">
        <v>14</v>
      </c>
      <c r="E1394" t="s">
        <v>40</v>
      </c>
      <c r="F1394" t="s">
        <v>15</v>
      </c>
      <c r="G1394" t="s">
        <v>63</v>
      </c>
      <c r="H1394" t="s">
        <v>66</v>
      </c>
      <c r="I1394" s="2">
        <v>1129.55</v>
      </c>
      <c r="J1394" s="3">
        <v>1</v>
      </c>
      <c r="K1394" s="2">
        <v>260.49</v>
      </c>
    </row>
    <row r="1395" spans="1:11" x14ac:dyDescent="0.25">
      <c r="A1395" s="4">
        <v>42461</v>
      </c>
      <c r="B1395" s="3">
        <f>YEAR(SalesData[[#This Row],[Order Date]])</f>
        <v>2016</v>
      </c>
      <c r="C1395" s="3">
        <f>MONTH(SalesData[[#This Row],[Order Date]])</f>
        <v>4</v>
      </c>
      <c r="D1395" t="s">
        <v>43</v>
      </c>
      <c r="E1395" t="s">
        <v>26</v>
      </c>
      <c r="F1395" t="s">
        <v>27</v>
      </c>
      <c r="G1395" t="s">
        <v>32</v>
      </c>
      <c r="H1395" t="s">
        <v>33</v>
      </c>
      <c r="I1395" s="2">
        <v>883.08</v>
      </c>
      <c r="J1395" s="3">
        <v>3</v>
      </c>
      <c r="K1395" s="2">
        <v>71.41</v>
      </c>
    </row>
    <row r="1396" spans="1:11" x14ac:dyDescent="0.25">
      <c r="A1396" s="4">
        <v>42461</v>
      </c>
      <c r="B1396" s="3">
        <f>YEAR(SalesData[[#This Row],[Order Date]])</f>
        <v>2016</v>
      </c>
      <c r="C1396" s="3">
        <f>MONTH(SalesData[[#This Row],[Order Date]])</f>
        <v>4</v>
      </c>
      <c r="D1396" t="s">
        <v>43</v>
      </c>
      <c r="E1396" t="s">
        <v>10</v>
      </c>
      <c r="F1396" t="s">
        <v>27</v>
      </c>
      <c r="G1396" t="s">
        <v>28</v>
      </c>
      <c r="H1396" t="s">
        <v>69</v>
      </c>
      <c r="I1396" s="2">
        <v>3948.67</v>
      </c>
      <c r="J1396" s="3">
        <v>9</v>
      </c>
      <c r="K1396" s="2">
        <v>1056.1500000000001</v>
      </c>
    </row>
    <row r="1397" spans="1:11" x14ac:dyDescent="0.25">
      <c r="A1397" s="4">
        <v>42463</v>
      </c>
      <c r="B1397" s="3">
        <f>YEAR(SalesData[[#This Row],[Order Date]])</f>
        <v>2016</v>
      </c>
      <c r="C1397" s="3">
        <f>MONTH(SalesData[[#This Row],[Order Date]])</f>
        <v>4</v>
      </c>
      <c r="D1397" t="s">
        <v>30</v>
      </c>
      <c r="E1397" t="s">
        <v>26</v>
      </c>
      <c r="F1397" t="s">
        <v>11</v>
      </c>
      <c r="G1397" t="s">
        <v>21</v>
      </c>
      <c r="H1397" t="s">
        <v>22</v>
      </c>
      <c r="I1397" s="2">
        <v>4740.8</v>
      </c>
      <c r="J1397" s="3">
        <v>2</v>
      </c>
      <c r="K1397" s="2">
        <v>320.79000000000002</v>
      </c>
    </row>
    <row r="1398" spans="1:11" x14ac:dyDescent="0.25">
      <c r="A1398" s="4">
        <v>42465</v>
      </c>
      <c r="B1398" s="3">
        <f>YEAR(SalesData[[#This Row],[Order Date]])</f>
        <v>2016</v>
      </c>
      <c r="C1398" s="3">
        <f>MONTH(SalesData[[#This Row],[Order Date]])</f>
        <v>4</v>
      </c>
      <c r="D1398" t="s">
        <v>55</v>
      </c>
      <c r="E1398" t="s">
        <v>19</v>
      </c>
      <c r="F1398" t="s">
        <v>27</v>
      </c>
      <c r="G1398" t="s">
        <v>28</v>
      </c>
      <c r="H1398" t="s">
        <v>69</v>
      </c>
      <c r="I1398" s="2">
        <v>2433.25</v>
      </c>
      <c r="J1398" s="3">
        <v>6</v>
      </c>
      <c r="K1398" s="2">
        <v>23.9</v>
      </c>
    </row>
    <row r="1399" spans="1:11" x14ac:dyDescent="0.25">
      <c r="A1399" s="4">
        <v>42465</v>
      </c>
      <c r="B1399" s="3">
        <f>YEAR(SalesData[[#This Row],[Order Date]])</f>
        <v>2016</v>
      </c>
      <c r="C1399" s="3">
        <f>MONTH(SalesData[[#This Row],[Order Date]])</f>
        <v>4</v>
      </c>
      <c r="D1399" t="s">
        <v>43</v>
      </c>
      <c r="E1399" t="s">
        <v>44</v>
      </c>
      <c r="F1399" t="s">
        <v>15</v>
      </c>
      <c r="G1399" t="s">
        <v>38</v>
      </c>
      <c r="H1399" t="s">
        <v>56</v>
      </c>
      <c r="I1399" s="2">
        <v>4361.21</v>
      </c>
      <c r="J1399" s="3">
        <v>3</v>
      </c>
      <c r="K1399" s="2">
        <v>774.12</v>
      </c>
    </row>
    <row r="1400" spans="1:11" x14ac:dyDescent="0.25">
      <c r="A1400" s="4">
        <v>42466</v>
      </c>
      <c r="B1400" s="3">
        <f>YEAR(SalesData[[#This Row],[Order Date]])</f>
        <v>2016</v>
      </c>
      <c r="C1400" s="3">
        <f>MONTH(SalesData[[#This Row],[Order Date]])</f>
        <v>4</v>
      </c>
      <c r="D1400" t="s">
        <v>18</v>
      </c>
      <c r="E1400" t="s">
        <v>31</v>
      </c>
      <c r="F1400" t="s">
        <v>15</v>
      </c>
      <c r="G1400" t="s">
        <v>16</v>
      </c>
      <c r="H1400" t="s">
        <v>51</v>
      </c>
      <c r="I1400" s="2">
        <v>2687.65</v>
      </c>
      <c r="J1400" s="3">
        <v>3</v>
      </c>
      <c r="K1400" s="2">
        <v>394.58</v>
      </c>
    </row>
    <row r="1401" spans="1:11" x14ac:dyDescent="0.25">
      <c r="A1401" s="4">
        <v>42466</v>
      </c>
      <c r="B1401" s="3">
        <f>YEAR(SalesData[[#This Row],[Order Date]])</f>
        <v>2016</v>
      </c>
      <c r="C1401" s="3">
        <f>MONTH(SalesData[[#This Row],[Order Date]])</f>
        <v>4</v>
      </c>
      <c r="D1401" t="s">
        <v>18</v>
      </c>
      <c r="E1401" t="s">
        <v>37</v>
      </c>
      <c r="F1401" t="s">
        <v>15</v>
      </c>
      <c r="G1401" t="s">
        <v>38</v>
      </c>
      <c r="H1401" t="s">
        <v>56</v>
      </c>
      <c r="I1401" s="2">
        <v>2525.08</v>
      </c>
      <c r="J1401" s="3">
        <v>4</v>
      </c>
      <c r="K1401" s="2">
        <v>650.83000000000004</v>
      </c>
    </row>
    <row r="1402" spans="1:11" x14ac:dyDescent="0.25">
      <c r="A1402" s="4">
        <v>42466</v>
      </c>
      <c r="B1402" s="3">
        <f>YEAR(SalesData[[#This Row],[Order Date]])</f>
        <v>2016</v>
      </c>
      <c r="C1402" s="3">
        <f>MONTH(SalesData[[#This Row],[Order Date]])</f>
        <v>4</v>
      </c>
      <c r="D1402" t="s">
        <v>18</v>
      </c>
      <c r="E1402" t="s">
        <v>34</v>
      </c>
      <c r="F1402" t="s">
        <v>11</v>
      </c>
      <c r="G1402" t="s">
        <v>12</v>
      </c>
      <c r="H1402" t="s">
        <v>65</v>
      </c>
      <c r="I1402" s="2">
        <v>1720.38</v>
      </c>
      <c r="J1402" s="3">
        <v>8</v>
      </c>
      <c r="K1402" s="2">
        <v>463.61</v>
      </c>
    </row>
    <row r="1403" spans="1:11" x14ac:dyDescent="0.25">
      <c r="A1403" s="4">
        <v>42467</v>
      </c>
      <c r="B1403" s="3">
        <f>YEAR(SalesData[[#This Row],[Order Date]])</f>
        <v>2016</v>
      </c>
      <c r="C1403" s="3">
        <f>MONTH(SalesData[[#This Row],[Order Date]])</f>
        <v>4</v>
      </c>
      <c r="D1403" t="s">
        <v>20</v>
      </c>
      <c r="E1403" t="s">
        <v>19</v>
      </c>
      <c r="F1403" t="s">
        <v>15</v>
      </c>
      <c r="G1403" t="s">
        <v>45</v>
      </c>
      <c r="H1403" t="s">
        <v>59</v>
      </c>
      <c r="I1403" s="2">
        <v>1761.4</v>
      </c>
      <c r="J1403" s="3">
        <v>1</v>
      </c>
      <c r="K1403" s="2">
        <v>292.77999999999997</v>
      </c>
    </row>
    <row r="1404" spans="1:11" x14ac:dyDescent="0.25">
      <c r="A1404" s="4">
        <v>42467</v>
      </c>
      <c r="B1404" s="3">
        <f>YEAR(SalesData[[#This Row],[Order Date]])</f>
        <v>2016</v>
      </c>
      <c r="C1404" s="3">
        <f>MONTH(SalesData[[#This Row],[Order Date]])</f>
        <v>4</v>
      </c>
      <c r="D1404" t="s">
        <v>68</v>
      </c>
      <c r="E1404" t="s">
        <v>37</v>
      </c>
      <c r="F1404" t="s">
        <v>15</v>
      </c>
      <c r="G1404" t="s">
        <v>45</v>
      </c>
      <c r="H1404" t="s">
        <v>59</v>
      </c>
      <c r="I1404" s="2">
        <v>3449.81</v>
      </c>
      <c r="J1404" s="3">
        <v>5</v>
      </c>
      <c r="K1404" s="2">
        <v>9.5500000000000007</v>
      </c>
    </row>
    <row r="1405" spans="1:11" x14ac:dyDescent="0.25">
      <c r="A1405" s="4">
        <v>42468</v>
      </c>
      <c r="B1405" s="3">
        <f>YEAR(SalesData[[#This Row],[Order Date]])</f>
        <v>2016</v>
      </c>
      <c r="C1405" s="3">
        <f>MONTH(SalesData[[#This Row],[Order Date]])</f>
        <v>4</v>
      </c>
      <c r="D1405" t="s">
        <v>9</v>
      </c>
      <c r="E1405" t="s">
        <v>44</v>
      </c>
      <c r="F1405" t="s">
        <v>27</v>
      </c>
      <c r="G1405" t="s">
        <v>28</v>
      </c>
      <c r="H1405" t="s">
        <v>29</v>
      </c>
      <c r="I1405" s="2">
        <v>1073.57</v>
      </c>
      <c r="J1405" s="3">
        <v>5</v>
      </c>
      <c r="K1405" s="2">
        <v>101.69</v>
      </c>
    </row>
    <row r="1406" spans="1:11" x14ac:dyDescent="0.25">
      <c r="A1406" s="4">
        <v>42469</v>
      </c>
      <c r="B1406" s="3">
        <f>YEAR(SalesData[[#This Row],[Order Date]])</f>
        <v>2016</v>
      </c>
      <c r="C1406" s="3">
        <f>MONTH(SalesData[[#This Row],[Order Date]])</f>
        <v>4</v>
      </c>
      <c r="D1406" t="s">
        <v>30</v>
      </c>
      <c r="E1406" t="s">
        <v>19</v>
      </c>
      <c r="F1406" t="s">
        <v>27</v>
      </c>
      <c r="G1406" t="s">
        <v>32</v>
      </c>
      <c r="H1406" t="s">
        <v>33</v>
      </c>
      <c r="I1406" s="2">
        <v>1487.64</v>
      </c>
      <c r="J1406" s="3">
        <v>3</v>
      </c>
      <c r="K1406" s="2">
        <v>343.63</v>
      </c>
    </row>
    <row r="1407" spans="1:11" x14ac:dyDescent="0.25">
      <c r="A1407" s="4">
        <v>42470</v>
      </c>
      <c r="B1407" s="3">
        <f>YEAR(SalesData[[#This Row],[Order Date]])</f>
        <v>2016</v>
      </c>
      <c r="C1407" s="3">
        <f>MONTH(SalesData[[#This Row],[Order Date]])</f>
        <v>4</v>
      </c>
      <c r="D1407" t="s">
        <v>62</v>
      </c>
      <c r="E1407" t="s">
        <v>26</v>
      </c>
      <c r="F1407" t="s">
        <v>11</v>
      </c>
      <c r="G1407" t="s">
        <v>24</v>
      </c>
      <c r="H1407" t="s">
        <v>54</v>
      </c>
      <c r="I1407" s="2">
        <v>3611.46</v>
      </c>
      <c r="J1407" s="3">
        <v>4</v>
      </c>
      <c r="K1407" s="2">
        <v>555.37</v>
      </c>
    </row>
    <row r="1408" spans="1:11" x14ac:dyDescent="0.25">
      <c r="A1408" s="4">
        <v>42471</v>
      </c>
      <c r="B1408" s="3">
        <f>YEAR(SalesData[[#This Row],[Order Date]])</f>
        <v>2016</v>
      </c>
      <c r="C1408" s="3">
        <f>MONTH(SalesData[[#This Row],[Order Date]])</f>
        <v>4</v>
      </c>
      <c r="D1408" t="s">
        <v>30</v>
      </c>
      <c r="E1408" t="s">
        <v>44</v>
      </c>
      <c r="F1408" t="s">
        <v>11</v>
      </c>
      <c r="G1408" t="s">
        <v>21</v>
      </c>
      <c r="H1408" t="s">
        <v>67</v>
      </c>
      <c r="I1408" s="2">
        <v>2112.7800000000002</v>
      </c>
      <c r="J1408" s="3">
        <v>4</v>
      </c>
      <c r="K1408" s="2">
        <v>574.08000000000004</v>
      </c>
    </row>
    <row r="1409" spans="1:11" x14ac:dyDescent="0.25">
      <c r="A1409" s="4">
        <v>42471</v>
      </c>
      <c r="B1409" s="3">
        <f>YEAR(SalesData[[#This Row],[Order Date]])</f>
        <v>2016</v>
      </c>
      <c r="C1409" s="3">
        <f>MONTH(SalesData[[#This Row],[Order Date]])</f>
        <v>4</v>
      </c>
      <c r="D1409" t="s">
        <v>23</v>
      </c>
      <c r="E1409" t="s">
        <v>19</v>
      </c>
      <c r="F1409" t="s">
        <v>27</v>
      </c>
      <c r="G1409" t="s">
        <v>28</v>
      </c>
      <c r="H1409" t="s">
        <v>69</v>
      </c>
      <c r="I1409" s="2">
        <v>3824.89</v>
      </c>
      <c r="J1409" s="3">
        <v>5</v>
      </c>
      <c r="K1409" s="2">
        <v>656.22</v>
      </c>
    </row>
    <row r="1410" spans="1:11" x14ac:dyDescent="0.25">
      <c r="A1410" s="4">
        <v>42473</v>
      </c>
      <c r="B1410" s="3">
        <f>YEAR(SalesData[[#This Row],[Order Date]])</f>
        <v>2016</v>
      </c>
      <c r="C1410" s="3">
        <f>MONTH(SalesData[[#This Row],[Order Date]])</f>
        <v>4</v>
      </c>
      <c r="D1410" t="s">
        <v>14</v>
      </c>
      <c r="E1410" t="s">
        <v>52</v>
      </c>
      <c r="F1410" t="s">
        <v>27</v>
      </c>
      <c r="G1410" t="s">
        <v>32</v>
      </c>
      <c r="H1410" t="s">
        <v>53</v>
      </c>
      <c r="I1410" s="2">
        <v>431.28</v>
      </c>
      <c r="J1410" s="3">
        <v>3</v>
      </c>
      <c r="K1410" s="2">
        <v>100.75</v>
      </c>
    </row>
    <row r="1411" spans="1:11" x14ac:dyDescent="0.25">
      <c r="A1411" s="4">
        <v>42473</v>
      </c>
      <c r="B1411" s="3">
        <f>YEAR(SalesData[[#This Row],[Order Date]])</f>
        <v>2016</v>
      </c>
      <c r="C1411" s="3">
        <f>MONTH(SalesData[[#This Row],[Order Date]])</f>
        <v>4</v>
      </c>
      <c r="D1411" t="s">
        <v>55</v>
      </c>
      <c r="E1411" t="s">
        <v>31</v>
      </c>
      <c r="F1411" t="s">
        <v>27</v>
      </c>
      <c r="G1411" t="s">
        <v>32</v>
      </c>
      <c r="H1411" t="s">
        <v>33</v>
      </c>
      <c r="I1411" s="2">
        <v>2532.09</v>
      </c>
      <c r="J1411" s="3">
        <v>3</v>
      </c>
      <c r="K1411" s="2">
        <v>660.89</v>
      </c>
    </row>
    <row r="1412" spans="1:11" x14ac:dyDescent="0.25">
      <c r="A1412" s="4">
        <v>42473</v>
      </c>
      <c r="B1412" s="3">
        <f>YEAR(SalesData[[#This Row],[Order Date]])</f>
        <v>2016</v>
      </c>
      <c r="C1412" s="3">
        <f>MONTH(SalesData[[#This Row],[Order Date]])</f>
        <v>4</v>
      </c>
      <c r="D1412" t="s">
        <v>50</v>
      </c>
      <c r="E1412" t="s">
        <v>40</v>
      </c>
      <c r="F1412" t="s">
        <v>11</v>
      </c>
      <c r="G1412" t="s">
        <v>21</v>
      </c>
      <c r="H1412" t="s">
        <v>67</v>
      </c>
      <c r="I1412" s="2">
        <v>3357.92</v>
      </c>
      <c r="J1412" s="3">
        <v>3</v>
      </c>
      <c r="K1412" s="2">
        <v>843.34</v>
      </c>
    </row>
    <row r="1413" spans="1:11" x14ac:dyDescent="0.25">
      <c r="A1413" s="4">
        <v>42474</v>
      </c>
      <c r="B1413" s="3">
        <f>YEAR(SalesData[[#This Row],[Order Date]])</f>
        <v>2016</v>
      </c>
      <c r="C1413" s="3">
        <f>MONTH(SalesData[[#This Row],[Order Date]])</f>
        <v>4</v>
      </c>
      <c r="D1413" t="s">
        <v>55</v>
      </c>
      <c r="E1413" t="s">
        <v>26</v>
      </c>
      <c r="F1413" t="s">
        <v>11</v>
      </c>
      <c r="G1413" t="s">
        <v>35</v>
      </c>
      <c r="H1413" t="s">
        <v>70</v>
      </c>
      <c r="I1413" s="2">
        <v>2342.66</v>
      </c>
      <c r="J1413" s="3">
        <v>8</v>
      </c>
      <c r="K1413" s="2">
        <v>480.88</v>
      </c>
    </row>
    <row r="1414" spans="1:11" x14ac:dyDescent="0.25">
      <c r="A1414" s="4">
        <v>42474</v>
      </c>
      <c r="B1414" s="3">
        <f>YEAR(SalesData[[#This Row],[Order Date]])</f>
        <v>2016</v>
      </c>
      <c r="C1414" s="3">
        <f>MONTH(SalesData[[#This Row],[Order Date]])</f>
        <v>4</v>
      </c>
      <c r="D1414" t="s">
        <v>23</v>
      </c>
      <c r="E1414" t="s">
        <v>40</v>
      </c>
      <c r="F1414" t="s">
        <v>11</v>
      </c>
      <c r="G1414" t="s">
        <v>35</v>
      </c>
      <c r="H1414" t="s">
        <v>36</v>
      </c>
      <c r="I1414" s="2">
        <v>217.64</v>
      </c>
      <c r="J1414" s="3">
        <v>4</v>
      </c>
      <c r="K1414" s="2">
        <v>26.75</v>
      </c>
    </row>
    <row r="1415" spans="1:11" x14ac:dyDescent="0.25">
      <c r="A1415" s="4">
        <v>42475</v>
      </c>
      <c r="B1415" s="3">
        <f>YEAR(SalesData[[#This Row],[Order Date]])</f>
        <v>2016</v>
      </c>
      <c r="C1415" s="3">
        <f>MONTH(SalesData[[#This Row],[Order Date]])</f>
        <v>4</v>
      </c>
      <c r="D1415" t="s">
        <v>43</v>
      </c>
      <c r="E1415" t="s">
        <v>10</v>
      </c>
      <c r="F1415" t="s">
        <v>27</v>
      </c>
      <c r="G1415" t="s">
        <v>32</v>
      </c>
      <c r="H1415" t="s">
        <v>53</v>
      </c>
      <c r="I1415" s="2">
        <v>4586.43</v>
      </c>
      <c r="J1415" s="3">
        <v>8</v>
      </c>
      <c r="K1415" s="2">
        <v>836.97</v>
      </c>
    </row>
    <row r="1416" spans="1:11" x14ac:dyDescent="0.25">
      <c r="A1416" s="4">
        <v>42475</v>
      </c>
      <c r="B1416" s="3">
        <f>YEAR(SalesData[[#This Row],[Order Date]])</f>
        <v>2016</v>
      </c>
      <c r="C1416" s="3">
        <f>MONTH(SalesData[[#This Row],[Order Date]])</f>
        <v>4</v>
      </c>
      <c r="D1416" t="s">
        <v>62</v>
      </c>
      <c r="E1416" t="s">
        <v>19</v>
      </c>
      <c r="F1416" t="s">
        <v>27</v>
      </c>
      <c r="G1416" t="s">
        <v>32</v>
      </c>
      <c r="H1416" t="s">
        <v>53</v>
      </c>
      <c r="I1416" s="2">
        <v>3390.24</v>
      </c>
      <c r="J1416" s="3">
        <v>8</v>
      </c>
      <c r="K1416" s="2">
        <v>960.5</v>
      </c>
    </row>
    <row r="1417" spans="1:11" x14ac:dyDescent="0.25">
      <c r="A1417" s="4">
        <v>42476</v>
      </c>
      <c r="B1417" s="3">
        <f>YEAR(SalesData[[#This Row],[Order Date]])</f>
        <v>2016</v>
      </c>
      <c r="C1417" s="3">
        <f>MONTH(SalesData[[#This Row],[Order Date]])</f>
        <v>4</v>
      </c>
      <c r="D1417" t="s">
        <v>55</v>
      </c>
      <c r="E1417" t="s">
        <v>34</v>
      </c>
      <c r="F1417" t="s">
        <v>15</v>
      </c>
      <c r="G1417" t="s">
        <v>16</v>
      </c>
      <c r="H1417" t="s">
        <v>17</v>
      </c>
      <c r="I1417" s="2">
        <v>2313.4299999999998</v>
      </c>
      <c r="J1417" s="3">
        <v>9</v>
      </c>
      <c r="K1417" s="2">
        <v>48.79</v>
      </c>
    </row>
    <row r="1418" spans="1:11" x14ac:dyDescent="0.25">
      <c r="A1418" s="4">
        <v>42476</v>
      </c>
      <c r="B1418" s="3">
        <f>YEAR(SalesData[[#This Row],[Order Date]])</f>
        <v>2016</v>
      </c>
      <c r="C1418" s="3">
        <f>MONTH(SalesData[[#This Row],[Order Date]])</f>
        <v>4</v>
      </c>
      <c r="D1418" t="s">
        <v>43</v>
      </c>
      <c r="E1418" t="s">
        <v>37</v>
      </c>
      <c r="F1418" t="s">
        <v>15</v>
      </c>
      <c r="G1418" t="s">
        <v>63</v>
      </c>
      <c r="H1418" t="s">
        <v>64</v>
      </c>
      <c r="I1418" s="2">
        <v>508.63</v>
      </c>
      <c r="J1418" s="3">
        <v>2</v>
      </c>
      <c r="K1418" s="2">
        <v>37.549999999999997</v>
      </c>
    </row>
    <row r="1419" spans="1:11" x14ac:dyDescent="0.25">
      <c r="A1419" s="4">
        <v>42476</v>
      </c>
      <c r="B1419" s="3">
        <f>YEAR(SalesData[[#This Row],[Order Date]])</f>
        <v>2016</v>
      </c>
      <c r="C1419" s="3">
        <f>MONTH(SalesData[[#This Row],[Order Date]])</f>
        <v>4</v>
      </c>
      <c r="D1419" t="s">
        <v>23</v>
      </c>
      <c r="E1419" t="s">
        <v>37</v>
      </c>
      <c r="F1419" t="s">
        <v>11</v>
      </c>
      <c r="G1419" t="s">
        <v>12</v>
      </c>
      <c r="H1419" t="s">
        <v>65</v>
      </c>
      <c r="I1419" s="2">
        <v>165.53</v>
      </c>
      <c r="J1419" s="3">
        <v>1</v>
      </c>
      <c r="K1419" s="2">
        <v>14.51</v>
      </c>
    </row>
    <row r="1420" spans="1:11" x14ac:dyDescent="0.25">
      <c r="A1420" s="4">
        <v>42476</v>
      </c>
      <c r="B1420" s="3">
        <f>YEAR(SalesData[[#This Row],[Order Date]])</f>
        <v>2016</v>
      </c>
      <c r="C1420" s="3">
        <f>MONTH(SalesData[[#This Row],[Order Date]])</f>
        <v>4</v>
      </c>
      <c r="D1420" t="s">
        <v>50</v>
      </c>
      <c r="E1420" t="s">
        <v>10</v>
      </c>
      <c r="F1420" t="s">
        <v>27</v>
      </c>
      <c r="G1420" t="s">
        <v>48</v>
      </c>
      <c r="H1420" t="s">
        <v>49</v>
      </c>
      <c r="I1420" s="2">
        <v>1647.02</v>
      </c>
      <c r="J1420" s="3">
        <v>9</v>
      </c>
      <c r="K1420" s="2">
        <v>316.08</v>
      </c>
    </row>
    <row r="1421" spans="1:11" x14ac:dyDescent="0.25">
      <c r="A1421" s="4">
        <v>42477</v>
      </c>
      <c r="B1421" s="3">
        <f>YEAR(SalesData[[#This Row],[Order Date]])</f>
        <v>2016</v>
      </c>
      <c r="C1421" s="3">
        <f>MONTH(SalesData[[#This Row],[Order Date]])</f>
        <v>4</v>
      </c>
      <c r="D1421" t="s">
        <v>14</v>
      </c>
      <c r="E1421" t="s">
        <v>26</v>
      </c>
      <c r="F1421" t="s">
        <v>15</v>
      </c>
      <c r="G1421" t="s">
        <v>45</v>
      </c>
      <c r="H1421" t="s">
        <v>59</v>
      </c>
      <c r="I1421" s="2">
        <v>2947.07</v>
      </c>
      <c r="J1421" s="3">
        <v>10</v>
      </c>
      <c r="K1421" s="2">
        <v>748.23</v>
      </c>
    </row>
    <row r="1422" spans="1:11" x14ac:dyDescent="0.25">
      <c r="A1422" s="4">
        <v>42477</v>
      </c>
      <c r="B1422" s="3">
        <f>YEAR(SalesData[[#This Row],[Order Date]])</f>
        <v>2016</v>
      </c>
      <c r="C1422" s="3">
        <f>MONTH(SalesData[[#This Row],[Order Date]])</f>
        <v>4</v>
      </c>
      <c r="D1422" t="s">
        <v>43</v>
      </c>
      <c r="E1422" t="s">
        <v>37</v>
      </c>
      <c r="F1422" t="s">
        <v>27</v>
      </c>
      <c r="G1422" t="s">
        <v>48</v>
      </c>
      <c r="H1422" t="s">
        <v>57</v>
      </c>
      <c r="I1422" s="2">
        <v>923.34</v>
      </c>
      <c r="J1422" s="3">
        <v>4</v>
      </c>
      <c r="K1422" s="2">
        <v>114.63</v>
      </c>
    </row>
    <row r="1423" spans="1:11" x14ac:dyDescent="0.25">
      <c r="A1423" s="4">
        <v>42480</v>
      </c>
      <c r="B1423" s="3">
        <f>YEAR(SalesData[[#This Row],[Order Date]])</f>
        <v>2016</v>
      </c>
      <c r="C1423" s="3">
        <f>MONTH(SalesData[[#This Row],[Order Date]])</f>
        <v>4</v>
      </c>
      <c r="D1423" t="s">
        <v>43</v>
      </c>
      <c r="E1423" t="s">
        <v>34</v>
      </c>
      <c r="F1423" t="s">
        <v>27</v>
      </c>
      <c r="G1423" t="s">
        <v>48</v>
      </c>
      <c r="H1423" t="s">
        <v>49</v>
      </c>
      <c r="I1423" s="2">
        <v>3360.42</v>
      </c>
      <c r="J1423" s="3">
        <v>4</v>
      </c>
      <c r="K1423" s="2">
        <v>873.65</v>
      </c>
    </row>
    <row r="1424" spans="1:11" x14ac:dyDescent="0.25">
      <c r="A1424" s="4">
        <v>42480</v>
      </c>
      <c r="B1424" s="3">
        <f>YEAR(SalesData[[#This Row],[Order Date]])</f>
        <v>2016</v>
      </c>
      <c r="C1424" s="3">
        <f>MONTH(SalesData[[#This Row],[Order Date]])</f>
        <v>4</v>
      </c>
      <c r="D1424" t="s">
        <v>20</v>
      </c>
      <c r="E1424" t="s">
        <v>52</v>
      </c>
      <c r="F1424" t="s">
        <v>27</v>
      </c>
      <c r="G1424" t="s">
        <v>32</v>
      </c>
      <c r="H1424" t="s">
        <v>33</v>
      </c>
      <c r="I1424" s="2">
        <v>1816.4</v>
      </c>
      <c r="J1424" s="3">
        <v>6</v>
      </c>
      <c r="K1424" s="2">
        <v>331.91</v>
      </c>
    </row>
    <row r="1425" spans="1:11" x14ac:dyDescent="0.25">
      <c r="A1425" s="4">
        <v>42480</v>
      </c>
      <c r="B1425" s="3">
        <f>YEAR(SalesData[[#This Row],[Order Date]])</f>
        <v>2016</v>
      </c>
      <c r="C1425" s="3">
        <f>MONTH(SalesData[[#This Row],[Order Date]])</f>
        <v>4</v>
      </c>
      <c r="D1425" t="s">
        <v>30</v>
      </c>
      <c r="E1425" t="s">
        <v>44</v>
      </c>
      <c r="F1425" t="s">
        <v>27</v>
      </c>
      <c r="G1425" t="s">
        <v>28</v>
      </c>
      <c r="H1425" t="s">
        <v>58</v>
      </c>
      <c r="I1425" s="2">
        <v>861.2</v>
      </c>
      <c r="J1425" s="3">
        <v>1</v>
      </c>
      <c r="K1425" s="2">
        <v>182.34</v>
      </c>
    </row>
    <row r="1426" spans="1:11" x14ac:dyDescent="0.25">
      <c r="A1426" s="4">
        <v>42481</v>
      </c>
      <c r="B1426" s="3">
        <f>YEAR(SalesData[[#This Row],[Order Date]])</f>
        <v>2016</v>
      </c>
      <c r="C1426" s="3">
        <f>MONTH(SalesData[[#This Row],[Order Date]])</f>
        <v>4</v>
      </c>
      <c r="D1426" t="s">
        <v>47</v>
      </c>
      <c r="E1426" t="s">
        <v>26</v>
      </c>
      <c r="F1426" t="s">
        <v>27</v>
      </c>
      <c r="G1426" t="s">
        <v>28</v>
      </c>
      <c r="H1426" t="s">
        <v>29</v>
      </c>
      <c r="I1426" s="2">
        <v>2143.16</v>
      </c>
      <c r="J1426" s="3">
        <v>3</v>
      </c>
      <c r="K1426" s="2">
        <v>239.18</v>
      </c>
    </row>
    <row r="1427" spans="1:11" x14ac:dyDescent="0.25">
      <c r="A1427" s="4">
        <v>42483</v>
      </c>
      <c r="B1427" s="3">
        <f>YEAR(SalesData[[#This Row],[Order Date]])</f>
        <v>2016</v>
      </c>
      <c r="C1427" s="3">
        <f>MONTH(SalesData[[#This Row],[Order Date]])</f>
        <v>4</v>
      </c>
      <c r="D1427" t="s">
        <v>23</v>
      </c>
      <c r="E1427" t="s">
        <v>31</v>
      </c>
      <c r="F1427" t="s">
        <v>11</v>
      </c>
      <c r="G1427" t="s">
        <v>24</v>
      </c>
      <c r="H1427" t="s">
        <v>54</v>
      </c>
      <c r="I1427" s="2">
        <v>1057.72</v>
      </c>
      <c r="J1427" s="3">
        <v>3</v>
      </c>
      <c r="K1427" s="2">
        <v>108.48</v>
      </c>
    </row>
    <row r="1428" spans="1:11" x14ac:dyDescent="0.25">
      <c r="A1428" s="4">
        <v>42483</v>
      </c>
      <c r="B1428" s="3">
        <f>YEAR(SalesData[[#This Row],[Order Date]])</f>
        <v>2016</v>
      </c>
      <c r="C1428" s="3">
        <f>MONTH(SalesData[[#This Row],[Order Date]])</f>
        <v>4</v>
      </c>
      <c r="D1428" t="s">
        <v>50</v>
      </c>
      <c r="E1428" t="s">
        <v>26</v>
      </c>
      <c r="F1428" t="s">
        <v>27</v>
      </c>
      <c r="G1428" t="s">
        <v>28</v>
      </c>
      <c r="H1428" t="s">
        <v>29</v>
      </c>
      <c r="I1428" s="2">
        <v>1076.5899999999999</v>
      </c>
      <c r="J1428" s="3">
        <v>7</v>
      </c>
      <c r="K1428" s="2">
        <v>27.37</v>
      </c>
    </row>
    <row r="1429" spans="1:11" x14ac:dyDescent="0.25">
      <c r="A1429" s="4">
        <v>42484</v>
      </c>
      <c r="B1429" s="3">
        <f>YEAR(SalesData[[#This Row],[Order Date]])</f>
        <v>2016</v>
      </c>
      <c r="C1429" s="3">
        <f>MONTH(SalesData[[#This Row],[Order Date]])</f>
        <v>4</v>
      </c>
      <c r="D1429" t="s">
        <v>20</v>
      </c>
      <c r="E1429" t="s">
        <v>44</v>
      </c>
      <c r="F1429" t="s">
        <v>27</v>
      </c>
      <c r="G1429" t="s">
        <v>48</v>
      </c>
      <c r="H1429" t="s">
        <v>57</v>
      </c>
      <c r="I1429" s="2">
        <v>4825.6899999999996</v>
      </c>
      <c r="J1429" s="3">
        <v>6</v>
      </c>
      <c r="K1429" s="2">
        <v>762.6</v>
      </c>
    </row>
    <row r="1430" spans="1:11" x14ac:dyDescent="0.25">
      <c r="A1430" s="4">
        <v>42484</v>
      </c>
      <c r="B1430" s="3">
        <f>YEAR(SalesData[[#This Row],[Order Date]])</f>
        <v>2016</v>
      </c>
      <c r="C1430" s="3">
        <f>MONTH(SalesData[[#This Row],[Order Date]])</f>
        <v>4</v>
      </c>
      <c r="D1430" t="s">
        <v>9</v>
      </c>
      <c r="E1430" t="s">
        <v>60</v>
      </c>
      <c r="F1430" t="s">
        <v>27</v>
      </c>
      <c r="G1430" t="s">
        <v>28</v>
      </c>
      <c r="H1430" t="s">
        <v>69</v>
      </c>
      <c r="I1430" s="2">
        <v>3664.29</v>
      </c>
      <c r="J1430" s="3">
        <v>10</v>
      </c>
      <c r="K1430" s="2">
        <v>732.35</v>
      </c>
    </row>
    <row r="1431" spans="1:11" x14ac:dyDescent="0.25">
      <c r="A1431" s="4">
        <v>42484</v>
      </c>
      <c r="B1431" s="3">
        <f>YEAR(SalesData[[#This Row],[Order Date]])</f>
        <v>2016</v>
      </c>
      <c r="C1431" s="3">
        <f>MONTH(SalesData[[#This Row],[Order Date]])</f>
        <v>4</v>
      </c>
      <c r="D1431" t="s">
        <v>20</v>
      </c>
      <c r="E1431" t="s">
        <v>19</v>
      </c>
      <c r="F1431" t="s">
        <v>15</v>
      </c>
      <c r="G1431" t="s">
        <v>38</v>
      </c>
      <c r="H1431" t="s">
        <v>39</v>
      </c>
      <c r="I1431" s="2">
        <v>3022.46</v>
      </c>
      <c r="J1431" s="3">
        <v>4</v>
      </c>
      <c r="K1431" s="2">
        <v>223.17</v>
      </c>
    </row>
    <row r="1432" spans="1:11" x14ac:dyDescent="0.25">
      <c r="A1432" s="4">
        <v>42485</v>
      </c>
      <c r="B1432" s="3">
        <f>YEAR(SalesData[[#This Row],[Order Date]])</f>
        <v>2016</v>
      </c>
      <c r="C1432" s="3">
        <f>MONTH(SalesData[[#This Row],[Order Date]])</f>
        <v>4</v>
      </c>
      <c r="D1432" t="s">
        <v>9</v>
      </c>
      <c r="E1432" t="s">
        <v>60</v>
      </c>
      <c r="F1432" t="s">
        <v>11</v>
      </c>
      <c r="G1432" t="s">
        <v>24</v>
      </c>
      <c r="H1432" t="s">
        <v>25</v>
      </c>
      <c r="I1432" s="2">
        <v>4344.93</v>
      </c>
      <c r="J1432" s="3">
        <v>1</v>
      </c>
      <c r="K1432" s="2">
        <v>597.36</v>
      </c>
    </row>
    <row r="1433" spans="1:11" x14ac:dyDescent="0.25">
      <c r="A1433" s="4">
        <v>42486</v>
      </c>
      <c r="B1433" s="3">
        <f>YEAR(SalesData[[#This Row],[Order Date]])</f>
        <v>2016</v>
      </c>
      <c r="C1433" s="3">
        <f>MONTH(SalesData[[#This Row],[Order Date]])</f>
        <v>4</v>
      </c>
      <c r="D1433" t="s">
        <v>43</v>
      </c>
      <c r="E1433" t="s">
        <v>26</v>
      </c>
      <c r="F1433" t="s">
        <v>15</v>
      </c>
      <c r="G1433" t="s">
        <v>41</v>
      </c>
      <c r="H1433" t="s">
        <v>61</v>
      </c>
      <c r="I1433" s="2">
        <v>3283.05</v>
      </c>
      <c r="J1433" s="3">
        <v>9</v>
      </c>
      <c r="K1433" s="2">
        <v>863.79</v>
      </c>
    </row>
    <row r="1434" spans="1:11" x14ac:dyDescent="0.25">
      <c r="A1434" s="4">
        <v>42487</v>
      </c>
      <c r="B1434" s="3">
        <f>YEAR(SalesData[[#This Row],[Order Date]])</f>
        <v>2016</v>
      </c>
      <c r="C1434" s="3">
        <f>MONTH(SalesData[[#This Row],[Order Date]])</f>
        <v>4</v>
      </c>
      <c r="D1434" t="s">
        <v>62</v>
      </c>
      <c r="E1434" t="s">
        <v>37</v>
      </c>
      <c r="F1434" t="s">
        <v>11</v>
      </c>
      <c r="G1434" t="s">
        <v>21</v>
      </c>
      <c r="H1434" t="s">
        <v>22</v>
      </c>
      <c r="I1434" s="2">
        <v>141.22999999999999</v>
      </c>
      <c r="J1434" s="3">
        <v>3</v>
      </c>
      <c r="K1434" s="2">
        <v>23.92</v>
      </c>
    </row>
    <row r="1435" spans="1:11" x14ac:dyDescent="0.25">
      <c r="A1435" s="4">
        <v>42488</v>
      </c>
      <c r="B1435" s="3">
        <f>YEAR(SalesData[[#This Row],[Order Date]])</f>
        <v>2016</v>
      </c>
      <c r="C1435" s="3">
        <f>MONTH(SalesData[[#This Row],[Order Date]])</f>
        <v>4</v>
      </c>
      <c r="D1435" t="s">
        <v>43</v>
      </c>
      <c r="E1435" t="s">
        <v>60</v>
      </c>
      <c r="F1435" t="s">
        <v>11</v>
      </c>
      <c r="G1435" t="s">
        <v>35</v>
      </c>
      <c r="H1435" t="s">
        <v>36</v>
      </c>
      <c r="I1435" s="2">
        <v>3455.22</v>
      </c>
      <c r="J1435" s="3">
        <v>5</v>
      </c>
      <c r="K1435" s="2">
        <v>34.840000000000003</v>
      </c>
    </row>
    <row r="1436" spans="1:11" x14ac:dyDescent="0.25">
      <c r="A1436" s="4">
        <v>42490</v>
      </c>
      <c r="B1436" s="3">
        <f>YEAR(SalesData[[#This Row],[Order Date]])</f>
        <v>2016</v>
      </c>
      <c r="C1436" s="3">
        <f>MONTH(SalesData[[#This Row],[Order Date]])</f>
        <v>4</v>
      </c>
      <c r="D1436" t="s">
        <v>68</v>
      </c>
      <c r="E1436" t="s">
        <v>10</v>
      </c>
      <c r="F1436" t="s">
        <v>27</v>
      </c>
      <c r="G1436" t="s">
        <v>28</v>
      </c>
      <c r="H1436" t="s">
        <v>58</v>
      </c>
      <c r="I1436" s="2">
        <v>1659.09</v>
      </c>
      <c r="J1436" s="3">
        <v>2</v>
      </c>
      <c r="K1436" s="2">
        <v>446.53</v>
      </c>
    </row>
    <row r="1437" spans="1:11" x14ac:dyDescent="0.25">
      <c r="A1437" s="4">
        <v>42490</v>
      </c>
      <c r="B1437" s="3">
        <f>YEAR(SalesData[[#This Row],[Order Date]])</f>
        <v>2016</v>
      </c>
      <c r="C1437" s="3">
        <f>MONTH(SalesData[[#This Row],[Order Date]])</f>
        <v>4</v>
      </c>
      <c r="D1437" t="s">
        <v>20</v>
      </c>
      <c r="E1437" t="s">
        <v>52</v>
      </c>
      <c r="F1437" t="s">
        <v>15</v>
      </c>
      <c r="G1437" t="s">
        <v>45</v>
      </c>
      <c r="H1437" t="s">
        <v>46</v>
      </c>
      <c r="I1437" s="2">
        <v>4207.71</v>
      </c>
      <c r="J1437" s="3">
        <v>2</v>
      </c>
      <c r="K1437" s="2">
        <v>489.8</v>
      </c>
    </row>
    <row r="1438" spans="1:11" x14ac:dyDescent="0.25">
      <c r="A1438" s="4">
        <v>42494</v>
      </c>
      <c r="B1438" s="3">
        <f>YEAR(SalesData[[#This Row],[Order Date]])</f>
        <v>2016</v>
      </c>
      <c r="C1438" s="3">
        <f>MONTH(SalesData[[#This Row],[Order Date]])</f>
        <v>5</v>
      </c>
      <c r="D1438" t="s">
        <v>9</v>
      </c>
      <c r="E1438" t="s">
        <v>10</v>
      </c>
      <c r="F1438" t="s">
        <v>15</v>
      </c>
      <c r="G1438" t="s">
        <v>16</v>
      </c>
      <c r="H1438" t="s">
        <v>17</v>
      </c>
      <c r="I1438" s="2">
        <v>1485.31</v>
      </c>
      <c r="J1438" s="3">
        <v>1</v>
      </c>
      <c r="K1438" s="2">
        <v>39.619999999999997</v>
      </c>
    </row>
    <row r="1439" spans="1:11" x14ac:dyDescent="0.25">
      <c r="A1439" s="4">
        <v>42494</v>
      </c>
      <c r="B1439" s="3">
        <f>YEAR(SalesData[[#This Row],[Order Date]])</f>
        <v>2016</v>
      </c>
      <c r="C1439" s="3">
        <f>MONTH(SalesData[[#This Row],[Order Date]])</f>
        <v>5</v>
      </c>
      <c r="D1439" t="s">
        <v>18</v>
      </c>
      <c r="E1439" t="s">
        <v>52</v>
      </c>
      <c r="F1439" t="s">
        <v>15</v>
      </c>
      <c r="G1439" t="s">
        <v>41</v>
      </c>
      <c r="H1439" t="s">
        <v>61</v>
      </c>
      <c r="I1439" s="2">
        <v>476.97</v>
      </c>
      <c r="J1439" s="3">
        <v>2</v>
      </c>
      <c r="K1439" s="2">
        <v>67.28</v>
      </c>
    </row>
    <row r="1440" spans="1:11" x14ac:dyDescent="0.25">
      <c r="A1440" s="4">
        <v>42495</v>
      </c>
      <c r="B1440" s="3">
        <f>YEAR(SalesData[[#This Row],[Order Date]])</f>
        <v>2016</v>
      </c>
      <c r="C1440" s="3">
        <f>MONTH(SalesData[[#This Row],[Order Date]])</f>
        <v>5</v>
      </c>
      <c r="D1440" t="s">
        <v>30</v>
      </c>
      <c r="E1440" t="s">
        <v>10</v>
      </c>
      <c r="F1440" t="s">
        <v>27</v>
      </c>
      <c r="G1440" t="s">
        <v>48</v>
      </c>
      <c r="H1440" t="s">
        <v>57</v>
      </c>
      <c r="I1440" s="2">
        <v>105.66</v>
      </c>
      <c r="J1440" s="3">
        <v>2</v>
      </c>
      <c r="K1440" s="2">
        <v>11.11</v>
      </c>
    </row>
    <row r="1441" spans="1:11" x14ac:dyDescent="0.25">
      <c r="A1441" s="4">
        <v>42496</v>
      </c>
      <c r="B1441" s="3">
        <f>YEAR(SalesData[[#This Row],[Order Date]])</f>
        <v>2016</v>
      </c>
      <c r="C1441" s="3">
        <f>MONTH(SalesData[[#This Row],[Order Date]])</f>
        <v>5</v>
      </c>
      <c r="D1441" t="s">
        <v>9</v>
      </c>
      <c r="E1441" t="s">
        <v>37</v>
      </c>
      <c r="F1441" t="s">
        <v>15</v>
      </c>
      <c r="G1441" t="s">
        <v>45</v>
      </c>
      <c r="H1441" t="s">
        <v>59</v>
      </c>
      <c r="I1441" s="2">
        <v>4066.09</v>
      </c>
      <c r="J1441" s="3">
        <v>8</v>
      </c>
      <c r="K1441" s="2">
        <v>1094.19</v>
      </c>
    </row>
    <row r="1442" spans="1:11" x14ac:dyDescent="0.25">
      <c r="A1442" s="4">
        <v>42496</v>
      </c>
      <c r="B1442" s="3">
        <f>YEAR(SalesData[[#This Row],[Order Date]])</f>
        <v>2016</v>
      </c>
      <c r="C1442" s="3">
        <f>MONTH(SalesData[[#This Row],[Order Date]])</f>
        <v>5</v>
      </c>
      <c r="D1442" t="s">
        <v>47</v>
      </c>
      <c r="E1442" t="s">
        <v>60</v>
      </c>
      <c r="F1442" t="s">
        <v>15</v>
      </c>
      <c r="G1442" t="s">
        <v>38</v>
      </c>
      <c r="H1442" t="s">
        <v>56</v>
      </c>
      <c r="I1442" s="2">
        <v>157.29</v>
      </c>
      <c r="J1442" s="3">
        <v>9</v>
      </c>
      <c r="K1442" s="2">
        <v>5.51</v>
      </c>
    </row>
    <row r="1443" spans="1:11" x14ac:dyDescent="0.25">
      <c r="A1443" s="4">
        <v>42497</v>
      </c>
      <c r="B1443" s="3">
        <f>YEAR(SalesData[[#This Row],[Order Date]])</f>
        <v>2016</v>
      </c>
      <c r="C1443" s="3">
        <f>MONTH(SalesData[[#This Row],[Order Date]])</f>
        <v>5</v>
      </c>
      <c r="D1443" t="s">
        <v>23</v>
      </c>
      <c r="E1443" t="s">
        <v>40</v>
      </c>
      <c r="F1443" t="s">
        <v>27</v>
      </c>
      <c r="G1443" t="s">
        <v>32</v>
      </c>
      <c r="H1443" t="s">
        <v>33</v>
      </c>
      <c r="I1443" s="2">
        <v>3431.14</v>
      </c>
      <c r="J1443" s="3">
        <v>7</v>
      </c>
      <c r="K1443" s="2">
        <v>179.92</v>
      </c>
    </row>
    <row r="1444" spans="1:11" x14ac:dyDescent="0.25">
      <c r="A1444" s="4">
        <v>42497</v>
      </c>
      <c r="B1444" s="3">
        <f>YEAR(SalesData[[#This Row],[Order Date]])</f>
        <v>2016</v>
      </c>
      <c r="C1444" s="3">
        <f>MONTH(SalesData[[#This Row],[Order Date]])</f>
        <v>5</v>
      </c>
      <c r="D1444" t="s">
        <v>50</v>
      </c>
      <c r="E1444" t="s">
        <v>19</v>
      </c>
      <c r="F1444" t="s">
        <v>15</v>
      </c>
      <c r="G1444" t="s">
        <v>45</v>
      </c>
      <c r="H1444" t="s">
        <v>46</v>
      </c>
      <c r="I1444" s="2">
        <v>4330.22</v>
      </c>
      <c r="J1444" s="3">
        <v>5</v>
      </c>
      <c r="K1444" s="2">
        <v>672.42</v>
      </c>
    </row>
    <row r="1445" spans="1:11" x14ac:dyDescent="0.25">
      <c r="A1445" s="4">
        <v>42497</v>
      </c>
      <c r="B1445" s="3">
        <f>YEAR(SalesData[[#This Row],[Order Date]])</f>
        <v>2016</v>
      </c>
      <c r="C1445" s="3">
        <f>MONTH(SalesData[[#This Row],[Order Date]])</f>
        <v>5</v>
      </c>
      <c r="D1445" t="s">
        <v>55</v>
      </c>
      <c r="E1445" t="s">
        <v>26</v>
      </c>
      <c r="F1445" t="s">
        <v>15</v>
      </c>
      <c r="G1445" t="s">
        <v>45</v>
      </c>
      <c r="H1445" t="s">
        <v>59</v>
      </c>
      <c r="I1445" s="2">
        <v>2609.63</v>
      </c>
      <c r="J1445" s="3">
        <v>3</v>
      </c>
      <c r="K1445" s="2">
        <v>547.5</v>
      </c>
    </row>
    <row r="1446" spans="1:11" x14ac:dyDescent="0.25">
      <c r="A1446" s="4">
        <v>42497</v>
      </c>
      <c r="B1446" s="3">
        <f>YEAR(SalesData[[#This Row],[Order Date]])</f>
        <v>2016</v>
      </c>
      <c r="C1446" s="3">
        <f>MONTH(SalesData[[#This Row],[Order Date]])</f>
        <v>5</v>
      </c>
      <c r="D1446" t="s">
        <v>62</v>
      </c>
      <c r="E1446" t="s">
        <v>10</v>
      </c>
      <c r="F1446" t="s">
        <v>27</v>
      </c>
      <c r="G1446" t="s">
        <v>48</v>
      </c>
      <c r="H1446" t="s">
        <v>49</v>
      </c>
      <c r="I1446" s="2">
        <v>1999.72</v>
      </c>
      <c r="J1446" s="3">
        <v>3</v>
      </c>
      <c r="K1446" s="2">
        <v>471.94</v>
      </c>
    </row>
    <row r="1447" spans="1:11" x14ac:dyDescent="0.25">
      <c r="A1447" s="4">
        <v>42498</v>
      </c>
      <c r="B1447" s="3">
        <f>YEAR(SalesData[[#This Row],[Order Date]])</f>
        <v>2016</v>
      </c>
      <c r="C1447" s="3">
        <f>MONTH(SalesData[[#This Row],[Order Date]])</f>
        <v>5</v>
      </c>
      <c r="D1447" t="s">
        <v>50</v>
      </c>
      <c r="E1447" t="s">
        <v>26</v>
      </c>
      <c r="F1447" t="s">
        <v>27</v>
      </c>
      <c r="G1447" t="s">
        <v>28</v>
      </c>
      <c r="H1447" t="s">
        <v>29</v>
      </c>
      <c r="I1447" s="2">
        <v>4424.82</v>
      </c>
      <c r="J1447" s="3">
        <v>10</v>
      </c>
      <c r="K1447" s="2">
        <v>748.31</v>
      </c>
    </row>
    <row r="1448" spans="1:11" x14ac:dyDescent="0.25">
      <c r="A1448" s="4">
        <v>42499</v>
      </c>
      <c r="B1448" s="3">
        <f>YEAR(SalesData[[#This Row],[Order Date]])</f>
        <v>2016</v>
      </c>
      <c r="C1448" s="3">
        <f>MONTH(SalesData[[#This Row],[Order Date]])</f>
        <v>5</v>
      </c>
      <c r="D1448" t="s">
        <v>62</v>
      </c>
      <c r="E1448" t="s">
        <v>40</v>
      </c>
      <c r="F1448" t="s">
        <v>15</v>
      </c>
      <c r="G1448" t="s">
        <v>16</v>
      </c>
      <c r="H1448" t="s">
        <v>51</v>
      </c>
      <c r="I1448" s="2">
        <v>2477.1999999999998</v>
      </c>
      <c r="J1448" s="3">
        <v>3</v>
      </c>
      <c r="K1448" s="2">
        <v>102.53</v>
      </c>
    </row>
    <row r="1449" spans="1:11" x14ac:dyDescent="0.25">
      <c r="A1449" s="4">
        <v>42500</v>
      </c>
      <c r="B1449" s="3">
        <f>YEAR(SalesData[[#This Row],[Order Date]])</f>
        <v>2016</v>
      </c>
      <c r="C1449" s="3">
        <f>MONTH(SalesData[[#This Row],[Order Date]])</f>
        <v>5</v>
      </c>
      <c r="D1449" t="s">
        <v>18</v>
      </c>
      <c r="E1449" t="s">
        <v>52</v>
      </c>
      <c r="F1449" t="s">
        <v>11</v>
      </c>
      <c r="G1449" t="s">
        <v>12</v>
      </c>
      <c r="H1449" t="s">
        <v>13</v>
      </c>
      <c r="I1449" s="2">
        <v>2681.33</v>
      </c>
      <c r="J1449" s="3">
        <v>8</v>
      </c>
      <c r="K1449" s="2">
        <v>434.16</v>
      </c>
    </row>
    <row r="1450" spans="1:11" x14ac:dyDescent="0.25">
      <c r="A1450" s="4">
        <v>42501</v>
      </c>
      <c r="B1450" s="3">
        <f>YEAR(SalesData[[#This Row],[Order Date]])</f>
        <v>2016</v>
      </c>
      <c r="C1450" s="3">
        <f>MONTH(SalesData[[#This Row],[Order Date]])</f>
        <v>5</v>
      </c>
      <c r="D1450" t="s">
        <v>23</v>
      </c>
      <c r="E1450" t="s">
        <v>60</v>
      </c>
      <c r="F1450" t="s">
        <v>27</v>
      </c>
      <c r="G1450" t="s">
        <v>48</v>
      </c>
      <c r="H1450" t="s">
        <v>57</v>
      </c>
      <c r="I1450" s="2">
        <v>1573.1</v>
      </c>
      <c r="J1450" s="3">
        <v>2</v>
      </c>
      <c r="K1450" s="2">
        <v>311.73</v>
      </c>
    </row>
    <row r="1451" spans="1:11" x14ac:dyDescent="0.25">
      <c r="A1451" s="4">
        <v>42501</v>
      </c>
      <c r="B1451" s="3">
        <f>YEAR(SalesData[[#This Row],[Order Date]])</f>
        <v>2016</v>
      </c>
      <c r="C1451" s="3">
        <f>MONTH(SalesData[[#This Row],[Order Date]])</f>
        <v>5</v>
      </c>
      <c r="D1451" t="s">
        <v>50</v>
      </c>
      <c r="E1451" t="s">
        <v>31</v>
      </c>
      <c r="F1451" t="s">
        <v>27</v>
      </c>
      <c r="G1451" t="s">
        <v>28</v>
      </c>
      <c r="H1451" t="s">
        <v>58</v>
      </c>
      <c r="I1451" s="2">
        <v>4255.8</v>
      </c>
      <c r="J1451" s="3">
        <v>5</v>
      </c>
      <c r="K1451" s="2">
        <v>823.71</v>
      </c>
    </row>
    <row r="1452" spans="1:11" x14ac:dyDescent="0.25">
      <c r="A1452" s="4">
        <v>42502</v>
      </c>
      <c r="B1452" s="3">
        <f>YEAR(SalesData[[#This Row],[Order Date]])</f>
        <v>2016</v>
      </c>
      <c r="C1452" s="3">
        <f>MONTH(SalesData[[#This Row],[Order Date]])</f>
        <v>5</v>
      </c>
      <c r="D1452" t="s">
        <v>9</v>
      </c>
      <c r="E1452" t="s">
        <v>26</v>
      </c>
      <c r="F1452" t="s">
        <v>15</v>
      </c>
      <c r="G1452" t="s">
        <v>63</v>
      </c>
      <c r="H1452" t="s">
        <v>66</v>
      </c>
      <c r="I1452" s="2">
        <v>4374.41</v>
      </c>
      <c r="J1452" s="3">
        <v>5</v>
      </c>
      <c r="K1452" s="2">
        <v>1213.95</v>
      </c>
    </row>
    <row r="1453" spans="1:11" x14ac:dyDescent="0.25">
      <c r="A1453" s="4">
        <v>42502</v>
      </c>
      <c r="B1453" s="3">
        <f>YEAR(SalesData[[#This Row],[Order Date]])</f>
        <v>2016</v>
      </c>
      <c r="C1453" s="3">
        <f>MONTH(SalesData[[#This Row],[Order Date]])</f>
        <v>5</v>
      </c>
      <c r="D1453" t="s">
        <v>18</v>
      </c>
      <c r="E1453" t="s">
        <v>31</v>
      </c>
      <c r="F1453" t="s">
        <v>15</v>
      </c>
      <c r="G1453" t="s">
        <v>38</v>
      </c>
      <c r="H1453" t="s">
        <v>39</v>
      </c>
      <c r="I1453" s="2">
        <v>4578.8100000000004</v>
      </c>
      <c r="J1453" s="3">
        <v>1</v>
      </c>
      <c r="K1453" s="2">
        <v>445.66</v>
      </c>
    </row>
    <row r="1454" spans="1:11" x14ac:dyDescent="0.25">
      <c r="A1454" s="4">
        <v>42502</v>
      </c>
      <c r="B1454" s="3">
        <f>YEAR(SalesData[[#This Row],[Order Date]])</f>
        <v>2016</v>
      </c>
      <c r="C1454" s="3">
        <f>MONTH(SalesData[[#This Row],[Order Date]])</f>
        <v>5</v>
      </c>
      <c r="D1454" t="s">
        <v>23</v>
      </c>
      <c r="E1454" t="s">
        <v>31</v>
      </c>
      <c r="F1454" t="s">
        <v>11</v>
      </c>
      <c r="G1454" t="s">
        <v>24</v>
      </c>
      <c r="H1454" t="s">
        <v>25</v>
      </c>
      <c r="I1454" s="2">
        <v>2565.81</v>
      </c>
      <c r="J1454" s="3">
        <v>7</v>
      </c>
      <c r="K1454" s="2">
        <v>14.34</v>
      </c>
    </row>
    <row r="1455" spans="1:11" x14ac:dyDescent="0.25">
      <c r="A1455" s="4">
        <v>42503</v>
      </c>
      <c r="B1455" s="3">
        <f>YEAR(SalesData[[#This Row],[Order Date]])</f>
        <v>2016</v>
      </c>
      <c r="C1455" s="3">
        <f>MONTH(SalesData[[#This Row],[Order Date]])</f>
        <v>5</v>
      </c>
      <c r="D1455" t="s">
        <v>30</v>
      </c>
      <c r="E1455" t="s">
        <v>10</v>
      </c>
      <c r="F1455" t="s">
        <v>15</v>
      </c>
      <c r="G1455" t="s">
        <v>63</v>
      </c>
      <c r="H1455" t="s">
        <v>66</v>
      </c>
      <c r="I1455" s="2">
        <v>4045.08</v>
      </c>
      <c r="J1455" s="3">
        <v>10</v>
      </c>
      <c r="K1455" s="2">
        <v>221.33</v>
      </c>
    </row>
    <row r="1456" spans="1:11" x14ac:dyDescent="0.25">
      <c r="A1456" s="4">
        <v>42503</v>
      </c>
      <c r="B1456" s="3">
        <f>YEAR(SalesData[[#This Row],[Order Date]])</f>
        <v>2016</v>
      </c>
      <c r="C1456" s="3">
        <f>MONTH(SalesData[[#This Row],[Order Date]])</f>
        <v>5</v>
      </c>
      <c r="D1456" t="s">
        <v>23</v>
      </c>
      <c r="E1456" t="s">
        <v>10</v>
      </c>
      <c r="F1456" t="s">
        <v>15</v>
      </c>
      <c r="G1456" t="s">
        <v>16</v>
      </c>
      <c r="H1456" t="s">
        <v>51</v>
      </c>
      <c r="I1456" s="2">
        <v>1696.98</v>
      </c>
      <c r="J1456" s="3">
        <v>6</v>
      </c>
      <c r="K1456" s="2">
        <v>344.34</v>
      </c>
    </row>
    <row r="1457" spans="1:11" x14ac:dyDescent="0.25">
      <c r="A1457" s="4">
        <v>42504</v>
      </c>
      <c r="B1457" s="3">
        <f>YEAR(SalesData[[#This Row],[Order Date]])</f>
        <v>2016</v>
      </c>
      <c r="C1457" s="3">
        <f>MONTH(SalesData[[#This Row],[Order Date]])</f>
        <v>5</v>
      </c>
      <c r="D1457" t="s">
        <v>55</v>
      </c>
      <c r="E1457" t="s">
        <v>10</v>
      </c>
      <c r="F1457" t="s">
        <v>15</v>
      </c>
      <c r="G1457" t="s">
        <v>63</v>
      </c>
      <c r="H1457" t="s">
        <v>66</v>
      </c>
      <c r="I1457" s="2">
        <v>3550.37</v>
      </c>
      <c r="J1457" s="3">
        <v>4</v>
      </c>
      <c r="K1457" s="2">
        <v>44.8</v>
      </c>
    </row>
    <row r="1458" spans="1:11" x14ac:dyDescent="0.25">
      <c r="A1458" s="4">
        <v>42505</v>
      </c>
      <c r="B1458" s="3">
        <f>YEAR(SalesData[[#This Row],[Order Date]])</f>
        <v>2016</v>
      </c>
      <c r="C1458" s="3">
        <f>MONTH(SalesData[[#This Row],[Order Date]])</f>
        <v>5</v>
      </c>
      <c r="D1458" t="s">
        <v>50</v>
      </c>
      <c r="E1458" t="s">
        <v>40</v>
      </c>
      <c r="F1458" t="s">
        <v>15</v>
      </c>
      <c r="G1458" t="s">
        <v>38</v>
      </c>
      <c r="H1458" t="s">
        <v>56</v>
      </c>
      <c r="I1458" s="2">
        <v>384.13</v>
      </c>
      <c r="J1458" s="3">
        <v>5</v>
      </c>
      <c r="K1458" s="2">
        <v>75.23</v>
      </c>
    </row>
    <row r="1459" spans="1:11" x14ac:dyDescent="0.25">
      <c r="A1459" s="4">
        <v>42506</v>
      </c>
      <c r="B1459" s="3">
        <f>YEAR(SalesData[[#This Row],[Order Date]])</f>
        <v>2016</v>
      </c>
      <c r="C1459" s="3">
        <f>MONTH(SalesData[[#This Row],[Order Date]])</f>
        <v>5</v>
      </c>
      <c r="D1459" t="s">
        <v>23</v>
      </c>
      <c r="E1459" t="s">
        <v>44</v>
      </c>
      <c r="F1459" t="s">
        <v>27</v>
      </c>
      <c r="G1459" t="s">
        <v>32</v>
      </c>
      <c r="H1459" t="s">
        <v>33</v>
      </c>
      <c r="I1459" s="2">
        <v>3593.35</v>
      </c>
      <c r="J1459" s="3">
        <v>1</v>
      </c>
      <c r="K1459" s="2">
        <v>1033.68</v>
      </c>
    </row>
    <row r="1460" spans="1:11" x14ac:dyDescent="0.25">
      <c r="A1460" s="4">
        <v>42506</v>
      </c>
      <c r="B1460" s="3">
        <f>YEAR(SalesData[[#This Row],[Order Date]])</f>
        <v>2016</v>
      </c>
      <c r="C1460" s="3">
        <f>MONTH(SalesData[[#This Row],[Order Date]])</f>
        <v>5</v>
      </c>
      <c r="D1460" t="s">
        <v>43</v>
      </c>
      <c r="E1460" t="s">
        <v>44</v>
      </c>
      <c r="F1460" t="s">
        <v>27</v>
      </c>
      <c r="G1460" t="s">
        <v>28</v>
      </c>
      <c r="H1460" t="s">
        <v>29</v>
      </c>
      <c r="I1460" s="2">
        <v>3864.19</v>
      </c>
      <c r="J1460" s="3">
        <v>4</v>
      </c>
      <c r="K1460" s="2">
        <v>261.68</v>
      </c>
    </row>
    <row r="1461" spans="1:11" x14ac:dyDescent="0.25">
      <c r="A1461" s="4">
        <v>42507</v>
      </c>
      <c r="B1461" s="3">
        <f>YEAR(SalesData[[#This Row],[Order Date]])</f>
        <v>2016</v>
      </c>
      <c r="C1461" s="3">
        <f>MONTH(SalesData[[#This Row],[Order Date]])</f>
        <v>5</v>
      </c>
      <c r="D1461" t="s">
        <v>43</v>
      </c>
      <c r="E1461" t="s">
        <v>19</v>
      </c>
      <c r="F1461" t="s">
        <v>15</v>
      </c>
      <c r="G1461" t="s">
        <v>63</v>
      </c>
      <c r="H1461" t="s">
        <v>64</v>
      </c>
      <c r="I1461" s="2">
        <v>4200.3599999999997</v>
      </c>
      <c r="J1461" s="3">
        <v>7</v>
      </c>
      <c r="K1461" s="2">
        <v>1059.0999999999999</v>
      </c>
    </row>
    <row r="1462" spans="1:11" x14ac:dyDescent="0.25">
      <c r="A1462" s="4">
        <v>42509</v>
      </c>
      <c r="B1462" s="3">
        <f>YEAR(SalesData[[#This Row],[Order Date]])</f>
        <v>2016</v>
      </c>
      <c r="C1462" s="3">
        <f>MONTH(SalesData[[#This Row],[Order Date]])</f>
        <v>5</v>
      </c>
      <c r="D1462" t="s">
        <v>68</v>
      </c>
      <c r="E1462" t="s">
        <v>40</v>
      </c>
      <c r="F1462" t="s">
        <v>27</v>
      </c>
      <c r="G1462" t="s">
        <v>28</v>
      </c>
      <c r="H1462" t="s">
        <v>29</v>
      </c>
      <c r="I1462" s="2">
        <v>2964.73</v>
      </c>
      <c r="J1462" s="3">
        <v>8</v>
      </c>
      <c r="K1462" s="2">
        <v>749.96</v>
      </c>
    </row>
    <row r="1463" spans="1:11" x14ac:dyDescent="0.25">
      <c r="A1463" s="4">
        <v>42510</v>
      </c>
      <c r="B1463" s="3">
        <f>YEAR(SalesData[[#This Row],[Order Date]])</f>
        <v>2016</v>
      </c>
      <c r="C1463" s="3">
        <f>MONTH(SalesData[[#This Row],[Order Date]])</f>
        <v>5</v>
      </c>
      <c r="D1463" t="s">
        <v>20</v>
      </c>
      <c r="E1463" t="s">
        <v>40</v>
      </c>
      <c r="F1463" t="s">
        <v>15</v>
      </c>
      <c r="G1463" t="s">
        <v>16</v>
      </c>
      <c r="H1463" t="s">
        <v>51</v>
      </c>
      <c r="I1463" s="2">
        <v>4885.88</v>
      </c>
      <c r="J1463" s="3">
        <v>7</v>
      </c>
      <c r="K1463" s="2">
        <v>1098.6099999999999</v>
      </c>
    </row>
    <row r="1464" spans="1:11" x14ac:dyDescent="0.25">
      <c r="A1464" s="4">
        <v>42511</v>
      </c>
      <c r="B1464" s="3">
        <f>YEAR(SalesData[[#This Row],[Order Date]])</f>
        <v>2016</v>
      </c>
      <c r="C1464" s="3">
        <f>MONTH(SalesData[[#This Row],[Order Date]])</f>
        <v>5</v>
      </c>
      <c r="D1464" t="s">
        <v>55</v>
      </c>
      <c r="E1464" t="s">
        <v>10</v>
      </c>
      <c r="F1464" t="s">
        <v>27</v>
      </c>
      <c r="G1464" t="s">
        <v>48</v>
      </c>
      <c r="H1464" t="s">
        <v>57</v>
      </c>
      <c r="I1464" s="2">
        <v>3377.23</v>
      </c>
      <c r="J1464" s="3">
        <v>8</v>
      </c>
      <c r="K1464" s="2">
        <v>518.42999999999995</v>
      </c>
    </row>
    <row r="1465" spans="1:11" x14ac:dyDescent="0.25">
      <c r="A1465" s="4">
        <v>42511</v>
      </c>
      <c r="B1465" s="3">
        <f>YEAR(SalesData[[#This Row],[Order Date]])</f>
        <v>2016</v>
      </c>
      <c r="C1465" s="3">
        <f>MONTH(SalesData[[#This Row],[Order Date]])</f>
        <v>5</v>
      </c>
      <c r="D1465" t="s">
        <v>9</v>
      </c>
      <c r="E1465" t="s">
        <v>34</v>
      </c>
      <c r="F1465" t="s">
        <v>27</v>
      </c>
      <c r="G1465" t="s">
        <v>28</v>
      </c>
      <c r="H1465" t="s">
        <v>69</v>
      </c>
      <c r="I1465" s="2">
        <v>1250.92</v>
      </c>
      <c r="J1465" s="3">
        <v>10</v>
      </c>
      <c r="K1465" s="2">
        <v>314.17</v>
      </c>
    </row>
    <row r="1466" spans="1:11" x14ac:dyDescent="0.25">
      <c r="A1466" s="4">
        <v>42512</v>
      </c>
      <c r="B1466" s="3">
        <f>YEAR(SalesData[[#This Row],[Order Date]])</f>
        <v>2016</v>
      </c>
      <c r="C1466" s="3">
        <f>MONTH(SalesData[[#This Row],[Order Date]])</f>
        <v>5</v>
      </c>
      <c r="D1466" t="s">
        <v>43</v>
      </c>
      <c r="E1466" t="s">
        <v>19</v>
      </c>
      <c r="F1466" t="s">
        <v>11</v>
      </c>
      <c r="G1466" t="s">
        <v>24</v>
      </c>
      <c r="H1466" t="s">
        <v>54</v>
      </c>
      <c r="I1466" s="2">
        <v>4253.59</v>
      </c>
      <c r="J1466" s="3">
        <v>7</v>
      </c>
      <c r="K1466" s="2">
        <v>827.78</v>
      </c>
    </row>
    <row r="1467" spans="1:11" x14ac:dyDescent="0.25">
      <c r="A1467" s="4">
        <v>42513</v>
      </c>
      <c r="B1467" s="3">
        <f>YEAR(SalesData[[#This Row],[Order Date]])</f>
        <v>2016</v>
      </c>
      <c r="C1467" s="3">
        <f>MONTH(SalesData[[#This Row],[Order Date]])</f>
        <v>5</v>
      </c>
      <c r="D1467" t="s">
        <v>55</v>
      </c>
      <c r="E1467" t="s">
        <v>40</v>
      </c>
      <c r="F1467" t="s">
        <v>27</v>
      </c>
      <c r="G1467" t="s">
        <v>32</v>
      </c>
      <c r="H1467" t="s">
        <v>33</v>
      </c>
      <c r="I1467" s="2">
        <v>1212.6300000000001</v>
      </c>
      <c r="J1467" s="3">
        <v>6</v>
      </c>
      <c r="K1467" s="2">
        <v>268.52</v>
      </c>
    </row>
    <row r="1468" spans="1:11" x14ac:dyDescent="0.25">
      <c r="A1468" s="4">
        <v>42513</v>
      </c>
      <c r="B1468" s="3">
        <f>YEAR(SalesData[[#This Row],[Order Date]])</f>
        <v>2016</v>
      </c>
      <c r="C1468" s="3">
        <f>MONTH(SalesData[[#This Row],[Order Date]])</f>
        <v>5</v>
      </c>
      <c r="D1468" t="s">
        <v>43</v>
      </c>
      <c r="E1468" t="s">
        <v>10</v>
      </c>
      <c r="F1468" t="s">
        <v>15</v>
      </c>
      <c r="G1468" t="s">
        <v>41</v>
      </c>
      <c r="H1468" t="s">
        <v>61</v>
      </c>
      <c r="I1468" s="2">
        <v>3787.02</v>
      </c>
      <c r="J1468" s="3">
        <v>7</v>
      </c>
      <c r="K1468" s="2">
        <v>933.8</v>
      </c>
    </row>
    <row r="1469" spans="1:11" x14ac:dyDescent="0.25">
      <c r="A1469" s="4">
        <v>42514</v>
      </c>
      <c r="B1469" s="3">
        <f>YEAR(SalesData[[#This Row],[Order Date]])</f>
        <v>2016</v>
      </c>
      <c r="C1469" s="3">
        <f>MONTH(SalesData[[#This Row],[Order Date]])</f>
        <v>5</v>
      </c>
      <c r="D1469" t="s">
        <v>23</v>
      </c>
      <c r="E1469" t="s">
        <v>10</v>
      </c>
      <c r="F1469" t="s">
        <v>11</v>
      </c>
      <c r="G1469" t="s">
        <v>24</v>
      </c>
      <c r="H1469" t="s">
        <v>25</v>
      </c>
      <c r="I1469" s="2">
        <v>1793.5</v>
      </c>
      <c r="J1469" s="3">
        <v>1</v>
      </c>
      <c r="K1469" s="2">
        <v>531.91</v>
      </c>
    </row>
    <row r="1470" spans="1:11" x14ac:dyDescent="0.25">
      <c r="A1470" s="4">
        <v>42514</v>
      </c>
      <c r="B1470" s="3">
        <f>YEAR(SalesData[[#This Row],[Order Date]])</f>
        <v>2016</v>
      </c>
      <c r="C1470" s="3">
        <f>MONTH(SalesData[[#This Row],[Order Date]])</f>
        <v>5</v>
      </c>
      <c r="D1470" t="s">
        <v>43</v>
      </c>
      <c r="E1470" t="s">
        <v>52</v>
      </c>
      <c r="F1470" t="s">
        <v>15</v>
      </c>
      <c r="G1470" t="s">
        <v>63</v>
      </c>
      <c r="H1470" t="s">
        <v>66</v>
      </c>
      <c r="I1470" s="2">
        <v>4795.3500000000004</v>
      </c>
      <c r="J1470" s="3">
        <v>2</v>
      </c>
      <c r="K1470" s="2">
        <v>78.760000000000005</v>
      </c>
    </row>
    <row r="1471" spans="1:11" x14ac:dyDescent="0.25">
      <c r="A1471" s="4">
        <v>42514</v>
      </c>
      <c r="B1471" s="3">
        <f>YEAR(SalesData[[#This Row],[Order Date]])</f>
        <v>2016</v>
      </c>
      <c r="C1471" s="3">
        <f>MONTH(SalesData[[#This Row],[Order Date]])</f>
        <v>5</v>
      </c>
      <c r="D1471" t="s">
        <v>18</v>
      </c>
      <c r="E1471" t="s">
        <v>19</v>
      </c>
      <c r="F1471" t="s">
        <v>27</v>
      </c>
      <c r="G1471" t="s">
        <v>32</v>
      </c>
      <c r="H1471" t="s">
        <v>33</v>
      </c>
      <c r="I1471" s="2">
        <v>545.34</v>
      </c>
      <c r="J1471" s="3">
        <v>4</v>
      </c>
      <c r="K1471" s="2">
        <v>32.92</v>
      </c>
    </row>
    <row r="1472" spans="1:11" x14ac:dyDescent="0.25">
      <c r="A1472" s="4">
        <v>42514</v>
      </c>
      <c r="B1472" s="3">
        <f>YEAR(SalesData[[#This Row],[Order Date]])</f>
        <v>2016</v>
      </c>
      <c r="C1472" s="3">
        <f>MONTH(SalesData[[#This Row],[Order Date]])</f>
        <v>5</v>
      </c>
      <c r="D1472" t="s">
        <v>23</v>
      </c>
      <c r="E1472" t="s">
        <v>44</v>
      </c>
      <c r="F1472" t="s">
        <v>11</v>
      </c>
      <c r="G1472" t="s">
        <v>35</v>
      </c>
      <c r="H1472" t="s">
        <v>36</v>
      </c>
      <c r="I1472" s="2">
        <v>2017.3</v>
      </c>
      <c r="J1472" s="3">
        <v>2</v>
      </c>
      <c r="K1472" s="2">
        <v>293.93</v>
      </c>
    </row>
    <row r="1473" spans="1:11" x14ac:dyDescent="0.25">
      <c r="A1473" s="4">
        <v>42514</v>
      </c>
      <c r="B1473" s="3">
        <f>YEAR(SalesData[[#This Row],[Order Date]])</f>
        <v>2016</v>
      </c>
      <c r="C1473" s="3">
        <f>MONTH(SalesData[[#This Row],[Order Date]])</f>
        <v>5</v>
      </c>
      <c r="D1473" t="s">
        <v>43</v>
      </c>
      <c r="E1473" t="s">
        <v>44</v>
      </c>
      <c r="F1473" t="s">
        <v>11</v>
      </c>
      <c r="G1473" t="s">
        <v>12</v>
      </c>
      <c r="H1473" t="s">
        <v>13</v>
      </c>
      <c r="I1473" s="2">
        <v>2827.32</v>
      </c>
      <c r="J1473" s="3">
        <v>6</v>
      </c>
      <c r="K1473" s="2">
        <v>97.19</v>
      </c>
    </row>
    <row r="1474" spans="1:11" x14ac:dyDescent="0.25">
      <c r="A1474" s="4">
        <v>42515</v>
      </c>
      <c r="B1474" s="3">
        <f>YEAR(SalesData[[#This Row],[Order Date]])</f>
        <v>2016</v>
      </c>
      <c r="C1474" s="3">
        <f>MONTH(SalesData[[#This Row],[Order Date]])</f>
        <v>5</v>
      </c>
      <c r="D1474" t="s">
        <v>14</v>
      </c>
      <c r="E1474" t="s">
        <v>10</v>
      </c>
      <c r="F1474" t="s">
        <v>15</v>
      </c>
      <c r="G1474" t="s">
        <v>45</v>
      </c>
      <c r="H1474" t="s">
        <v>46</v>
      </c>
      <c r="I1474" s="2">
        <v>289.66000000000003</v>
      </c>
      <c r="J1474" s="3">
        <v>6</v>
      </c>
      <c r="K1474" s="2">
        <v>28.5</v>
      </c>
    </row>
    <row r="1475" spans="1:11" x14ac:dyDescent="0.25">
      <c r="A1475" s="4">
        <v>42516</v>
      </c>
      <c r="B1475" s="3">
        <f>YEAR(SalesData[[#This Row],[Order Date]])</f>
        <v>2016</v>
      </c>
      <c r="C1475" s="3">
        <f>MONTH(SalesData[[#This Row],[Order Date]])</f>
        <v>5</v>
      </c>
      <c r="D1475" t="s">
        <v>47</v>
      </c>
      <c r="E1475" t="s">
        <v>37</v>
      </c>
      <c r="F1475" t="s">
        <v>11</v>
      </c>
      <c r="G1475" t="s">
        <v>35</v>
      </c>
      <c r="H1475" t="s">
        <v>36</v>
      </c>
      <c r="I1475" s="2">
        <v>3632.47</v>
      </c>
      <c r="J1475" s="3">
        <v>2</v>
      </c>
      <c r="K1475" s="2">
        <v>710.51</v>
      </c>
    </row>
    <row r="1476" spans="1:11" x14ac:dyDescent="0.25">
      <c r="A1476" s="4">
        <v>42516</v>
      </c>
      <c r="B1476" s="3">
        <f>YEAR(SalesData[[#This Row],[Order Date]])</f>
        <v>2016</v>
      </c>
      <c r="C1476" s="3">
        <f>MONTH(SalesData[[#This Row],[Order Date]])</f>
        <v>5</v>
      </c>
      <c r="D1476" t="s">
        <v>43</v>
      </c>
      <c r="E1476" t="s">
        <v>19</v>
      </c>
      <c r="F1476" t="s">
        <v>27</v>
      </c>
      <c r="G1476" t="s">
        <v>48</v>
      </c>
      <c r="H1476" t="s">
        <v>57</v>
      </c>
      <c r="I1476" s="2">
        <v>2549.06</v>
      </c>
      <c r="J1476" s="3">
        <v>1</v>
      </c>
      <c r="K1476" s="2">
        <v>581.64</v>
      </c>
    </row>
    <row r="1477" spans="1:11" x14ac:dyDescent="0.25">
      <c r="A1477" s="4">
        <v>42516</v>
      </c>
      <c r="B1477" s="3">
        <f>YEAR(SalesData[[#This Row],[Order Date]])</f>
        <v>2016</v>
      </c>
      <c r="C1477" s="3">
        <f>MONTH(SalesData[[#This Row],[Order Date]])</f>
        <v>5</v>
      </c>
      <c r="D1477" t="s">
        <v>18</v>
      </c>
      <c r="E1477" t="s">
        <v>34</v>
      </c>
      <c r="F1477" t="s">
        <v>11</v>
      </c>
      <c r="G1477" t="s">
        <v>21</v>
      </c>
      <c r="H1477" t="s">
        <v>67</v>
      </c>
      <c r="I1477" s="2">
        <v>2209.88</v>
      </c>
      <c r="J1477" s="3">
        <v>4</v>
      </c>
      <c r="K1477" s="2">
        <v>473.46</v>
      </c>
    </row>
    <row r="1478" spans="1:11" x14ac:dyDescent="0.25">
      <c r="A1478" s="4">
        <v>42517</v>
      </c>
      <c r="B1478" s="3">
        <f>YEAR(SalesData[[#This Row],[Order Date]])</f>
        <v>2016</v>
      </c>
      <c r="C1478" s="3">
        <f>MONTH(SalesData[[#This Row],[Order Date]])</f>
        <v>5</v>
      </c>
      <c r="D1478" t="s">
        <v>23</v>
      </c>
      <c r="E1478" t="s">
        <v>31</v>
      </c>
      <c r="F1478" t="s">
        <v>15</v>
      </c>
      <c r="G1478" t="s">
        <v>45</v>
      </c>
      <c r="H1478" t="s">
        <v>59</v>
      </c>
      <c r="I1478" s="2">
        <v>2724.03</v>
      </c>
      <c r="J1478" s="3">
        <v>8</v>
      </c>
      <c r="K1478" s="2">
        <v>355.92</v>
      </c>
    </row>
    <row r="1479" spans="1:11" x14ac:dyDescent="0.25">
      <c r="A1479" s="4">
        <v>42518</v>
      </c>
      <c r="B1479" s="3">
        <f>YEAR(SalesData[[#This Row],[Order Date]])</f>
        <v>2016</v>
      </c>
      <c r="C1479" s="3">
        <f>MONTH(SalesData[[#This Row],[Order Date]])</f>
        <v>5</v>
      </c>
      <c r="D1479" t="s">
        <v>55</v>
      </c>
      <c r="E1479" t="s">
        <v>10</v>
      </c>
      <c r="F1479" t="s">
        <v>11</v>
      </c>
      <c r="G1479" t="s">
        <v>12</v>
      </c>
      <c r="H1479" t="s">
        <v>65</v>
      </c>
      <c r="I1479" s="2">
        <v>2997.91</v>
      </c>
      <c r="J1479" s="3">
        <v>7</v>
      </c>
      <c r="K1479" s="2">
        <v>155.22999999999999</v>
      </c>
    </row>
    <row r="1480" spans="1:11" x14ac:dyDescent="0.25">
      <c r="A1480" s="4">
        <v>42519</v>
      </c>
      <c r="B1480" s="3">
        <f>YEAR(SalesData[[#This Row],[Order Date]])</f>
        <v>2016</v>
      </c>
      <c r="C1480" s="3">
        <f>MONTH(SalesData[[#This Row],[Order Date]])</f>
        <v>5</v>
      </c>
      <c r="D1480" t="s">
        <v>18</v>
      </c>
      <c r="E1480" t="s">
        <v>34</v>
      </c>
      <c r="F1480" t="s">
        <v>27</v>
      </c>
      <c r="G1480" t="s">
        <v>32</v>
      </c>
      <c r="H1480" t="s">
        <v>53</v>
      </c>
      <c r="I1480" s="2">
        <v>3935.46</v>
      </c>
      <c r="J1480" s="3">
        <v>2</v>
      </c>
      <c r="K1480" s="2">
        <v>564.64</v>
      </c>
    </row>
    <row r="1481" spans="1:11" x14ac:dyDescent="0.25">
      <c r="A1481" s="4">
        <v>42520</v>
      </c>
      <c r="B1481" s="3">
        <f>YEAR(SalesData[[#This Row],[Order Date]])</f>
        <v>2016</v>
      </c>
      <c r="C1481" s="3">
        <f>MONTH(SalesData[[#This Row],[Order Date]])</f>
        <v>5</v>
      </c>
      <c r="D1481" t="s">
        <v>62</v>
      </c>
      <c r="E1481" t="s">
        <v>26</v>
      </c>
      <c r="F1481" t="s">
        <v>15</v>
      </c>
      <c r="G1481" t="s">
        <v>16</v>
      </c>
      <c r="H1481" t="s">
        <v>17</v>
      </c>
      <c r="I1481" s="2">
        <v>525.49</v>
      </c>
      <c r="J1481" s="3">
        <v>5</v>
      </c>
      <c r="K1481" s="2">
        <v>16.809999999999999</v>
      </c>
    </row>
    <row r="1482" spans="1:11" x14ac:dyDescent="0.25">
      <c r="A1482" s="4">
        <v>42522</v>
      </c>
      <c r="B1482" s="3">
        <f>YEAR(SalesData[[#This Row],[Order Date]])</f>
        <v>2016</v>
      </c>
      <c r="C1482" s="3">
        <f>MONTH(SalesData[[#This Row],[Order Date]])</f>
        <v>6</v>
      </c>
      <c r="D1482" t="s">
        <v>68</v>
      </c>
      <c r="E1482" t="s">
        <v>34</v>
      </c>
      <c r="F1482" t="s">
        <v>15</v>
      </c>
      <c r="G1482" t="s">
        <v>63</v>
      </c>
      <c r="H1482" t="s">
        <v>64</v>
      </c>
      <c r="I1482" s="2">
        <v>2138.9299999999998</v>
      </c>
      <c r="J1482" s="3">
        <v>7</v>
      </c>
      <c r="K1482" s="2">
        <v>459.82</v>
      </c>
    </row>
    <row r="1483" spans="1:11" x14ac:dyDescent="0.25">
      <c r="A1483" s="4">
        <v>42522</v>
      </c>
      <c r="B1483" s="3">
        <f>YEAR(SalesData[[#This Row],[Order Date]])</f>
        <v>2016</v>
      </c>
      <c r="C1483" s="3">
        <f>MONTH(SalesData[[#This Row],[Order Date]])</f>
        <v>6</v>
      </c>
      <c r="D1483" t="s">
        <v>23</v>
      </c>
      <c r="E1483" t="s">
        <v>34</v>
      </c>
      <c r="F1483" t="s">
        <v>27</v>
      </c>
      <c r="G1483" t="s">
        <v>32</v>
      </c>
      <c r="H1483" t="s">
        <v>53</v>
      </c>
      <c r="I1483" s="2">
        <v>3738.23</v>
      </c>
      <c r="J1483" s="3">
        <v>4</v>
      </c>
      <c r="K1483" s="2">
        <v>452.67</v>
      </c>
    </row>
    <row r="1484" spans="1:11" x14ac:dyDescent="0.25">
      <c r="A1484" s="4">
        <v>42523</v>
      </c>
      <c r="B1484" s="3">
        <f>YEAR(SalesData[[#This Row],[Order Date]])</f>
        <v>2016</v>
      </c>
      <c r="C1484" s="3">
        <f>MONTH(SalesData[[#This Row],[Order Date]])</f>
        <v>6</v>
      </c>
      <c r="D1484" t="s">
        <v>14</v>
      </c>
      <c r="E1484" t="s">
        <v>26</v>
      </c>
      <c r="F1484" t="s">
        <v>15</v>
      </c>
      <c r="G1484" t="s">
        <v>38</v>
      </c>
      <c r="H1484" t="s">
        <v>56</v>
      </c>
      <c r="I1484" s="2">
        <v>4903.43</v>
      </c>
      <c r="J1484" s="3">
        <v>5</v>
      </c>
      <c r="K1484" s="2">
        <v>776.59</v>
      </c>
    </row>
    <row r="1485" spans="1:11" x14ac:dyDescent="0.25">
      <c r="A1485" s="4">
        <v>42523</v>
      </c>
      <c r="B1485" s="3">
        <f>YEAR(SalesData[[#This Row],[Order Date]])</f>
        <v>2016</v>
      </c>
      <c r="C1485" s="3">
        <f>MONTH(SalesData[[#This Row],[Order Date]])</f>
        <v>6</v>
      </c>
      <c r="D1485" t="s">
        <v>68</v>
      </c>
      <c r="E1485" t="s">
        <v>31</v>
      </c>
      <c r="F1485" t="s">
        <v>27</v>
      </c>
      <c r="G1485" t="s">
        <v>32</v>
      </c>
      <c r="H1485" t="s">
        <v>53</v>
      </c>
      <c r="I1485" s="2">
        <v>4799.96</v>
      </c>
      <c r="J1485" s="3">
        <v>7</v>
      </c>
      <c r="K1485" s="2">
        <v>773.14</v>
      </c>
    </row>
    <row r="1486" spans="1:11" x14ac:dyDescent="0.25">
      <c r="A1486" s="4">
        <v>42523</v>
      </c>
      <c r="B1486" s="3">
        <f>YEAR(SalesData[[#This Row],[Order Date]])</f>
        <v>2016</v>
      </c>
      <c r="C1486" s="3">
        <f>MONTH(SalesData[[#This Row],[Order Date]])</f>
        <v>6</v>
      </c>
      <c r="D1486" t="s">
        <v>23</v>
      </c>
      <c r="E1486" t="s">
        <v>52</v>
      </c>
      <c r="F1486" t="s">
        <v>15</v>
      </c>
      <c r="G1486" t="s">
        <v>38</v>
      </c>
      <c r="H1486" t="s">
        <v>39</v>
      </c>
      <c r="I1486" s="2">
        <v>3595.68</v>
      </c>
      <c r="J1486" s="3">
        <v>4</v>
      </c>
      <c r="K1486" s="2">
        <v>665.77</v>
      </c>
    </row>
    <row r="1487" spans="1:11" x14ac:dyDescent="0.25">
      <c r="A1487" s="4">
        <v>42524</v>
      </c>
      <c r="B1487" s="3">
        <f>YEAR(SalesData[[#This Row],[Order Date]])</f>
        <v>2016</v>
      </c>
      <c r="C1487" s="3">
        <f>MONTH(SalesData[[#This Row],[Order Date]])</f>
        <v>6</v>
      </c>
      <c r="D1487" t="s">
        <v>30</v>
      </c>
      <c r="E1487" t="s">
        <v>37</v>
      </c>
      <c r="F1487" t="s">
        <v>15</v>
      </c>
      <c r="G1487" t="s">
        <v>38</v>
      </c>
      <c r="H1487" t="s">
        <v>56</v>
      </c>
      <c r="I1487" s="2">
        <v>2140.4899999999998</v>
      </c>
      <c r="J1487" s="3">
        <v>1</v>
      </c>
      <c r="K1487" s="2">
        <v>562.66999999999996</v>
      </c>
    </row>
    <row r="1488" spans="1:11" x14ac:dyDescent="0.25">
      <c r="A1488" s="4">
        <v>42525</v>
      </c>
      <c r="B1488" s="3">
        <f>YEAR(SalesData[[#This Row],[Order Date]])</f>
        <v>2016</v>
      </c>
      <c r="C1488" s="3">
        <f>MONTH(SalesData[[#This Row],[Order Date]])</f>
        <v>6</v>
      </c>
      <c r="D1488" t="s">
        <v>20</v>
      </c>
      <c r="E1488" t="s">
        <v>19</v>
      </c>
      <c r="F1488" t="s">
        <v>27</v>
      </c>
      <c r="G1488" t="s">
        <v>48</v>
      </c>
      <c r="H1488" t="s">
        <v>57</v>
      </c>
      <c r="I1488" s="2">
        <v>77.14</v>
      </c>
      <c r="J1488" s="3">
        <v>10</v>
      </c>
      <c r="K1488" s="2">
        <v>1.58</v>
      </c>
    </row>
    <row r="1489" spans="1:11" x14ac:dyDescent="0.25">
      <c r="A1489" s="4">
        <v>42526</v>
      </c>
      <c r="B1489" s="3">
        <f>YEAR(SalesData[[#This Row],[Order Date]])</f>
        <v>2016</v>
      </c>
      <c r="C1489" s="3">
        <f>MONTH(SalesData[[#This Row],[Order Date]])</f>
        <v>6</v>
      </c>
      <c r="D1489" t="s">
        <v>30</v>
      </c>
      <c r="E1489" t="s">
        <v>31</v>
      </c>
      <c r="F1489" t="s">
        <v>27</v>
      </c>
      <c r="G1489" t="s">
        <v>32</v>
      </c>
      <c r="H1489" t="s">
        <v>33</v>
      </c>
      <c r="I1489" s="2">
        <v>2893.64</v>
      </c>
      <c r="J1489" s="3">
        <v>3</v>
      </c>
      <c r="K1489" s="2">
        <v>18.29</v>
      </c>
    </row>
    <row r="1490" spans="1:11" x14ac:dyDescent="0.25">
      <c r="A1490" s="4">
        <v>42526</v>
      </c>
      <c r="B1490" s="3">
        <f>YEAR(SalesData[[#This Row],[Order Date]])</f>
        <v>2016</v>
      </c>
      <c r="C1490" s="3">
        <f>MONTH(SalesData[[#This Row],[Order Date]])</f>
        <v>6</v>
      </c>
      <c r="D1490" t="s">
        <v>9</v>
      </c>
      <c r="E1490" t="s">
        <v>19</v>
      </c>
      <c r="F1490" t="s">
        <v>11</v>
      </c>
      <c r="G1490" t="s">
        <v>24</v>
      </c>
      <c r="H1490" t="s">
        <v>25</v>
      </c>
      <c r="I1490" s="2">
        <v>2213.6799999999998</v>
      </c>
      <c r="J1490" s="3">
        <v>4</v>
      </c>
      <c r="K1490" s="2">
        <v>355.61</v>
      </c>
    </row>
    <row r="1491" spans="1:11" x14ac:dyDescent="0.25">
      <c r="A1491" s="4">
        <v>42528</v>
      </c>
      <c r="B1491" s="3">
        <f>YEAR(SalesData[[#This Row],[Order Date]])</f>
        <v>2016</v>
      </c>
      <c r="C1491" s="3">
        <f>MONTH(SalesData[[#This Row],[Order Date]])</f>
        <v>6</v>
      </c>
      <c r="D1491" t="s">
        <v>62</v>
      </c>
      <c r="E1491" t="s">
        <v>10</v>
      </c>
      <c r="F1491" t="s">
        <v>15</v>
      </c>
      <c r="G1491" t="s">
        <v>38</v>
      </c>
      <c r="H1491" t="s">
        <v>39</v>
      </c>
      <c r="I1491" s="2">
        <v>4913.38</v>
      </c>
      <c r="J1491" s="3">
        <v>7</v>
      </c>
      <c r="K1491" s="2">
        <v>156.99</v>
      </c>
    </row>
    <row r="1492" spans="1:11" x14ac:dyDescent="0.25">
      <c r="A1492" s="4">
        <v>42529</v>
      </c>
      <c r="B1492" s="3">
        <f>YEAR(SalesData[[#This Row],[Order Date]])</f>
        <v>2016</v>
      </c>
      <c r="C1492" s="3">
        <f>MONTH(SalesData[[#This Row],[Order Date]])</f>
        <v>6</v>
      </c>
      <c r="D1492" t="s">
        <v>9</v>
      </c>
      <c r="E1492" t="s">
        <v>34</v>
      </c>
      <c r="F1492" t="s">
        <v>27</v>
      </c>
      <c r="G1492" t="s">
        <v>32</v>
      </c>
      <c r="H1492" t="s">
        <v>33</v>
      </c>
      <c r="I1492" s="2">
        <v>1619.97</v>
      </c>
      <c r="J1492" s="3">
        <v>1</v>
      </c>
      <c r="K1492" s="2">
        <v>218.83</v>
      </c>
    </row>
    <row r="1493" spans="1:11" x14ac:dyDescent="0.25">
      <c r="A1493" s="4">
        <v>42529</v>
      </c>
      <c r="B1493" s="3">
        <f>YEAR(SalesData[[#This Row],[Order Date]])</f>
        <v>2016</v>
      </c>
      <c r="C1493" s="3">
        <f>MONTH(SalesData[[#This Row],[Order Date]])</f>
        <v>6</v>
      </c>
      <c r="D1493" t="s">
        <v>23</v>
      </c>
      <c r="E1493" t="s">
        <v>52</v>
      </c>
      <c r="F1493" t="s">
        <v>11</v>
      </c>
      <c r="G1493" t="s">
        <v>21</v>
      </c>
      <c r="H1493" t="s">
        <v>67</v>
      </c>
      <c r="I1493" s="2">
        <v>1860.91</v>
      </c>
      <c r="J1493" s="3">
        <v>4</v>
      </c>
      <c r="K1493" s="2">
        <v>202.52</v>
      </c>
    </row>
    <row r="1494" spans="1:11" x14ac:dyDescent="0.25">
      <c r="A1494" s="4">
        <v>42529</v>
      </c>
      <c r="B1494" s="3">
        <f>YEAR(SalesData[[#This Row],[Order Date]])</f>
        <v>2016</v>
      </c>
      <c r="C1494" s="3">
        <f>MONTH(SalesData[[#This Row],[Order Date]])</f>
        <v>6</v>
      </c>
      <c r="D1494" t="s">
        <v>62</v>
      </c>
      <c r="E1494" t="s">
        <v>26</v>
      </c>
      <c r="F1494" t="s">
        <v>15</v>
      </c>
      <c r="G1494" t="s">
        <v>45</v>
      </c>
      <c r="H1494" t="s">
        <v>46</v>
      </c>
      <c r="I1494" s="2">
        <v>271.97000000000003</v>
      </c>
      <c r="J1494" s="3">
        <v>7</v>
      </c>
      <c r="K1494" s="2">
        <v>20.5</v>
      </c>
    </row>
    <row r="1495" spans="1:11" x14ac:dyDescent="0.25">
      <c r="A1495" s="4">
        <v>42529</v>
      </c>
      <c r="B1495" s="3">
        <f>YEAR(SalesData[[#This Row],[Order Date]])</f>
        <v>2016</v>
      </c>
      <c r="C1495" s="3">
        <f>MONTH(SalesData[[#This Row],[Order Date]])</f>
        <v>6</v>
      </c>
      <c r="D1495" t="s">
        <v>9</v>
      </c>
      <c r="E1495" t="s">
        <v>26</v>
      </c>
      <c r="F1495" t="s">
        <v>27</v>
      </c>
      <c r="G1495" t="s">
        <v>28</v>
      </c>
      <c r="H1495" t="s">
        <v>58</v>
      </c>
      <c r="I1495" s="2">
        <v>1057.45</v>
      </c>
      <c r="J1495" s="3">
        <v>3</v>
      </c>
      <c r="K1495" s="2">
        <v>201.44</v>
      </c>
    </row>
    <row r="1496" spans="1:11" x14ac:dyDescent="0.25">
      <c r="A1496" s="4">
        <v>42530</v>
      </c>
      <c r="B1496" s="3">
        <f>YEAR(SalesData[[#This Row],[Order Date]])</f>
        <v>2016</v>
      </c>
      <c r="C1496" s="3">
        <f>MONTH(SalesData[[#This Row],[Order Date]])</f>
        <v>6</v>
      </c>
      <c r="D1496" t="s">
        <v>20</v>
      </c>
      <c r="E1496" t="s">
        <v>40</v>
      </c>
      <c r="F1496" t="s">
        <v>27</v>
      </c>
      <c r="G1496" t="s">
        <v>48</v>
      </c>
      <c r="H1496" t="s">
        <v>57</v>
      </c>
      <c r="I1496" s="2">
        <v>2698.38</v>
      </c>
      <c r="J1496" s="3">
        <v>1</v>
      </c>
      <c r="K1496" s="2">
        <v>781.57</v>
      </c>
    </row>
    <row r="1497" spans="1:11" x14ac:dyDescent="0.25">
      <c r="A1497" s="4">
        <v>42531</v>
      </c>
      <c r="B1497" s="3">
        <f>YEAR(SalesData[[#This Row],[Order Date]])</f>
        <v>2016</v>
      </c>
      <c r="C1497" s="3">
        <f>MONTH(SalesData[[#This Row],[Order Date]])</f>
        <v>6</v>
      </c>
      <c r="D1497" t="s">
        <v>43</v>
      </c>
      <c r="E1497" t="s">
        <v>26</v>
      </c>
      <c r="F1497" t="s">
        <v>27</v>
      </c>
      <c r="G1497" t="s">
        <v>48</v>
      </c>
      <c r="H1497" t="s">
        <v>57</v>
      </c>
      <c r="I1497" s="2">
        <v>4236.8900000000003</v>
      </c>
      <c r="J1497" s="3">
        <v>4</v>
      </c>
      <c r="K1497" s="2">
        <v>985.92</v>
      </c>
    </row>
    <row r="1498" spans="1:11" x14ac:dyDescent="0.25">
      <c r="A1498" s="4">
        <v>42532</v>
      </c>
      <c r="B1498" s="3">
        <f>YEAR(SalesData[[#This Row],[Order Date]])</f>
        <v>2016</v>
      </c>
      <c r="C1498" s="3">
        <f>MONTH(SalesData[[#This Row],[Order Date]])</f>
        <v>6</v>
      </c>
      <c r="D1498" t="s">
        <v>20</v>
      </c>
      <c r="E1498" t="s">
        <v>26</v>
      </c>
      <c r="F1498" t="s">
        <v>27</v>
      </c>
      <c r="G1498" t="s">
        <v>28</v>
      </c>
      <c r="H1498" t="s">
        <v>29</v>
      </c>
      <c r="I1498" s="2">
        <v>3446.46</v>
      </c>
      <c r="J1498" s="3">
        <v>3</v>
      </c>
      <c r="K1498" s="2">
        <v>454.4</v>
      </c>
    </row>
    <row r="1499" spans="1:11" x14ac:dyDescent="0.25">
      <c r="A1499" s="4">
        <v>42532</v>
      </c>
      <c r="B1499" s="3">
        <f>YEAR(SalesData[[#This Row],[Order Date]])</f>
        <v>2016</v>
      </c>
      <c r="C1499" s="3">
        <f>MONTH(SalesData[[#This Row],[Order Date]])</f>
        <v>6</v>
      </c>
      <c r="D1499" t="s">
        <v>68</v>
      </c>
      <c r="E1499" t="s">
        <v>44</v>
      </c>
      <c r="F1499" t="s">
        <v>27</v>
      </c>
      <c r="G1499" t="s">
        <v>28</v>
      </c>
      <c r="H1499" t="s">
        <v>29</v>
      </c>
      <c r="I1499" s="2">
        <v>1197.57</v>
      </c>
      <c r="J1499" s="3">
        <v>3</v>
      </c>
      <c r="K1499" s="2">
        <v>311.3</v>
      </c>
    </row>
    <row r="1500" spans="1:11" x14ac:dyDescent="0.25">
      <c r="A1500" s="4">
        <v>42532</v>
      </c>
      <c r="B1500" s="3">
        <f>YEAR(SalesData[[#This Row],[Order Date]])</f>
        <v>2016</v>
      </c>
      <c r="C1500" s="3">
        <f>MONTH(SalesData[[#This Row],[Order Date]])</f>
        <v>6</v>
      </c>
      <c r="D1500" t="s">
        <v>14</v>
      </c>
      <c r="E1500" t="s">
        <v>44</v>
      </c>
      <c r="F1500" t="s">
        <v>27</v>
      </c>
      <c r="G1500" t="s">
        <v>48</v>
      </c>
      <c r="H1500" t="s">
        <v>57</v>
      </c>
      <c r="I1500" s="2">
        <v>2675.39</v>
      </c>
      <c r="J1500" s="3">
        <v>1</v>
      </c>
      <c r="K1500" s="2">
        <v>392.08</v>
      </c>
    </row>
    <row r="1501" spans="1:11" x14ac:dyDescent="0.25">
      <c r="A1501" s="4">
        <v>42532</v>
      </c>
      <c r="B1501" s="3">
        <f>YEAR(SalesData[[#This Row],[Order Date]])</f>
        <v>2016</v>
      </c>
      <c r="C1501" s="3">
        <f>MONTH(SalesData[[#This Row],[Order Date]])</f>
        <v>6</v>
      </c>
      <c r="D1501" t="s">
        <v>23</v>
      </c>
      <c r="E1501" t="s">
        <v>26</v>
      </c>
      <c r="F1501" t="s">
        <v>15</v>
      </c>
      <c r="G1501" t="s">
        <v>38</v>
      </c>
      <c r="H1501" t="s">
        <v>56</v>
      </c>
      <c r="I1501" s="2">
        <v>3129.34</v>
      </c>
      <c r="J1501" s="3">
        <v>6</v>
      </c>
      <c r="K1501" s="2">
        <v>455.01</v>
      </c>
    </row>
    <row r="1502" spans="1:11" x14ac:dyDescent="0.25">
      <c r="A1502" s="4">
        <v>42533</v>
      </c>
      <c r="B1502" s="3">
        <f>YEAR(SalesData[[#This Row],[Order Date]])</f>
        <v>2016</v>
      </c>
      <c r="C1502" s="3">
        <f>MONTH(SalesData[[#This Row],[Order Date]])</f>
        <v>6</v>
      </c>
      <c r="D1502" t="s">
        <v>9</v>
      </c>
      <c r="E1502" t="s">
        <v>40</v>
      </c>
      <c r="F1502" t="s">
        <v>27</v>
      </c>
      <c r="G1502" t="s">
        <v>32</v>
      </c>
      <c r="H1502" t="s">
        <v>53</v>
      </c>
      <c r="I1502" s="2">
        <v>4119.16</v>
      </c>
      <c r="J1502" s="3">
        <v>7</v>
      </c>
      <c r="K1502" s="2">
        <v>538.77</v>
      </c>
    </row>
    <row r="1503" spans="1:11" x14ac:dyDescent="0.25">
      <c r="A1503" s="4">
        <v>42533</v>
      </c>
      <c r="B1503" s="3">
        <f>YEAR(SalesData[[#This Row],[Order Date]])</f>
        <v>2016</v>
      </c>
      <c r="C1503" s="3">
        <f>MONTH(SalesData[[#This Row],[Order Date]])</f>
        <v>6</v>
      </c>
      <c r="D1503" t="s">
        <v>47</v>
      </c>
      <c r="E1503" t="s">
        <v>40</v>
      </c>
      <c r="F1503" t="s">
        <v>11</v>
      </c>
      <c r="G1503" t="s">
        <v>12</v>
      </c>
      <c r="H1503" t="s">
        <v>13</v>
      </c>
      <c r="I1503" s="2">
        <v>3328.7</v>
      </c>
      <c r="J1503" s="3">
        <v>4</v>
      </c>
      <c r="K1503" s="2">
        <v>576.37</v>
      </c>
    </row>
    <row r="1504" spans="1:11" x14ac:dyDescent="0.25">
      <c r="A1504" s="4">
        <v>42533</v>
      </c>
      <c r="B1504" s="3">
        <f>YEAR(SalesData[[#This Row],[Order Date]])</f>
        <v>2016</v>
      </c>
      <c r="C1504" s="3">
        <f>MONTH(SalesData[[#This Row],[Order Date]])</f>
        <v>6</v>
      </c>
      <c r="D1504" t="s">
        <v>9</v>
      </c>
      <c r="E1504" t="s">
        <v>31</v>
      </c>
      <c r="F1504" t="s">
        <v>27</v>
      </c>
      <c r="G1504" t="s">
        <v>32</v>
      </c>
      <c r="H1504" t="s">
        <v>33</v>
      </c>
      <c r="I1504" s="2">
        <v>4263.87</v>
      </c>
      <c r="J1504" s="3">
        <v>4</v>
      </c>
      <c r="K1504" s="2">
        <v>551.20000000000005</v>
      </c>
    </row>
    <row r="1505" spans="1:11" x14ac:dyDescent="0.25">
      <c r="A1505" s="4">
        <v>42533</v>
      </c>
      <c r="B1505" s="3">
        <f>YEAR(SalesData[[#This Row],[Order Date]])</f>
        <v>2016</v>
      </c>
      <c r="C1505" s="3">
        <f>MONTH(SalesData[[#This Row],[Order Date]])</f>
        <v>6</v>
      </c>
      <c r="D1505" t="s">
        <v>50</v>
      </c>
      <c r="E1505" t="s">
        <v>10</v>
      </c>
      <c r="F1505" t="s">
        <v>15</v>
      </c>
      <c r="G1505" t="s">
        <v>38</v>
      </c>
      <c r="H1505" t="s">
        <v>56</v>
      </c>
      <c r="I1505" s="2">
        <v>4485.7299999999996</v>
      </c>
      <c r="J1505" s="3">
        <v>2</v>
      </c>
      <c r="K1505" s="2">
        <v>244.93</v>
      </c>
    </row>
    <row r="1506" spans="1:11" x14ac:dyDescent="0.25">
      <c r="A1506" s="4">
        <v>42533</v>
      </c>
      <c r="B1506" s="3">
        <f>YEAR(SalesData[[#This Row],[Order Date]])</f>
        <v>2016</v>
      </c>
      <c r="C1506" s="3">
        <f>MONTH(SalesData[[#This Row],[Order Date]])</f>
        <v>6</v>
      </c>
      <c r="D1506" t="s">
        <v>18</v>
      </c>
      <c r="E1506" t="s">
        <v>34</v>
      </c>
      <c r="F1506" t="s">
        <v>27</v>
      </c>
      <c r="G1506" t="s">
        <v>48</v>
      </c>
      <c r="H1506" t="s">
        <v>49</v>
      </c>
      <c r="I1506" s="2">
        <v>1823.46</v>
      </c>
      <c r="J1506" s="3">
        <v>2</v>
      </c>
      <c r="K1506" s="2">
        <v>541.66</v>
      </c>
    </row>
    <row r="1507" spans="1:11" x14ac:dyDescent="0.25">
      <c r="A1507" s="4">
        <v>42534</v>
      </c>
      <c r="B1507" s="3">
        <f>YEAR(SalesData[[#This Row],[Order Date]])</f>
        <v>2016</v>
      </c>
      <c r="C1507" s="3">
        <f>MONTH(SalesData[[#This Row],[Order Date]])</f>
        <v>6</v>
      </c>
      <c r="D1507" t="s">
        <v>23</v>
      </c>
      <c r="E1507" t="s">
        <v>52</v>
      </c>
      <c r="F1507" t="s">
        <v>15</v>
      </c>
      <c r="G1507" t="s">
        <v>41</v>
      </c>
      <c r="H1507" t="s">
        <v>61</v>
      </c>
      <c r="I1507" s="2">
        <v>4316.1400000000003</v>
      </c>
      <c r="J1507" s="3">
        <v>2</v>
      </c>
      <c r="K1507" s="2">
        <v>180.75</v>
      </c>
    </row>
    <row r="1508" spans="1:11" x14ac:dyDescent="0.25">
      <c r="A1508" s="4">
        <v>42535</v>
      </c>
      <c r="B1508" s="3">
        <f>YEAR(SalesData[[#This Row],[Order Date]])</f>
        <v>2016</v>
      </c>
      <c r="C1508" s="3">
        <f>MONTH(SalesData[[#This Row],[Order Date]])</f>
        <v>6</v>
      </c>
      <c r="D1508" t="s">
        <v>18</v>
      </c>
      <c r="E1508" t="s">
        <v>37</v>
      </c>
      <c r="F1508" t="s">
        <v>27</v>
      </c>
      <c r="G1508" t="s">
        <v>28</v>
      </c>
      <c r="H1508" t="s">
        <v>58</v>
      </c>
      <c r="I1508" s="2">
        <v>3217.16</v>
      </c>
      <c r="J1508" s="3">
        <v>1</v>
      </c>
      <c r="K1508" s="2">
        <v>354.08</v>
      </c>
    </row>
    <row r="1509" spans="1:11" x14ac:dyDescent="0.25">
      <c r="A1509" s="4">
        <v>42536</v>
      </c>
      <c r="B1509" s="3">
        <f>YEAR(SalesData[[#This Row],[Order Date]])</f>
        <v>2016</v>
      </c>
      <c r="C1509" s="3">
        <f>MONTH(SalesData[[#This Row],[Order Date]])</f>
        <v>6</v>
      </c>
      <c r="D1509" t="s">
        <v>9</v>
      </c>
      <c r="E1509" t="s">
        <v>26</v>
      </c>
      <c r="F1509" t="s">
        <v>11</v>
      </c>
      <c r="G1509" t="s">
        <v>24</v>
      </c>
      <c r="H1509" t="s">
        <v>54</v>
      </c>
      <c r="I1509" s="2">
        <v>1658.97</v>
      </c>
      <c r="J1509" s="3">
        <v>7</v>
      </c>
      <c r="K1509" s="2">
        <v>208.7</v>
      </c>
    </row>
    <row r="1510" spans="1:11" x14ac:dyDescent="0.25">
      <c r="A1510" s="4">
        <v>42536</v>
      </c>
      <c r="B1510" s="3">
        <f>YEAR(SalesData[[#This Row],[Order Date]])</f>
        <v>2016</v>
      </c>
      <c r="C1510" s="3">
        <f>MONTH(SalesData[[#This Row],[Order Date]])</f>
        <v>6</v>
      </c>
      <c r="D1510" t="s">
        <v>62</v>
      </c>
      <c r="E1510" t="s">
        <v>52</v>
      </c>
      <c r="F1510" t="s">
        <v>15</v>
      </c>
      <c r="G1510" t="s">
        <v>16</v>
      </c>
      <c r="H1510" t="s">
        <v>51</v>
      </c>
      <c r="I1510" s="2">
        <v>3630.89</v>
      </c>
      <c r="J1510" s="3">
        <v>2</v>
      </c>
      <c r="K1510" s="2">
        <v>371.57</v>
      </c>
    </row>
    <row r="1511" spans="1:11" x14ac:dyDescent="0.25">
      <c r="A1511" s="4">
        <v>42537</v>
      </c>
      <c r="B1511" s="3">
        <f>YEAR(SalesData[[#This Row],[Order Date]])</f>
        <v>2016</v>
      </c>
      <c r="C1511" s="3">
        <f>MONTH(SalesData[[#This Row],[Order Date]])</f>
        <v>6</v>
      </c>
      <c r="D1511" t="s">
        <v>30</v>
      </c>
      <c r="E1511" t="s">
        <v>40</v>
      </c>
      <c r="F1511" t="s">
        <v>11</v>
      </c>
      <c r="G1511" t="s">
        <v>24</v>
      </c>
      <c r="H1511" t="s">
        <v>54</v>
      </c>
      <c r="I1511" s="2">
        <v>1345.49</v>
      </c>
      <c r="J1511" s="3">
        <v>9</v>
      </c>
      <c r="K1511" s="2">
        <v>397.58</v>
      </c>
    </row>
    <row r="1512" spans="1:11" x14ac:dyDescent="0.25">
      <c r="A1512" s="4">
        <v>42537</v>
      </c>
      <c r="B1512" s="3">
        <f>YEAR(SalesData[[#This Row],[Order Date]])</f>
        <v>2016</v>
      </c>
      <c r="C1512" s="3">
        <f>MONTH(SalesData[[#This Row],[Order Date]])</f>
        <v>6</v>
      </c>
      <c r="D1512" t="s">
        <v>14</v>
      </c>
      <c r="E1512" t="s">
        <v>44</v>
      </c>
      <c r="F1512" t="s">
        <v>15</v>
      </c>
      <c r="G1512" t="s">
        <v>16</v>
      </c>
      <c r="H1512" t="s">
        <v>17</v>
      </c>
      <c r="I1512" s="2">
        <v>1545.62</v>
      </c>
      <c r="J1512" s="3">
        <v>5</v>
      </c>
      <c r="K1512" s="2">
        <v>151.59</v>
      </c>
    </row>
    <row r="1513" spans="1:11" x14ac:dyDescent="0.25">
      <c r="A1513" s="4">
        <v>42537</v>
      </c>
      <c r="B1513" s="3">
        <f>YEAR(SalesData[[#This Row],[Order Date]])</f>
        <v>2016</v>
      </c>
      <c r="C1513" s="3">
        <f>MONTH(SalesData[[#This Row],[Order Date]])</f>
        <v>6</v>
      </c>
      <c r="D1513" t="s">
        <v>14</v>
      </c>
      <c r="E1513" t="s">
        <v>19</v>
      </c>
      <c r="F1513" t="s">
        <v>27</v>
      </c>
      <c r="G1513" t="s">
        <v>48</v>
      </c>
      <c r="H1513" t="s">
        <v>49</v>
      </c>
      <c r="I1513" s="2">
        <v>3106.92</v>
      </c>
      <c r="J1513" s="3">
        <v>3</v>
      </c>
      <c r="K1513" s="2">
        <v>768.09</v>
      </c>
    </row>
    <row r="1514" spans="1:11" x14ac:dyDescent="0.25">
      <c r="A1514" s="4">
        <v>42538</v>
      </c>
      <c r="B1514" s="3">
        <f>YEAR(SalesData[[#This Row],[Order Date]])</f>
        <v>2016</v>
      </c>
      <c r="C1514" s="3">
        <f>MONTH(SalesData[[#This Row],[Order Date]])</f>
        <v>6</v>
      </c>
      <c r="D1514" t="s">
        <v>14</v>
      </c>
      <c r="E1514" t="s">
        <v>34</v>
      </c>
      <c r="F1514" t="s">
        <v>27</v>
      </c>
      <c r="G1514" t="s">
        <v>32</v>
      </c>
      <c r="H1514" t="s">
        <v>53</v>
      </c>
      <c r="I1514" s="2">
        <v>1314.7</v>
      </c>
      <c r="J1514" s="3">
        <v>10</v>
      </c>
      <c r="K1514" s="2">
        <v>152.6</v>
      </c>
    </row>
    <row r="1515" spans="1:11" x14ac:dyDescent="0.25">
      <c r="A1515" s="4">
        <v>42538</v>
      </c>
      <c r="B1515" s="3">
        <f>YEAR(SalesData[[#This Row],[Order Date]])</f>
        <v>2016</v>
      </c>
      <c r="C1515" s="3">
        <f>MONTH(SalesData[[#This Row],[Order Date]])</f>
        <v>6</v>
      </c>
      <c r="D1515" t="s">
        <v>14</v>
      </c>
      <c r="E1515" t="s">
        <v>40</v>
      </c>
      <c r="F1515" t="s">
        <v>15</v>
      </c>
      <c r="G1515" t="s">
        <v>16</v>
      </c>
      <c r="H1515" t="s">
        <v>51</v>
      </c>
      <c r="I1515" s="2">
        <v>4270.9399999999996</v>
      </c>
      <c r="J1515" s="3">
        <v>2</v>
      </c>
      <c r="K1515" s="2">
        <v>922.55</v>
      </c>
    </row>
    <row r="1516" spans="1:11" x14ac:dyDescent="0.25">
      <c r="A1516" s="4">
        <v>42539</v>
      </c>
      <c r="B1516" s="3">
        <f>YEAR(SalesData[[#This Row],[Order Date]])</f>
        <v>2016</v>
      </c>
      <c r="C1516" s="3">
        <f>MONTH(SalesData[[#This Row],[Order Date]])</f>
        <v>6</v>
      </c>
      <c r="D1516" t="s">
        <v>47</v>
      </c>
      <c r="E1516" t="s">
        <v>40</v>
      </c>
      <c r="F1516" t="s">
        <v>27</v>
      </c>
      <c r="G1516" t="s">
        <v>32</v>
      </c>
      <c r="H1516" t="s">
        <v>53</v>
      </c>
      <c r="I1516" s="2">
        <v>1454.54</v>
      </c>
      <c r="J1516" s="3">
        <v>1</v>
      </c>
      <c r="K1516" s="2">
        <v>225.42</v>
      </c>
    </row>
    <row r="1517" spans="1:11" x14ac:dyDescent="0.25">
      <c r="A1517" s="4">
        <v>42539</v>
      </c>
      <c r="B1517" s="3">
        <f>YEAR(SalesData[[#This Row],[Order Date]])</f>
        <v>2016</v>
      </c>
      <c r="C1517" s="3">
        <f>MONTH(SalesData[[#This Row],[Order Date]])</f>
        <v>6</v>
      </c>
      <c r="D1517" t="s">
        <v>20</v>
      </c>
      <c r="E1517" t="s">
        <v>37</v>
      </c>
      <c r="F1517" t="s">
        <v>15</v>
      </c>
      <c r="G1517" t="s">
        <v>45</v>
      </c>
      <c r="H1517" t="s">
        <v>46</v>
      </c>
      <c r="I1517" s="2">
        <v>1765.78</v>
      </c>
      <c r="J1517" s="3">
        <v>1</v>
      </c>
      <c r="K1517" s="2">
        <v>68.44</v>
      </c>
    </row>
    <row r="1518" spans="1:11" x14ac:dyDescent="0.25">
      <c r="A1518" s="4">
        <v>42539</v>
      </c>
      <c r="B1518" s="3">
        <f>YEAR(SalesData[[#This Row],[Order Date]])</f>
        <v>2016</v>
      </c>
      <c r="C1518" s="3">
        <f>MONTH(SalesData[[#This Row],[Order Date]])</f>
        <v>6</v>
      </c>
      <c r="D1518" t="s">
        <v>62</v>
      </c>
      <c r="E1518" t="s">
        <v>31</v>
      </c>
      <c r="F1518" t="s">
        <v>15</v>
      </c>
      <c r="G1518" t="s">
        <v>38</v>
      </c>
      <c r="H1518" t="s">
        <v>39</v>
      </c>
      <c r="I1518" s="2">
        <v>2221.4699999999998</v>
      </c>
      <c r="J1518" s="3">
        <v>6</v>
      </c>
      <c r="K1518" s="2">
        <v>244.97</v>
      </c>
    </row>
    <row r="1519" spans="1:11" x14ac:dyDescent="0.25">
      <c r="A1519" s="4">
        <v>42539</v>
      </c>
      <c r="B1519" s="3">
        <f>YEAR(SalesData[[#This Row],[Order Date]])</f>
        <v>2016</v>
      </c>
      <c r="C1519" s="3">
        <f>MONTH(SalesData[[#This Row],[Order Date]])</f>
        <v>6</v>
      </c>
      <c r="D1519" t="s">
        <v>43</v>
      </c>
      <c r="E1519" t="s">
        <v>52</v>
      </c>
      <c r="F1519" t="s">
        <v>27</v>
      </c>
      <c r="G1519" t="s">
        <v>32</v>
      </c>
      <c r="H1519" t="s">
        <v>53</v>
      </c>
      <c r="I1519" s="2">
        <v>2692.94</v>
      </c>
      <c r="J1519" s="3">
        <v>1</v>
      </c>
      <c r="K1519" s="2">
        <v>47.37</v>
      </c>
    </row>
    <row r="1520" spans="1:11" x14ac:dyDescent="0.25">
      <c r="A1520" s="4">
        <v>42540</v>
      </c>
      <c r="B1520" s="3">
        <f>YEAR(SalesData[[#This Row],[Order Date]])</f>
        <v>2016</v>
      </c>
      <c r="C1520" s="3">
        <f>MONTH(SalesData[[#This Row],[Order Date]])</f>
        <v>6</v>
      </c>
      <c r="D1520" t="s">
        <v>43</v>
      </c>
      <c r="E1520" t="s">
        <v>44</v>
      </c>
      <c r="F1520" t="s">
        <v>15</v>
      </c>
      <c r="G1520" t="s">
        <v>63</v>
      </c>
      <c r="H1520" t="s">
        <v>66</v>
      </c>
      <c r="I1520" s="2">
        <v>2731.76</v>
      </c>
      <c r="J1520" s="3">
        <v>1</v>
      </c>
      <c r="K1520" s="2">
        <v>736.95</v>
      </c>
    </row>
    <row r="1521" spans="1:11" x14ac:dyDescent="0.25">
      <c r="A1521" s="4">
        <v>42541</v>
      </c>
      <c r="B1521" s="3">
        <f>YEAR(SalesData[[#This Row],[Order Date]])</f>
        <v>2016</v>
      </c>
      <c r="C1521" s="3">
        <f>MONTH(SalesData[[#This Row],[Order Date]])</f>
        <v>6</v>
      </c>
      <c r="D1521" t="s">
        <v>30</v>
      </c>
      <c r="E1521" t="s">
        <v>34</v>
      </c>
      <c r="F1521" t="s">
        <v>15</v>
      </c>
      <c r="G1521" t="s">
        <v>41</v>
      </c>
      <c r="H1521" t="s">
        <v>42</v>
      </c>
      <c r="I1521" s="2">
        <v>4622.5600000000004</v>
      </c>
      <c r="J1521" s="3">
        <v>2</v>
      </c>
      <c r="K1521" s="2">
        <v>338.42</v>
      </c>
    </row>
    <row r="1522" spans="1:11" x14ac:dyDescent="0.25">
      <c r="A1522" s="4">
        <v>42541</v>
      </c>
      <c r="B1522" s="3">
        <f>YEAR(SalesData[[#This Row],[Order Date]])</f>
        <v>2016</v>
      </c>
      <c r="C1522" s="3">
        <f>MONTH(SalesData[[#This Row],[Order Date]])</f>
        <v>6</v>
      </c>
      <c r="D1522" t="s">
        <v>9</v>
      </c>
      <c r="E1522" t="s">
        <v>19</v>
      </c>
      <c r="F1522" t="s">
        <v>11</v>
      </c>
      <c r="G1522" t="s">
        <v>24</v>
      </c>
      <c r="H1522" t="s">
        <v>25</v>
      </c>
      <c r="I1522" s="2">
        <v>3010.4</v>
      </c>
      <c r="J1522" s="3">
        <v>2</v>
      </c>
      <c r="K1522" s="2">
        <v>624.17999999999995</v>
      </c>
    </row>
    <row r="1523" spans="1:11" x14ac:dyDescent="0.25">
      <c r="A1523" s="4">
        <v>42541</v>
      </c>
      <c r="B1523" s="3">
        <f>YEAR(SalesData[[#This Row],[Order Date]])</f>
        <v>2016</v>
      </c>
      <c r="C1523" s="3">
        <f>MONTH(SalesData[[#This Row],[Order Date]])</f>
        <v>6</v>
      </c>
      <c r="D1523" t="s">
        <v>9</v>
      </c>
      <c r="E1523" t="s">
        <v>44</v>
      </c>
      <c r="F1523" t="s">
        <v>15</v>
      </c>
      <c r="G1523" t="s">
        <v>45</v>
      </c>
      <c r="H1523" t="s">
        <v>46</v>
      </c>
      <c r="I1523" s="2">
        <v>797.87</v>
      </c>
      <c r="J1523" s="3">
        <v>3</v>
      </c>
      <c r="K1523" s="2">
        <v>204.58</v>
      </c>
    </row>
    <row r="1524" spans="1:11" x14ac:dyDescent="0.25">
      <c r="A1524" s="4">
        <v>42543</v>
      </c>
      <c r="B1524" s="3">
        <f>YEAR(SalesData[[#This Row],[Order Date]])</f>
        <v>2016</v>
      </c>
      <c r="C1524" s="3">
        <f>MONTH(SalesData[[#This Row],[Order Date]])</f>
        <v>6</v>
      </c>
      <c r="D1524" t="s">
        <v>14</v>
      </c>
      <c r="E1524" t="s">
        <v>60</v>
      </c>
      <c r="F1524" t="s">
        <v>15</v>
      </c>
      <c r="G1524" t="s">
        <v>38</v>
      </c>
      <c r="H1524" t="s">
        <v>56</v>
      </c>
      <c r="I1524" s="2">
        <v>2861.01</v>
      </c>
      <c r="J1524" s="3">
        <v>2</v>
      </c>
      <c r="K1524" s="2">
        <v>653.72</v>
      </c>
    </row>
    <row r="1525" spans="1:11" x14ac:dyDescent="0.25">
      <c r="A1525" s="4">
        <v>42544</v>
      </c>
      <c r="B1525" s="3">
        <f>YEAR(SalesData[[#This Row],[Order Date]])</f>
        <v>2016</v>
      </c>
      <c r="C1525" s="3">
        <f>MONTH(SalesData[[#This Row],[Order Date]])</f>
        <v>6</v>
      </c>
      <c r="D1525" t="s">
        <v>43</v>
      </c>
      <c r="E1525" t="s">
        <v>44</v>
      </c>
      <c r="F1525" t="s">
        <v>27</v>
      </c>
      <c r="G1525" t="s">
        <v>28</v>
      </c>
      <c r="H1525" t="s">
        <v>69</v>
      </c>
      <c r="I1525" s="2">
        <v>4092.29</v>
      </c>
      <c r="J1525" s="3">
        <v>1</v>
      </c>
      <c r="K1525" s="2">
        <v>989.13</v>
      </c>
    </row>
    <row r="1526" spans="1:11" x14ac:dyDescent="0.25">
      <c r="A1526" s="4">
        <v>42544</v>
      </c>
      <c r="B1526" s="3">
        <f>YEAR(SalesData[[#This Row],[Order Date]])</f>
        <v>2016</v>
      </c>
      <c r="C1526" s="3">
        <f>MONTH(SalesData[[#This Row],[Order Date]])</f>
        <v>6</v>
      </c>
      <c r="D1526" t="s">
        <v>43</v>
      </c>
      <c r="E1526" t="s">
        <v>44</v>
      </c>
      <c r="F1526" t="s">
        <v>27</v>
      </c>
      <c r="G1526" t="s">
        <v>32</v>
      </c>
      <c r="H1526" t="s">
        <v>53</v>
      </c>
      <c r="I1526" s="2">
        <v>3351.18</v>
      </c>
      <c r="J1526" s="3">
        <v>8</v>
      </c>
      <c r="K1526" s="2">
        <v>129.02000000000001</v>
      </c>
    </row>
    <row r="1527" spans="1:11" x14ac:dyDescent="0.25">
      <c r="A1527" s="4">
        <v>42544</v>
      </c>
      <c r="B1527" s="3">
        <f>YEAR(SalesData[[#This Row],[Order Date]])</f>
        <v>2016</v>
      </c>
      <c r="C1527" s="3">
        <f>MONTH(SalesData[[#This Row],[Order Date]])</f>
        <v>6</v>
      </c>
      <c r="D1527" t="s">
        <v>30</v>
      </c>
      <c r="E1527" t="s">
        <v>52</v>
      </c>
      <c r="F1527" t="s">
        <v>11</v>
      </c>
      <c r="G1527" t="s">
        <v>24</v>
      </c>
      <c r="H1527" t="s">
        <v>54</v>
      </c>
      <c r="I1527" s="2">
        <v>3790.18</v>
      </c>
      <c r="J1527" s="3">
        <v>2</v>
      </c>
      <c r="K1527" s="2">
        <v>834.21</v>
      </c>
    </row>
    <row r="1528" spans="1:11" x14ac:dyDescent="0.25">
      <c r="A1528" s="4">
        <v>42544</v>
      </c>
      <c r="B1528" s="3">
        <f>YEAR(SalesData[[#This Row],[Order Date]])</f>
        <v>2016</v>
      </c>
      <c r="C1528" s="3">
        <f>MONTH(SalesData[[#This Row],[Order Date]])</f>
        <v>6</v>
      </c>
      <c r="D1528" t="s">
        <v>14</v>
      </c>
      <c r="E1528" t="s">
        <v>44</v>
      </c>
      <c r="F1528" t="s">
        <v>11</v>
      </c>
      <c r="G1528" t="s">
        <v>24</v>
      </c>
      <c r="H1528" t="s">
        <v>54</v>
      </c>
      <c r="I1528" s="2">
        <v>825.07</v>
      </c>
      <c r="J1528" s="3">
        <v>6</v>
      </c>
      <c r="K1528" s="2">
        <v>210.25</v>
      </c>
    </row>
    <row r="1529" spans="1:11" x14ac:dyDescent="0.25">
      <c r="A1529" s="4">
        <v>42545</v>
      </c>
      <c r="B1529" s="3">
        <f>YEAR(SalesData[[#This Row],[Order Date]])</f>
        <v>2016</v>
      </c>
      <c r="C1529" s="3">
        <f>MONTH(SalesData[[#This Row],[Order Date]])</f>
        <v>6</v>
      </c>
      <c r="D1529" t="s">
        <v>20</v>
      </c>
      <c r="E1529" t="s">
        <v>34</v>
      </c>
      <c r="F1529" t="s">
        <v>11</v>
      </c>
      <c r="G1529" t="s">
        <v>21</v>
      </c>
      <c r="H1529" t="s">
        <v>22</v>
      </c>
      <c r="I1529" s="2">
        <v>4105.2</v>
      </c>
      <c r="J1529" s="3">
        <v>9</v>
      </c>
      <c r="K1529" s="2">
        <v>1012.75</v>
      </c>
    </row>
    <row r="1530" spans="1:11" x14ac:dyDescent="0.25">
      <c r="A1530" s="4">
        <v>42545</v>
      </c>
      <c r="B1530" s="3">
        <f>YEAR(SalesData[[#This Row],[Order Date]])</f>
        <v>2016</v>
      </c>
      <c r="C1530" s="3">
        <f>MONTH(SalesData[[#This Row],[Order Date]])</f>
        <v>6</v>
      </c>
      <c r="D1530" t="s">
        <v>47</v>
      </c>
      <c r="E1530" t="s">
        <v>34</v>
      </c>
      <c r="F1530" t="s">
        <v>27</v>
      </c>
      <c r="G1530" t="s">
        <v>32</v>
      </c>
      <c r="H1530" t="s">
        <v>33</v>
      </c>
      <c r="I1530" s="2">
        <v>1031.04</v>
      </c>
      <c r="J1530" s="3">
        <v>7</v>
      </c>
      <c r="K1530" s="2">
        <v>94.27</v>
      </c>
    </row>
    <row r="1531" spans="1:11" x14ac:dyDescent="0.25">
      <c r="A1531" s="4">
        <v>42547</v>
      </c>
      <c r="B1531" s="3">
        <f>YEAR(SalesData[[#This Row],[Order Date]])</f>
        <v>2016</v>
      </c>
      <c r="C1531" s="3">
        <f>MONTH(SalesData[[#This Row],[Order Date]])</f>
        <v>6</v>
      </c>
      <c r="D1531" t="s">
        <v>50</v>
      </c>
      <c r="E1531" t="s">
        <v>19</v>
      </c>
      <c r="F1531" t="s">
        <v>11</v>
      </c>
      <c r="G1531" t="s">
        <v>12</v>
      </c>
      <c r="H1531" t="s">
        <v>13</v>
      </c>
      <c r="I1531" s="2">
        <v>2142.6799999999998</v>
      </c>
      <c r="J1531" s="3">
        <v>5</v>
      </c>
      <c r="K1531" s="2">
        <v>332.47</v>
      </c>
    </row>
    <row r="1532" spans="1:11" x14ac:dyDescent="0.25">
      <c r="A1532" s="4">
        <v>42548</v>
      </c>
      <c r="B1532" s="3">
        <f>YEAR(SalesData[[#This Row],[Order Date]])</f>
        <v>2016</v>
      </c>
      <c r="C1532" s="3">
        <f>MONTH(SalesData[[#This Row],[Order Date]])</f>
        <v>6</v>
      </c>
      <c r="D1532" t="s">
        <v>23</v>
      </c>
      <c r="E1532" t="s">
        <v>10</v>
      </c>
      <c r="F1532" t="s">
        <v>27</v>
      </c>
      <c r="G1532" t="s">
        <v>48</v>
      </c>
      <c r="H1532" t="s">
        <v>49</v>
      </c>
      <c r="I1532" s="2">
        <v>991.51</v>
      </c>
      <c r="J1532" s="3">
        <v>6</v>
      </c>
      <c r="K1532" s="2">
        <v>94.92</v>
      </c>
    </row>
    <row r="1533" spans="1:11" x14ac:dyDescent="0.25">
      <c r="A1533" s="4">
        <v>42549</v>
      </c>
      <c r="B1533" s="3">
        <f>YEAR(SalesData[[#This Row],[Order Date]])</f>
        <v>2016</v>
      </c>
      <c r="C1533" s="3">
        <f>MONTH(SalesData[[#This Row],[Order Date]])</f>
        <v>6</v>
      </c>
      <c r="D1533" t="s">
        <v>62</v>
      </c>
      <c r="E1533" t="s">
        <v>10</v>
      </c>
      <c r="F1533" t="s">
        <v>15</v>
      </c>
      <c r="G1533" t="s">
        <v>38</v>
      </c>
      <c r="H1533" t="s">
        <v>39</v>
      </c>
      <c r="I1533" s="2">
        <v>2207.1999999999998</v>
      </c>
      <c r="J1533" s="3">
        <v>7</v>
      </c>
      <c r="K1533" s="2">
        <v>29.28</v>
      </c>
    </row>
    <row r="1534" spans="1:11" x14ac:dyDescent="0.25">
      <c r="A1534" s="4">
        <v>42549</v>
      </c>
      <c r="B1534" s="3">
        <f>YEAR(SalesData[[#This Row],[Order Date]])</f>
        <v>2016</v>
      </c>
      <c r="C1534" s="3">
        <f>MONTH(SalesData[[#This Row],[Order Date]])</f>
        <v>6</v>
      </c>
      <c r="D1534" t="s">
        <v>20</v>
      </c>
      <c r="E1534" t="s">
        <v>60</v>
      </c>
      <c r="F1534" t="s">
        <v>15</v>
      </c>
      <c r="G1534" t="s">
        <v>41</v>
      </c>
      <c r="H1534" t="s">
        <v>61</v>
      </c>
      <c r="I1534" s="2">
        <v>4927.07</v>
      </c>
      <c r="J1534" s="3">
        <v>6</v>
      </c>
      <c r="K1534" s="2">
        <v>590.23</v>
      </c>
    </row>
    <row r="1535" spans="1:11" x14ac:dyDescent="0.25">
      <c r="A1535" s="4">
        <v>42549</v>
      </c>
      <c r="B1535" s="3">
        <f>YEAR(SalesData[[#This Row],[Order Date]])</f>
        <v>2016</v>
      </c>
      <c r="C1535" s="3">
        <f>MONTH(SalesData[[#This Row],[Order Date]])</f>
        <v>6</v>
      </c>
      <c r="D1535" t="s">
        <v>23</v>
      </c>
      <c r="E1535" t="s">
        <v>60</v>
      </c>
      <c r="F1535" t="s">
        <v>11</v>
      </c>
      <c r="G1535" t="s">
        <v>35</v>
      </c>
      <c r="H1535" t="s">
        <v>70</v>
      </c>
      <c r="I1535" s="2">
        <v>4866.92</v>
      </c>
      <c r="J1535" s="3">
        <v>1</v>
      </c>
      <c r="K1535" s="2">
        <v>876.03</v>
      </c>
    </row>
    <row r="1536" spans="1:11" x14ac:dyDescent="0.25">
      <c r="A1536" s="4">
        <v>42551</v>
      </c>
      <c r="B1536" s="3">
        <f>YEAR(SalesData[[#This Row],[Order Date]])</f>
        <v>2016</v>
      </c>
      <c r="C1536" s="3">
        <f>MONTH(SalesData[[#This Row],[Order Date]])</f>
        <v>6</v>
      </c>
      <c r="D1536" t="s">
        <v>62</v>
      </c>
      <c r="E1536" t="s">
        <v>40</v>
      </c>
      <c r="F1536" t="s">
        <v>11</v>
      </c>
      <c r="G1536" t="s">
        <v>12</v>
      </c>
      <c r="H1536" t="s">
        <v>13</v>
      </c>
      <c r="I1536" s="2">
        <v>3717.1</v>
      </c>
      <c r="J1536" s="3">
        <v>5</v>
      </c>
      <c r="K1536" s="2">
        <v>439.37</v>
      </c>
    </row>
    <row r="1537" spans="1:11" x14ac:dyDescent="0.25">
      <c r="A1537" s="4">
        <v>42552</v>
      </c>
      <c r="B1537" s="3">
        <f>YEAR(SalesData[[#This Row],[Order Date]])</f>
        <v>2016</v>
      </c>
      <c r="C1537" s="3">
        <f>MONTH(SalesData[[#This Row],[Order Date]])</f>
        <v>7</v>
      </c>
      <c r="D1537" t="s">
        <v>9</v>
      </c>
      <c r="E1537" t="s">
        <v>31</v>
      </c>
      <c r="F1537" t="s">
        <v>15</v>
      </c>
      <c r="G1537" t="s">
        <v>41</v>
      </c>
      <c r="H1537" t="s">
        <v>42</v>
      </c>
      <c r="I1537" s="2">
        <v>861.6</v>
      </c>
      <c r="J1537" s="3">
        <v>7</v>
      </c>
      <c r="K1537" s="2">
        <v>159.52000000000001</v>
      </c>
    </row>
    <row r="1538" spans="1:11" x14ac:dyDescent="0.25">
      <c r="A1538" s="4">
        <v>42552</v>
      </c>
      <c r="B1538" s="3">
        <f>YEAR(SalesData[[#This Row],[Order Date]])</f>
        <v>2016</v>
      </c>
      <c r="C1538" s="3">
        <f>MONTH(SalesData[[#This Row],[Order Date]])</f>
        <v>7</v>
      </c>
      <c r="D1538" t="s">
        <v>62</v>
      </c>
      <c r="E1538" t="s">
        <v>40</v>
      </c>
      <c r="F1538" t="s">
        <v>27</v>
      </c>
      <c r="G1538" t="s">
        <v>28</v>
      </c>
      <c r="H1538" t="s">
        <v>58</v>
      </c>
      <c r="I1538" s="2">
        <v>398.32</v>
      </c>
      <c r="J1538" s="3">
        <v>3</v>
      </c>
      <c r="K1538" s="2">
        <v>113.74</v>
      </c>
    </row>
    <row r="1539" spans="1:11" x14ac:dyDescent="0.25">
      <c r="A1539" s="4">
        <v>42553</v>
      </c>
      <c r="B1539" s="3">
        <f>YEAR(SalesData[[#This Row],[Order Date]])</f>
        <v>2016</v>
      </c>
      <c r="C1539" s="3">
        <f>MONTH(SalesData[[#This Row],[Order Date]])</f>
        <v>7</v>
      </c>
      <c r="D1539" t="s">
        <v>43</v>
      </c>
      <c r="E1539" t="s">
        <v>60</v>
      </c>
      <c r="F1539" t="s">
        <v>11</v>
      </c>
      <c r="G1539" t="s">
        <v>12</v>
      </c>
      <c r="H1539" t="s">
        <v>65</v>
      </c>
      <c r="I1539" s="2">
        <v>1803.28</v>
      </c>
      <c r="J1539" s="3">
        <v>6</v>
      </c>
      <c r="K1539" s="2">
        <v>529.79</v>
      </c>
    </row>
    <row r="1540" spans="1:11" x14ac:dyDescent="0.25">
      <c r="A1540" s="4">
        <v>42554</v>
      </c>
      <c r="B1540" s="3">
        <f>YEAR(SalesData[[#This Row],[Order Date]])</f>
        <v>2016</v>
      </c>
      <c r="C1540" s="3">
        <f>MONTH(SalesData[[#This Row],[Order Date]])</f>
        <v>7</v>
      </c>
      <c r="D1540" t="s">
        <v>18</v>
      </c>
      <c r="E1540" t="s">
        <v>52</v>
      </c>
      <c r="F1540" t="s">
        <v>27</v>
      </c>
      <c r="G1540" t="s">
        <v>48</v>
      </c>
      <c r="H1540" t="s">
        <v>57</v>
      </c>
      <c r="I1540" s="2">
        <v>2835.92</v>
      </c>
      <c r="J1540" s="3">
        <v>2</v>
      </c>
      <c r="K1540" s="2">
        <v>55.67</v>
      </c>
    </row>
    <row r="1541" spans="1:11" x14ac:dyDescent="0.25">
      <c r="A1541" s="4">
        <v>42554</v>
      </c>
      <c r="B1541" s="3">
        <f>YEAR(SalesData[[#This Row],[Order Date]])</f>
        <v>2016</v>
      </c>
      <c r="C1541" s="3">
        <f>MONTH(SalesData[[#This Row],[Order Date]])</f>
        <v>7</v>
      </c>
      <c r="D1541" t="s">
        <v>9</v>
      </c>
      <c r="E1541" t="s">
        <v>52</v>
      </c>
      <c r="F1541" t="s">
        <v>27</v>
      </c>
      <c r="G1541" t="s">
        <v>48</v>
      </c>
      <c r="H1541" t="s">
        <v>57</v>
      </c>
      <c r="I1541" s="2">
        <v>3422.62</v>
      </c>
      <c r="J1541" s="3">
        <v>10</v>
      </c>
      <c r="K1541" s="2">
        <v>348.62</v>
      </c>
    </row>
    <row r="1542" spans="1:11" x14ac:dyDescent="0.25">
      <c r="A1542" s="4">
        <v>42554</v>
      </c>
      <c r="B1542" s="3">
        <f>YEAR(SalesData[[#This Row],[Order Date]])</f>
        <v>2016</v>
      </c>
      <c r="C1542" s="3">
        <f>MONTH(SalesData[[#This Row],[Order Date]])</f>
        <v>7</v>
      </c>
      <c r="D1542" t="s">
        <v>50</v>
      </c>
      <c r="E1542" t="s">
        <v>40</v>
      </c>
      <c r="F1542" t="s">
        <v>27</v>
      </c>
      <c r="G1542" t="s">
        <v>32</v>
      </c>
      <c r="H1542" t="s">
        <v>33</v>
      </c>
      <c r="I1542" s="2">
        <v>4019</v>
      </c>
      <c r="J1542" s="3">
        <v>2</v>
      </c>
      <c r="K1542" s="2">
        <v>709.91</v>
      </c>
    </row>
    <row r="1543" spans="1:11" x14ac:dyDescent="0.25">
      <c r="A1543" s="4">
        <v>42554</v>
      </c>
      <c r="B1543" s="3">
        <f>YEAR(SalesData[[#This Row],[Order Date]])</f>
        <v>2016</v>
      </c>
      <c r="C1543" s="3">
        <f>MONTH(SalesData[[#This Row],[Order Date]])</f>
        <v>7</v>
      </c>
      <c r="D1543" t="s">
        <v>9</v>
      </c>
      <c r="E1543" t="s">
        <v>34</v>
      </c>
      <c r="F1543" t="s">
        <v>27</v>
      </c>
      <c r="G1543" t="s">
        <v>32</v>
      </c>
      <c r="H1543" t="s">
        <v>33</v>
      </c>
      <c r="I1543" s="2">
        <v>3796.35</v>
      </c>
      <c r="J1543" s="3">
        <v>2</v>
      </c>
      <c r="K1543" s="2">
        <v>1097.74</v>
      </c>
    </row>
    <row r="1544" spans="1:11" x14ac:dyDescent="0.25">
      <c r="A1544" s="4">
        <v>42554</v>
      </c>
      <c r="B1544" s="3">
        <f>YEAR(SalesData[[#This Row],[Order Date]])</f>
        <v>2016</v>
      </c>
      <c r="C1544" s="3">
        <f>MONTH(SalesData[[#This Row],[Order Date]])</f>
        <v>7</v>
      </c>
      <c r="D1544" t="s">
        <v>62</v>
      </c>
      <c r="E1544" t="s">
        <v>52</v>
      </c>
      <c r="F1544" t="s">
        <v>11</v>
      </c>
      <c r="G1544" t="s">
        <v>24</v>
      </c>
      <c r="H1544" t="s">
        <v>54</v>
      </c>
      <c r="I1544" s="2">
        <v>119.9</v>
      </c>
      <c r="J1544" s="3">
        <v>6</v>
      </c>
      <c r="K1544" s="2">
        <v>17.64</v>
      </c>
    </row>
    <row r="1545" spans="1:11" x14ac:dyDescent="0.25">
      <c r="A1545" s="4">
        <v>42555</v>
      </c>
      <c r="B1545" s="3">
        <f>YEAR(SalesData[[#This Row],[Order Date]])</f>
        <v>2016</v>
      </c>
      <c r="C1545" s="3">
        <f>MONTH(SalesData[[#This Row],[Order Date]])</f>
        <v>7</v>
      </c>
      <c r="D1545" t="s">
        <v>23</v>
      </c>
      <c r="E1545" t="s">
        <v>40</v>
      </c>
      <c r="F1545" t="s">
        <v>15</v>
      </c>
      <c r="G1545" t="s">
        <v>45</v>
      </c>
      <c r="H1545" t="s">
        <v>59</v>
      </c>
      <c r="I1545" s="2">
        <v>1408.98</v>
      </c>
      <c r="J1545" s="3">
        <v>2</v>
      </c>
      <c r="K1545" s="2">
        <v>200.82</v>
      </c>
    </row>
    <row r="1546" spans="1:11" x14ac:dyDescent="0.25">
      <c r="A1546" s="4">
        <v>42556</v>
      </c>
      <c r="B1546" s="3">
        <f>YEAR(SalesData[[#This Row],[Order Date]])</f>
        <v>2016</v>
      </c>
      <c r="C1546" s="3">
        <f>MONTH(SalesData[[#This Row],[Order Date]])</f>
        <v>7</v>
      </c>
      <c r="D1546" t="s">
        <v>68</v>
      </c>
      <c r="E1546" t="s">
        <v>44</v>
      </c>
      <c r="F1546" t="s">
        <v>15</v>
      </c>
      <c r="G1546" t="s">
        <v>63</v>
      </c>
      <c r="H1546" t="s">
        <v>64</v>
      </c>
      <c r="I1546" s="2">
        <v>1850.76</v>
      </c>
      <c r="J1546" s="3">
        <v>4</v>
      </c>
      <c r="K1546" s="2">
        <v>39.83</v>
      </c>
    </row>
    <row r="1547" spans="1:11" x14ac:dyDescent="0.25">
      <c r="A1547" s="4">
        <v>42556</v>
      </c>
      <c r="B1547" s="3">
        <f>YEAR(SalesData[[#This Row],[Order Date]])</f>
        <v>2016</v>
      </c>
      <c r="C1547" s="3">
        <f>MONTH(SalesData[[#This Row],[Order Date]])</f>
        <v>7</v>
      </c>
      <c r="D1547" t="s">
        <v>43</v>
      </c>
      <c r="E1547" t="s">
        <v>60</v>
      </c>
      <c r="F1547" t="s">
        <v>15</v>
      </c>
      <c r="G1547" t="s">
        <v>63</v>
      </c>
      <c r="H1547" t="s">
        <v>64</v>
      </c>
      <c r="I1547" s="2">
        <v>4014.75</v>
      </c>
      <c r="J1547" s="3">
        <v>10</v>
      </c>
      <c r="K1547" s="2">
        <v>1093.3499999999999</v>
      </c>
    </row>
    <row r="1548" spans="1:11" x14ac:dyDescent="0.25">
      <c r="A1548" s="4">
        <v>42558</v>
      </c>
      <c r="B1548" s="3">
        <f>YEAR(SalesData[[#This Row],[Order Date]])</f>
        <v>2016</v>
      </c>
      <c r="C1548" s="3">
        <f>MONTH(SalesData[[#This Row],[Order Date]])</f>
        <v>7</v>
      </c>
      <c r="D1548" t="s">
        <v>9</v>
      </c>
      <c r="E1548" t="s">
        <v>19</v>
      </c>
      <c r="F1548" t="s">
        <v>15</v>
      </c>
      <c r="G1548" t="s">
        <v>41</v>
      </c>
      <c r="H1548" t="s">
        <v>61</v>
      </c>
      <c r="I1548" s="2">
        <v>4315.3599999999997</v>
      </c>
      <c r="J1548" s="3">
        <v>2</v>
      </c>
      <c r="K1548" s="2">
        <v>632.38</v>
      </c>
    </row>
    <row r="1549" spans="1:11" x14ac:dyDescent="0.25">
      <c r="A1549" s="4">
        <v>42559</v>
      </c>
      <c r="B1549" s="3">
        <f>YEAR(SalesData[[#This Row],[Order Date]])</f>
        <v>2016</v>
      </c>
      <c r="C1549" s="3">
        <f>MONTH(SalesData[[#This Row],[Order Date]])</f>
        <v>7</v>
      </c>
      <c r="D1549" t="s">
        <v>14</v>
      </c>
      <c r="E1549" t="s">
        <v>31</v>
      </c>
      <c r="F1549" t="s">
        <v>27</v>
      </c>
      <c r="G1549" t="s">
        <v>28</v>
      </c>
      <c r="H1549" t="s">
        <v>58</v>
      </c>
      <c r="I1549" s="2">
        <v>519.17999999999995</v>
      </c>
      <c r="J1549" s="3">
        <v>10</v>
      </c>
      <c r="K1549" s="2">
        <v>34.06</v>
      </c>
    </row>
    <row r="1550" spans="1:11" x14ac:dyDescent="0.25">
      <c r="A1550" s="4">
        <v>42561</v>
      </c>
      <c r="B1550" s="3">
        <f>YEAR(SalesData[[#This Row],[Order Date]])</f>
        <v>2016</v>
      </c>
      <c r="C1550" s="3">
        <f>MONTH(SalesData[[#This Row],[Order Date]])</f>
        <v>7</v>
      </c>
      <c r="D1550" t="s">
        <v>55</v>
      </c>
      <c r="E1550" t="s">
        <v>26</v>
      </c>
      <c r="F1550" t="s">
        <v>15</v>
      </c>
      <c r="G1550" t="s">
        <v>45</v>
      </c>
      <c r="H1550" t="s">
        <v>46</v>
      </c>
      <c r="I1550" s="2">
        <v>993.74</v>
      </c>
      <c r="J1550" s="3">
        <v>6</v>
      </c>
      <c r="K1550" s="2">
        <v>64.73</v>
      </c>
    </row>
    <row r="1551" spans="1:11" x14ac:dyDescent="0.25">
      <c r="A1551" s="4">
        <v>42561</v>
      </c>
      <c r="B1551" s="3">
        <f>YEAR(SalesData[[#This Row],[Order Date]])</f>
        <v>2016</v>
      </c>
      <c r="C1551" s="3">
        <f>MONTH(SalesData[[#This Row],[Order Date]])</f>
        <v>7</v>
      </c>
      <c r="D1551" t="s">
        <v>47</v>
      </c>
      <c r="E1551" t="s">
        <v>31</v>
      </c>
      <c r="F1551" t="s">
        <v>27</v>
      </c>
      <c r="G1551" t="s">
        <v>48</v>
      </c>
      <c r="H1551" t="s">
        <v>57</v>
      </c>
      <c r="I1551" s="2">
        <v>4597.6499999999996</v>
      </c>
      <c r="J1551" s="3">
        <v>6</v>
      </c>
      <c r="K1551" s="2">
        <v>132.47999999999999</v>
      </c>
    </row>
    <row r="1552" spans="1:11" x14ac:dyDescent="0.25">
      <c r="A1552" s="4">
        <v>42561</v>
      </c>
      <c r="B1552" s="3">
        <f>YEAR(SalesData[[#This Row],[Order Date]])</f>
        <v>2016</v>
      </c>
      <c r="C1552" s="3">
        <f>MONTH(SalesData[[#This Row],[Order Date]])</f>
        <v>7</v>
      </c>
      <c r="D1552" t="s">
        <v>23</v>
      </c>
      <c r="E1552" t="s">
        <v>60</v>
      </c>
      <c r="F1552" t="s">
        <v>15</v>
      </c>
      <c r="G1552" t="s">
        <v>45</v>
      </c>
      <c r="H1552" t="s">
        <v>59</v>
      </c>
      <c r="I1552" s="2">
        <v>848.7</v>
      </c>
      <c r="J1552" s="3">
        <v>4</v>
      </c>
      <c r="K1552" s="2">
        <v>178.93</v>
      </c>
    </row>
    <row r="1553" spans="1:11" x14ac:dyDescent="0.25">
      <c r="A1553" s="4">
        <v>42562</v>
      </c>
      <c r="B1553" s="3">
        <f>YEAR(SalesData[[#This Row],[Order Date]])</f>
        <v>2016</v>
      </c>
      <c r="C1553" s="3">
        <f>MONTH(SalesData[[#This Row],[Order Date]])</f>
        <v>7</v>
      </c>
      <c r="D1553" t="s">
        <v>23</v>
      </c>
      <c r="E1553" t="s">
        <v>44</v>
      </c>
      <c r="F1553" t="s">
        <v>11</v>
      </c>
      <c r="G1553" t="s">
        <v>24</v>
      </c>
      <c r="H1553" t="s">
        <v>25</v>
      </c>
      <c r="I1553" s="2">
        <v>3546.44</v>
      </c>
      <c r="J1553" s="3">
        <v>6</v>
      </c>
      <c r="K1553" s="2">
        <v>655.68</v>
      </c>
    </row>
    <row r="1554" spans="1:11" x14ac:dyDescent="0.25">
      <c r="A1554" s="4">
        <v>42562</v>
      </c>
      <c r="B1554" s="3">
        <f>YEAR(SalesData[[#This Row],[Order Date]])</f>
        <v>2016</v>
      </c>
      <c r="C1554" s="3">
        <f>MONTH(SalesData[[#This Row],[Order Date]])</f>
        <v>7</v>
      </c>
      <c r="D1554" t="s">
        <v>47</v>
      </c>
      <c r="E1554" t="s">
        <v>34</v>
      </c>
      <c r="F1554" t="s">
        <v>11</v>
      </c>
      <c r="G1554" t="s">
        <v>12</v>
      </c>
      <c r="H1554" t="s">
        <v>13</v>
      </c>
      <c r="I1554" s="2">
        <v>4829.3</v>
      </c>
      <c r="J1554" s="3">
        <v>1</v>
      </c>
      <c r="K1554" s="2">
        <v>508.17</v>
      </c>
    </row>
    <row r="1555" spans="1:11" x14ac:dyDescent="0.25">
      <c r="A1555" s="4">
        <v>42564</v>
      </c>
      <c r="B1555" s="3">
        <f>YEAR(SalesData[[#This Row],[Order Date]])</f>
        <v>2016</v>
      </c>
      <c r="C1555" s="3">
        <f>MONTH(SalesData[[#This Row],[Order Date]])</f>
        <v>7</v>
      </c>
      <c r="D1555" t="s">
        <v>68</v>
      </c>
      <c r="E1555" t="s">
        <v>37</v>
      </c>
      <c r="F1555" t="s">
        <v>27</v>
      </c>
      <c r="G1555" t="s">
        <v>32</v>
      </c>
      <c r="H1555" t="s">
        <v>33</v>
      </c>
      <c r="I1555" s="2">
        <v>3884</v>
      </c>
      <c r="J1555" s="3">
        <v>10</v>
      </c>
      <c r="K1555" s="2">
        <v>861.85</v>
      </c>
    </row>
    <row r="1556" spans="1:11" x14ac:dyDescent="0.25">
      <c r="A1556" s="4">
        <v>42564</v>
      </c>
      <c r="B1556" s="3">
        <f>YEAR(SalesData[[#This Row],[Order Date]])</f>
        <v>2016</v>
      </c>
      <c r="C1556" s="3">
        <f>MONTH(SalesData[[#This Row],[Order Date]])</f>
        <v>7</v>
      </c>
      <c r="D1556" t="s">
        <v>62</v>
      </c>
      <c r="E1556" t="s">
        <v>60</v>
      </c>
      <c r="F1556" t="s">
        <v>27</v>
      </c>
      <c r="G1556" t="s">
        <v>48</v>
      </c>
      <c r="H1556" t="s">
        <v>57</v>
      </c>
      <c r="I1556" s="2">
        <v>4049.53</v>
      </c>
      <c r="J1556" s="3">
        <v>9</v>
      </c>
      <c r="K1556" s="2">
        <v>929.98</v>
      </c>
    </row>
    <row r="1557" spans="1:11" x14ac:dyDescent="0.25">
      <c r="A1557" s="4">
        <v>42565</v>
      </c>
      <c r="B1557" s="3">
        <f>YEAR(SalesData[[#This Row],[Order Date]])</f>
        <v>2016</v>
      </c>
      <c r="C1557" s="3">
        <f>MONTH(SalesData[[#This Row],[Order Date]])</f>
        <v>7</v>
      </c>
      <c r="D1557" t="s">
        <v>20</v>
      </c>
      <c r="E1557" t="s">
        <v>37</v>
      </c>
      <c r="F1557" t="s">
        <v>11</v>
      </c>
      <c r="G1557" t="s">
        <v>12</v>
      </c>
      <c r="H1557" t="s">
        <v>13</v>
      </c>
      <c r="I1557" s="2">
        <v>1354.56</v>
      </c>
      <c r="J1557" s="3">
        <v>9</v>
      </c>
      <c r="K1557" s="2">
        <v>236.16</v>
      </c>
    </row>
    <row r="1558" spans="1:11" x14ac:dyDescent="0.25">
      <c r="A1558" s="4">
        <v>42565</v>
      </c>
      <c r="B1558" s="3">
        <f>YEAR(SalesData[[#This Row],[Order Date]])</f>
        <v>2016</v>
      </c>
      <c r="C1558" s="3">
        <f>MONTH(SalesData[[#This Row],[Order Date]])</f>
        <v>7</v>
      </c>
      <c r="D1558" t="s">
        <v>55</v>
      </c>
      <c r="E1558" t="s">
        <v>26</v>
      </c>
      <c r="F1558" t="s">
        <v>15</v>
      </c>
      <c r="G1558" t="s">
        <v>38</v>
      </c>
      <c r="H1558" t="s">
        <v>56</v>
      </c>
      <c r="I1558" s="2">
        <v>635.19000000000005</v>
      </c>
      <c r="J1558" s="3">
        <v>7</v>
      </c>
      <c r="K1558" s="2">
        <v>134.81</v>
      </c>
    </row>
    <row r="1559" spans="1:11" x14ac:dyDescent="0.25">
      <c r="A1559" s="4">
        <v>42565</v>
      </c>
      <c r="B1559" s="3">
        <f>YEAR(SalesData[[#This Row],[Order Date]])</f>
        <v>2016</v>
      </c>
      <c r="C1559" s="3">
        <f>MONTH(SalesData[[#This Row],[Order Date]])</f>
        <v>7</v>
      </c>
      <c r="D1559" t="s">
        <v>18</v>
      </c>
      <c r="E1559" t="s">
        <v>34</v>
      </c>
      <c r="F1559" t="s">
        <v>15</v>
      </c>
      <c r="G1559" t="s">
        <v>41</v>
      </c>
      <c r="H1559" t="s">
        <v>61</v>
      </c>
      <c r="I1559" s="2">
        <v>3762.3</v>
      </c>
      <c r="J1559" s="3">
        <v>7</v>
      </c>
      <c r="K1559" s="2">
        <v>554.26</v>
      </c>
    </row>
    <row r="1560" spans="1:11" x14ac:dyDescent="0.25">
      <c r="A1560" s="4">
        <v>42566</v>
      </c>
      <c r="B1560" s="3">
        <f>YEAR(SalesData[[#This Row],[Order Date]])</f>
        <v>2016</v>
      </c>
      <c r="C1560" s="3">
        <f>MONTH(SalesData[[#This Row],[Order Date]])</f>
        <v>7</v>
      </c>
      <c r="D1560" t="s">
        <v>18</v>
      </c>
      <c r="E1560" t="s">
        <v>31</v>
      </c>
      <c r="F1560" t="s">
        <v>27</v>
      </c>
      <c r="G1560" t="s">
        <v>48</v>
      </c>
      <c r="H1560" t="s">
        <v>57</v>
      </c>
      <c r="I1560" s="2">
        <v>138.62</v>
      </c>
      <c r="J1560" s="3">
        <v>5</v>
      </c>
      <c r="K1560" s="2">
        <v>26.87</v>
      </c>
    </row>
    <row r="1561" spans="1:11" x14ac:dyDescent="0.25">
      <c r="A1561" s="4">
        <v>42566</v>
      </c>
      <c r="B1561" s="3">
        <f>YEAR(SalesData[[#This Row],[Order Date]])</f>
        <v>2016</v>
      </c>
      <c r="C1561" s="3">
        <f>MONTH(SalesData[[#This Row],[Order Date]])</f>
        <v>7</v>
      </c>
      <c r="D1561" t="s">
        <v>62</v>
      </c>
      <c r="E1561" t="s">
        <v>26</v>
      </c>
      <c r="F1561" t="s">
        <v>27</v>
      </c>
      <c r="G1561" t="s">
        <v>48</v>
      </c>
      <c r="H1561" t="s">
        <v>49</v>
      </c>
      <c r="I1561" s="2">
        <v>4215.03</v>
      </c>
      <c r="J1561" s="3">
        <v>9</v>
      </c>
      <c r="K1561" s="2">
        <v>655.12</v>
      </c>
    </row>
    <row r="1562" spans="1:11" x14ac:dyDescent="0.25">
      <c r="A1562" s="4">
        <v>42569</v>
      </c>
      <c r="B1562" s="3">
        <f>YEAR(SalesData[[#This Row],[Order Date]])</f>
        <v>2016</v>
      </c>
      <c r="C1562" s="3">
        <f>MONTH(SalesData[[#This Row],[Order Date]])</f>
        <v>7</v>
      </c>
      <c r="D1562" t="s">
        <v>30</v>
      </c>
      <c r="E1562" t="s">
        <v>60</v>
      </c>
      <c r="F1562" t="s">
        <v>27</v>
      </c>
      <c r="G1562" t="s">
        <v>32</v>
      </c>
      <c r="H1562" t="s">
        <v>33</v>
      </c>
      <c r="I1562" s="2">
        <v>1527.93</v>
      </c>
      <c r="J1562" s="3">
        <v>2</v>
      </c>
      <c r="K1562" s="2">
        <v>44.91</v>
      </c>
    </row>
    <row r="1563" spans="1:11" x14ac:dyDescent="0.25">
      <c r="A1563" s="4">
        <v>42569</v>
      </c>
      <c r="B1563" s="3">
        <f>YEAR(SalesData[[#This Row],[Order Date]])</f>
        <v>2016</v>
      </c>
      <c r="C1563" s="3">
        <f>MONTH(SalesData[[#This Row],[Order Date]])</f>
        <v>7</v>
      </c>
      <c r="D1563" t="s">
        <v>47</v>
      </c>
      <c r="E1563" t="s">
        <v>34</v>
      </c>
      <c r="F1563" t="s">
        <v>11</v>
      </c>
      <c r="G1563" t="s">
        <v>35</v>
      </c>
      <c r="H1563" t="s">
        <v>70</v>
      </c>
      <c r="I1563" s="2">
        <v>1698.9</v>
      </c>
      <c r="J1563" s="3">
        <v>2</v>
      </c>
      <c r="K1563" s="2">
        <v>165.5</v>
      </c>
    </row>
    <row r="1564" spans="1:11" x14ac:dyDescent="0.25">
      <c r="A1564" s="4">
        <v>42570</v>
      </c>
      <c r="B1564" s="3">
        <f>YEAR(SalesData[[#This Row],[Order Date]])</f>
        <v>2016</v>
      </c>
      <c r="C1564" s="3">
        <f>MONTH(SalesData[[#This Row],[Order Date]])</f>
        <v>7</v>
      </c>
      <c r="D1564" t="s">
        <v>30</v>
      </c>
      <c r="E1564" t="s">
        <v>52</v>
      </c>
      <c r="F1564" t="s">
        <v>27</v>
      </c>
      <c r="G1564" t="s">
        <v>48</v>
      </c>
      <c r="H1564" t="s">
        <v>57</v>
      </c>
      <c r="I1564" s="2">
        <v>2233.04</v>
      </c>
      <c r="J1564" s="3">
        <v>5</v>
      </c>
      <c r="K1564" s="2">
        <v>211.64</v>
      </c>
    </row>
    <row r="1565" spans="1:11" x14ac:dyDescent="0.25">
      <c r="A1565" s="4">
        <v>42570</v>
      </c>
      <c r="B1565" s="3">
        <f>YEAR(SalesData[[#This Row],[Order Date]])</f>
        <v>2016</v>
      </c>
      <c r="C1565" s="3">
        <f>MONTH(SalesData[[#This Row],[Order Date]])</f>
        <v>7</v>
      </c>
      <c r="D1565" t="s">
        <v>55</v>
      </c>
      <c r="E1565" t="s">
        <v>26</v>
      </c>
      <c r="F1565" t="s">
        <v>27</v>
      </c>
      <c r="G1565" t="s">
        <v>32</v>
      </c>
      <c r="H1565" t="s">
        <v>53</v>
      </c>
      <c r="I1565" s="2">
        <v>3428.77</v>
      </c>
      <c r="J1565" s="3">
        <v>3</v>
      </c>
      <c r="K1565" s="2">
        <v>173.63</v>
      </c>
    </row>
    <row r="1566" spans="1:11" x14ac:dyDescent="0.25">
      <c r="A1566" s="4">
        <v>42570</v>
      </c>
      <c r="B1566" s="3">
        <f>YEAR(SalesData[[#This Row],[Order Date]])</f>
        <v>2016</v>
      </c>
      <c r="C1566" s="3">
        <f>MONTH(SalesData[[#This Row],[Order Date]])</f>
        <v>7</v>
      </c>
      <c r="D1566" t="s">
        <v>20</v>
      </c>
      <c r="E1566" t="s">
        <v>10</v>
      </c>
      <c r="F1566" t="s">
        <v>27</v>
      </c>
      <c r="G1566" t="s">
        <v>48</v>
      </c>
      <c r="H1566" t="s">
        <v>49</v>
      </c>
      <c r="I1566" s="2">
        <v>4763.33</v>
      </c>
      <c r="J1566" s="3">
        <v>8</v>
      </c>
      <c r="K1566" s="2">
        <v>388.06</v>
      </c>
    </row>
    <row r="1567" spans="1:11" x14ac:dyDescent="0.25">
      <c r="A1567" s="4">
        <v>42571</v>
      </c>
      <c r="B1567" s="3">
        <f>YEAR(SalesData[[#This Row],[Order Date]])</f>
        <v>2016</v>
      </c>
      <c r="C1567" s="3">
        <f>MONTH(SalesData[[#This Row],[Order Date]])</f>
        <v>7</v>
      </c>
      <c r="D1567" t="s">
        <v>68</v>
      </c>
      <c r="E1567" t="s">
        <v>37</v>
      </c>
      <c r="F1567" t="s">
        <v>15</v>
      </c>
      <c r="G1567" t="s">
        <v>63</v>
      </c>
      <c r="H1567" t="s">
        <v>64</v>
      </c>
      <c r="I1567" s="2">
        <v>28.69</v>
      </c>
      <c r="J1567" s="3">
        <v>7</v>
      </c>
      <c r="K1567" s="2">
        <v>7.22</v>
      </c>
    </row>
    <row r="1568" spans="1:11" x14ac:dyDescent="0.25">
      <c r="A1568" s="4">
        <v>42571</v>
      </c>
      <c r="B1568" s="3">
        <f>YEAR(SalesData[[#This Row],[Order Date]])</f>
        <v>2016</v>
      </c>
      <c r="C1568" s="3">
        <f>MONTH(SalesData[[#This Row],[Order Date]])</f>
        <v>7</v>
      </c>
      <c r="D1568" t="s">
        <v>43</v>
      </c>
      <c r="E1568" t="s">
        <v>26</v>
      </c>
      <c r="F1568" t="s">
        <v>15</v>
      </c>
      <c r="G1568" t="s">
        <v>16</v>
      </c>
      <c r="H1568" t="s">
        <v>51</v>
      </c>
      <c r="I1568" s="2">
        <v>4545.3900000000003</v>
      </c>
      <c r="J1568" s="3">
        <v>9</v>
      </c>
      <c r="K1568" s="2">
        <v>618.21</v>
      </c>
    </row>
    <row r="1569" spans="1:11" x14ac:dyDescent="0.25">
      <c r="A1569" s="4">
        <v>42572</v>
      </c>
      <c r="B1569" s="3">
        <f>YEAR(SalesData[[#This Row],[Order Date]])</f>
        <v>2016</v>
      </c>
      <c r="C1569" s="3">
        <f>MONTH(SalesData[[#This Row],[Order Date]])</f>
        <v>7</v>
      </c>
      <c r="D1569" t="s">
        <v>23</v>
      </c>
      <c r="E1569" t="s">
        <v>44</v>
      </c>
      <c r="F1569" t="s">
        <v>11</v>
      </c>
      <c r="G1569" t="s">
        <v>24</v>
      </c>
      <c r="H1569" t="s">
        <v>54</v>
      </c>
      <c r="I1569" s="2">
        <v>3255.47</v>
      </c>
      <c r="J1569" s="3">
        <v>7</v>
      </c>
      <c r="K1569" s="2">
        <v>792.74</v>
      </c>
    </row>
    <row r="1570" spans="1:11" x14ac:dyDescent="0.25">
      <c r="A1570" s="4">
        <v>42572</v>
      </c>
      <c r="B1570" s="3">
        <f>YEAR(SalesData[[#This Row],[Order Date]])</f>
        <v>2016</v>
      </c>
      <c r="C1570" s="3">
        <f>MONTH(SalesData[[#This Row],[Order Date]])</f>
        <v>7</v>
      </c>
      <c r="D1570" t="s">
        <v>20</v>
      </c>
      <c r="E1570" t="s">
        <v>31</v>
      </c>
      <c r="F1570" t="s">
        <v>27</v>
      </c>
      <c r="G1570" t="s">
        <v>32</v>
      </c>
      <c r="H1570" t="s">
        <v>53</v>
      </c>
      <c r="I1570" s="2">
        <v>3188.17</v>
      </c>
      <c r="J1570" s="3">
        <v>10</v>
      </c>
      <c r="K1570" s="2">
        <v>293.64</v>
      </c>
    </row>
    <row r="1571" spans="1:11" x14ac:dyDescent="0.25">
      <c r="A1571" s="4">
        <v>42574</v>
      </c>
      <c r="B1571" s="3">
        <f>YEAR(SalesData[[#This Row],[Order Date]])</f>
        <v>2016</v>
      </c>
      <c r="C1571" s="3">
        <f>MONTH(SalesData[[#This Row],[Order Date]])</f>
        <v>7</v>
      </c>
      <c r="D1571" t="s">
        <v>62</v>
      </c>
      <c r="E1571" t="s">
        <v>34</v>
      </c>
      <c r="F1571" t="s">
        <v>27</v>
      </c>
      <c r="G1571" t="s">
        <v>32</v>
      </c>
      <c r="H1571" t="s">
        <v>33</v>
      </c>
      <c r="I1571" s="2">
        <v>1014.55</v>
      </c>
      <c r="J1571" s="3">
        <v>3</v>
      </c>
      <c r="K1571" s="2">
        <v>27.84</v>
      </c>
    </row>
    <row r="1572" spans="1:11" x14ac:dyDescent="0.25">
      <c r="A1572" s="4">
        <v>42574</v>
      </c>
      <c r="B1572" s="3">
        <f>YEAR(SalesData[[#This Row],[Order Date]])</f>
        <v>2016</v>
      </c>
      <c r="C1572" s="3">
        <f>MONTH(SalesData[[#This Row],[Order Date]])</f>
        <v>7</v>
      </c>
      <c r="D1572" t="s">
        <v>62</v>
      </c>
      <c r="E1572" t="s">
        <v>19</v>
      </c>
      <c r="F1572" t="s">
        <v>11</v>
      </c>
      <c r="G1572" t="s">
        <v>21</v>
      </c>
      <c r="H1572" t="s">
        <v>22</v>
      </c>
      <c r="I1572" s="2">
        <v>1531.81</v>
      </c>
      <c r="J1572" s="3">
        <v>8</v>
      </c>
      <c r="K1572" s="2">
        <v>312.58999999999997</v>
      </c>
    </row>
    <row r="1573" spans="1:11" x14ac:dyDescent="0.25">
      <c r="A1573" s="4">
        <v>42575</v>
      </c>
      <c r="B1573" s="3">
        <f>YEAR(SalesData[[#This Row],[Order Date]])</f>
        <v>2016</v>
      </c>
      <c r="C1573" s="3">
        <f>MONTH(SalesData[[#This Row],[Order Date]])</f>
        <v>7</v>
      </c>
      <c r="D1573" t="s">
        <v>9</v>
      </c>
      <c r="E1573" t="s">
        <v>37</v>
      </c>
      <c r="F1573" t="s">
        <v>27</v>
      </c>
      <c r="G1573" t="s">
        <v>32</v>
      </c>
      <c r="H1573" t="s">
        <v>33</v>
      </c>
      <c r="I1573" s="2">
        <v>2091.3000000000002</v>
      </c>
      <c r="J1573" s="3">
        <v>4</v>
      </c>
      <c r="K1573" s="2">
        <v>453.24</v>
      </c>
    </row>
    <row r="1574" spans="1:11" x14ac:dyDescent="0.25">
      <c r="A1574" s="4">
        <v>42576</v>
      </c>
      <c r="B1574" s="3">
        <f>YEAR(SalesData[[#This Row],[Order Date]])</f>
        <v>2016</v>
      </c>
      <c r="C1574" s="3">
        <f>MONTH(SalesData[[#This Row],[Order Date]])</f>
        <v>7</v>
      </c>
      <c r="D1574" t="s">
        <v>47</v>
      </c>
      <c r="E1574" t="s">
        <v>10</v>
      </c>
      <c r="F1574" t="s">
        <v>11</v>
      </c>
      <c r="G1574" t="s">
        <v>24</v>
      </c>
      <c r="H1574" t="s">
        <v>25</v>
      </c>
      <c r="I1574" s="2">
        <v>4405.8</v>
      </c>
      <c r="J1574" s="3">
        <v>3</v>
      </c>
      <c r="K1574" s="2">
        <v>112.77</v>
      </c>
    </row>
    <row r="1575" spans="1:11" x14ac:dyDescent="0.25">
      <c r="A1575" s="4">
        <v>42576</v>
      </c>
      <c r="B1575" s="3">
        <f>YEAR(SalesData[[#This Row],[Order Date]])</f>
        <v>2016</v>
      </c>
      <c r="C1575" s="3">
        <f>MONTH(SalesData[[#This Row],[Order Date]])</f>
        <v>7</v>
      </c>
      <c r="D1575" t="s">
        <v>18</v>
      </c>
      <c r="E1575" t="s">
        <v>52</v>
      </c>
      <c r="F1575" t="s">
        <v>15</v>
      </c>
      <c r="G1575" t="s">
        <v>38</v>
      </c>
      <c r="H1575" t="s">
        <v>56</v>
      </c>
      <c r="I1575" s="2">
        <v>516.88</v>
      </c>
      <c r="J1575" s="3">
        <v>7</v>
      </c>
      <c r="K1575" s="2">
        <v>36.200000000000003</v>
      </c>
    </row>
    <row r="1576" spans="1:11" x14ac:dyDescent="0.25">
      <c r="A1576" s="4">
        <v>42577</v>
      </c>
      <c r="B1576" s="3">
        <f>YEAR(SalesData[[#This Row],[Order Date]])</f>
        <v>2016</v>
      </c>
      <c r="C1576" s="3">
        <f>MONTH(SalesData[[#This Row],[Order Date]])</f>
        <v>7</v>
      </c>
      <c r="D1576" t="s">
        <v>14</v>
      </c>
      <c r="E1576" t="s">
        <v>19</v>
      </c>
      <c r="F1576" t="s">
        <v>15</v>
      </c>
      <c r="G1576" t="s">
        <v>45</v>
      </c>
      <c r="H1576" t="s">
        <v>46</v>
      </c>
      <c r="I1576" s="2">
        <v>1497.23</v>
      </c>
      <c r="J1576" s="3">
        <v>6</v>
      </c>
      <c r="K1576" s="2">
        <v>53.36</v>
      </c>
    </row>
    <row r="1577" spans="1:11" x14ac:dyDescent="0.25">
      <c r="A1577" s="4">
        <v>42577</v>
      </c>
      <c r="B1577" s="3">
        <f>YEAR(SalesData[[#This Row],[Order Date]])</f>
        <v>2016</v>
      </c>
      <c r="C1577" s="3">
        <f>MONTH(SalesData[[#This Row],[Order Date]])</f>
        <v>7</v>
      </c>
      <c r="D1577" t="s">
        <v>55</v>
      </c>
      <c r="E1577" t="s">
        <v>44</v>
      </c>
      <c r="F1577" t="s">
        <v>15</v>
      </c>
      <c r="G1577" t="s">
        <v>41</v>
      </c>
      <c r="H1577" t="s">
        <v>61</v>
      </c>
      <c r="I1577" s="2">
        <v>4473.33</v>
      </c>
      <c r="J1577" s="3">
        <v>4</v>
      </c>
      <c r="K1577" s="2">
        <v>345.56</v>
      </c>
    </row>
    <row r="1578" spans="1:11" x14ac:dyDescent="0.25">
      <c r="A1578" s="4">
        <v>42578</v>
      </c>
      <c r="B1578" s="3">
        <f>YEAR(SalesData[[#This Row],[Order Date]])</f>
        <v>2016</v>
      </c>
      <c r="C1578" s="3">
        <f>MONTH(SalesData[[#This Row],[Order Date]])</f>
        <v>7</v>
      </c>
      <c r="D1578" t="s">
        <v>55</v>
      </c>
      <c r="E1578" t="s">
        <v>44</v>
      </c>
      <c r="F1578" t="s">
        <v>15</v>
      </c>
      <c r="G1578" t="s">
        <v>45</v>
      </c>
      <c r="H1578" t="s">
        <v>46</v>
      </c>
      <c r="I1578" s="2">
        <v>1663.79</v>
      </c>
      <c r="J1578" s="3">
        <v>7</v>
      </c>
      <c r="K1578" s="2">
        <v>406.72</v>
      </c>
    </row>
    <row r="1579" spans="1:11" x14ac:dyDescent="0.25">
      <c r="A1579" s="4">
        <v>42579</v>
      </c>
      <c r="B1579" s="3">
        <f>YEAR(SalesData[[#This Row],[Order Date]])</f>
        <v>2016</v>
      </c>
      <c r="C1579" s="3">
        <f>MONTH(SalesData[[#This Row],[Order Date]])</f>
        <v>7</v>
      </c>
      <c r="D1579" t="s">
        <v>43</v>
      </c>
      <c r="E1579" t="s">
        <v>37</v>
      </c>
      <c r="F1579" t="s">
        <v>27</v>
      </c>
      <c r="G1579" t="s">
        <v>32</v>
      </c>
      <c r="H1579" t="s">
        <v>53</v>
      </c>
      <c r="I1579" s="2">
        <v>2632.91</v>
      </c>
      <c r="J1579" s="3">
        <v>2</v>
      </c>
      <c r="K1579" s="2">
        <v>517.54999999999995</v>
      </c>
    </row>
    <row r="1580" spans="1:11" x14ac:dyDescent="0.25">
      <c r="A1580" s="4">
        <v>42580</v>
      </c>
      <c r="B1580" s="3">
        <f>YEAR(SalesData[[#This Row],[Order Date]])</f>
        <v>2016</v>
      </c>
      <c r="C1580" s="3">
        <f>MONTH(SalesData[[#This Row],[Order Date]])</f>
        <v>7</v>
      </c>
      <c r="D1580" t="s">
        <v>47</v>
      </c>
      <c r="E1580" t="s">
        <v>40</v>
      </c>
      <c r="F1580" t="s">
        <v>11</v>
      </c>
      <c r="G1580" t="s">
        <v>12</v>
      </c>
      <c r="H1580" t="s">
        <v>65</v>
      </c>
      <c r="I1580" s="2">
        <v>1223.99</v>
      </c>
      <c r="J1580" s="3">
        <v>4</v>
      </c>
      <c r="K1580" s="2">
        <v>164.29</v>
      </c>
    </row>
    <row r="1581" spans="1:11" x14ac:dyDescent="0.25">
      <c r="A1581" s="4">
        <v>42580</v>
      </c>
      <c r="B1581" s="3">
        <f>YEAR(SalesData[[#This Row],[Order Date]])</f>
        <v>2016</v>
      </c>
      <c r="C1581" s="3">
        <f>MONTH(SalesData[[#This Row],[Order Date]])</f>
        <v>7</v>
      </c>
      <c r="D1581" t="s">
        <v>43</v>
      </c>
      <c r="E1581" t="s">
        <v>31</v>
      </c>
      <c r="F1581" t="s">
        <v>15</v>
      </c>
      <c r="G1581" t="s">
        <v>41</v>
      </c>
      <c r="H1581" t="s">
        <v>42</v>
      </c>
      <c r="I1581" s="2">
        <v>3561.16</v>
      </c>
      <c r="J1581" s="3">
        <v>4</v>
      </c>
      <c r="K1581" s="2">
        <v>475.14</v>
      </c>
    </row>
    <row r="1582" spans="1:11" x14ac:dyDescent="0.25">
      <c r="A1582" s="4">
        <v>42582</v>
      </c>
      <c r="B1582" s="3">
        <f>YEAR(SalesData[[#This Row],[Order Date]])</f>
        <v>2016</v>
      </c>
      <c r="C1582" s="3">
        <f>MONTH(SalesData[[#This Row],[Order Date]])</f>
        <v>7</v>
      </c>
      <c r="D1582" t="s">
        <v>47</v>
      </c>
      <c r="E1582" t="s">
        <v>60</v>
      </c>
      <c r="F1582" t="s">
        <v>11</v>
      </c>
      <c r="G1582" t="s">
        <v>24</v>
      </c>
      <c r="H1582" t="s">
        <v>25</v>
      </c>
      <c r="I1582" s="2">
        <v>2305.81</v>
      </c>
      <c r="J1582" s="3">
        <v>8</v>
      </c>
      <c r="K1582" s="2">
        <v>199.8</v>
      </c>
    </row>
    <row r="1583" spans="1:11" x14ac:dyDescent="0.25">
      <c r="A1583" s="4">
        <v>42583</v>
      </c>
      <c r="B1583" s="3">
        <f>YEAR(SalesData[[#This Row],[Order Date]])</f>
        <v>2016</v>
      </c>
      <c r="C1583" s="3">
        <f>MONTH(SalesData[[#This Row],[Order Date]])</f>
        <v>8</v>
      </c>
      <c r="D1583" t="s">
        <v>68</v>
      </c>
      <c r="E1583" t="s">
        <v>10</v>
      </c>
      <c r="F1583" t="s">
        <v>15</v>
      </c>
      <c r="G1583" t="s">
        <v>45</v>
      </c>
      <c r="H1583" t="s">
        <v>59</v>
      </c>
      <c r="I1583" s="2">
        <v>1349.48</v>
      </c>
      <c r="J1583" s="3">
        <v>2</v>
      </c>
      <c r="K1583" s="2">
        <v>67.53</v>
      </c>
    </row>
    <row r="1584" spans="1:11" x14ac:dyDescent="0.25">
      <c r="A1584" s="4">
        <v>42583</v>
      </c>
      <c r="B1584" s="3">
        <f>YEAR(SalesData[[#This Row],[Order Date]])</f>
        <v>2016</v>
      </c>
      <c r="C1584" s="3">
        <f>MONTH(SalesData[[#This Row],[Order Date]])</f>
        <v>8</v>
      </c>
      <c r="D1584" t="s">
        <v>20</v>
      </c>
      <c r="E1584" t="s">
        <v>19</v>
      </c>
      <c r="F1584" t="s">
        <v>15</v>
      </c>
      <c r="G1584" t="s">
        <v>41</v>
      </c>
      <c r="H1584" t="s">
        <v>42</v>
      </c>
      <c r="I1584" s="2">
        <v>1963.32</v>
      </c>
      <c r="J1584" s="3">
        <v>4</v>
      </c>
      <c r="K1584" s="2">
        <v>156.04</v>
      </c>
    </row>
    <row r="1585" spans="1:11" x14ac:dyDescent="0.25">
      <c r="A1585" s="4">
        <v>42584</v>
      </c>
      <c r="B1585" s="3">
        <f>YEAR(SalesData[[#This Row],[Order Date]])</f>
        <v>2016</v>
      </c>
      <c r="C1585" s="3">
        <f>MONTH(SalesData[[#This Row],[Order Date]])</f>
        <v>8</v>
      </c>
      <c r="D1585" t="s">
        <v>43</v>
      </c>
      <c r="E1585" t="s">
        <v>37</v>
      </c>
      <c r="F1585" t="s">
        <v>11</v>
      </c>
      <c r="G1585" t="s">
        <v>21</v>
      </c>
      <c r="H1585" t="s">
        <v>67</v>
      </c>
      <c r="I1585" s="2">
        <v>4783.34</v>
      </c>
      <c r="J1585" s="3">
        <v>1</v>
      </c>
      <c r="K1585" s="2">
        <v>1215.03</v>
      </c>
    </row>
    <row r="1586" spans="1:11" x14ac:dyDescent="0.25">
      <c r="A1586" s="4">
        <v>42584</v>
      </c>
      <c r="B1586" s="3">
        <f>YEAR(SalesData[[#This Row],[Order Date]])</f>
        <v>2016</v>
      </c>
      <c r="C1586" s="3">
        <f>MONTH(SalesData[[#This Row],[Order Date]])</f>
        <v>8</v>
      </c>
      <c r="D1586" t="s">
        <v>20</v>
      </c>
      <c r="E1586" t="s">
        <v>37</v>
      </c>
      <c r="F1586" t="s">
        <v>11</v>
      </c>
      <c r="G1586" t="s">
        <v>21</v>
      </c>
      <c r="H1586" t="s">
        <v>22</v>
      </c>
      <c r="I1586" s="2">
        <v>218.48</v>
      </c>
      <c r="J1586" s="3">
        <v>7</v>
      </c>
      <c r="K1586" s="2">
        <v>43.84</v>
      </c>
    </row>
    <row r="1587" spans="1:11" x14ac:dyDescent="0.25">
      <c r="A1587" s="4">
        <v>42584</v>
      </c>
      <c r="B1587" s="3">
        <f>YEAR(SalesData[[#This Row],[Order Date]])</f>
        <v>2016</v>
      </c>
      <c r="C1587" s="3">
        <f>MONTH(SalesData[[#This Row],[Order Date]])</f>
        <v>8</v>
      </c>
      <c r="D1587" t="s">
        <v>55</v>
      </c>
      <c r="E1587" t="s">
        <v>52</v>
      </c>
      <c r="F1587" t="s">
        <v>15</v>
      </c>
      <c r="G1587" t="s">
        <v>45</v>
      </c>
      <c r="H1587" t="s">
        <v>59</v>
      </c>
      <c r="I1587" s="2">
        <v>2351.4699999999998</v>
      </c>
      <c r="J1587" s="3">
        <v>6</v>
      </c>
      <c r="K1587" s="2">
        <v>144.47999999999999</v>
      </c>
    </row>
    <row r="1588" spans="1:11" x14ac:dyDescent="0.25">
      <c r="A1588" s="4">
        <v>42586</v>
      </c>
      <c r="B1588" s="3">
        <f>YEAR(SalesData[[#This Row],[Order Date]])</f>
        <v>2016</v>
      </c>
      <c r="C1588" s="3">
        <f>MONTH(SalesData[[#This Row],[Order Date]])</f>
        <v>8</v>
      </c>
      <c r="D1588" t="s">
        <v>9</v>
      </c>
      <c r="E1588" t="s">
        <v>44</v>
      </c>
      <c r="F1588" t="s">
        <v>11</v>
      </c>
      <c r="G1588" t="s">
        <v>35</v>
      </c>
      <c r="H1588" t="s">
        <v>71</v>
      </c>
      <c r="I1588" s="2">
        <v>4259.79</v>
      </c>
      <c r="J1588" s="3">
        <v>6</v>
      </c>
      <c r="K1588" s="2">
        <v>760.62</v>
      </c>
    </row>
    <row r="1589" spans="1:11" x14ac:dyDescent="0.25">
      <c r="A1589" s="4">
        <v>42586</v>
      </c>
      <c r="B1589" s="3">
        <f>YEAR(SalesData[[#This Row],[Order Date]])</f>
        <v>2016</v>
      </c>
      <c r="C1589" s="3">
        <f>MONTH(SalesData[[#This Row],[Order Date]])</f>
        <v>8</v>
      </c>
      <c r="D1589" t="s">
        <v>47</v>
      </c>
      <c r="E1589" t="s">
        <v>26</v>
      </c>
      <c r="F1589" t="s">
        <v>11</v>
      </c>
      <c r="G1589" t="s">
        <v>12</v>
      </c>
      <c r="H1589" t="s">
        <v>65</v>
      </c>
      <c r="I1589" s="2">
        <v>3359.77</v>
      </c>
      <c r="J1589" s="3">
        <v>9</v>
      </c>
      <c r="K1589" s="2">
        <v>350.47</v>
      </c>
    </row>
    <row r="1590" spans="1:11" x14ac:dyDescent="0.25">
      <c r="A1590" s="4">
        <v>42586</v>
      </c>
      <c r="B1590" s="3">
        <f>YEAR(SalesData[[#This Row],[Order Date]])</f>
        <v>2016</v>
      </c>
      <c r="C1590" s="3">
        <f>MONTH(SalesData[[#This Row],[Order Date]])</f>
        <v>8</v>
      </c>
      <c r="D1590" t="s">
        <v>23</v>
      </c>
      <c r="E1590" t="s">
        <v>37</v>
      </c>
      <c r="F1590" t="s">
        <v>11</v>
      </c>
      <c r="G1590" t="s">
        <v>35</v>
      </c>
      <c r="H1590" t="s">
        <v>36</v>
      </c>
      <c r="I1590" s="2">
        <v>2128.0100000000002</v>
      </c>
      <c r="J1590" s="3">
        <v>9</v>
      </c>
      <c r="K1590" s="2">
        <v>506.13</v>
      </c>
    </row>
    <row r="1591" spans="1:11" x14ac:dyDescent="0.25">
      <c r="A1591" s="4">
        <v>42588</v>
      </c>
      <c r="B1591" s="3">
        <f>YEAR(SalesData[[#This Row],[Order Date]])</f>
        <v>2016</v>
      </c>
      <c r="C1591" s="3">
        <f>MONTH(SalesData[[#This Row],[Order Date]])</f>
        <v>8</v>
      </c>
      <c r="D1591" t="s">
        <v>18</v>
      </c>
      <c r="E1591" t="s">
        <v>44</v>
      </c>
      <c r="F1591" t="s">
        <v>27</v>
      </c>
      <c r="G1591" t="s">
        <v>32</v>
      </c>
      <c r="H1591" t="s">
        <v>53</v>
      </c>
      <c r="I1591" s="2">
        <v>2066.89</v>
      </c>
      <c r="J1591" s="3">
        <v>6</v>
      </c>
      <c r="K1591" s="2">
        <v>96.45</v>
      </c>
    </row>
    <row r="1592" spans="1:11" x14ac:dyDescent="0.25">
      <c r="A1592" s="4">
        <v>42589</v>
      </c>
      <c r="B1592" s="3">
        <f>YEAR(SalesData[[#This Row],[Order Date]])</f>
        <v>2016</v>
      </c>
      <c r="C1592" s="3">
        <f>MONTH(SalesData[[#This Row],[Order Date]])</f>
        <v>8</v>
      </c>
      <c r="D1592" t="s">
        <v>47</v>
      </c>
      <c r="E1592" t="s">
        <v>31</v>
      </c>
      <c r="F1592" t="s">
        <v>27</v>
      </c>
      <c r="G1592" t="s">
        <v>32</v>
      </c>
      <c r="H1592" t="s">
        <v>33</v>
      </c>
      <c r="I1592" s="2">
        <v>342.54</v>
      </c>
      <c r="J1592" s="3">
        <v>3</v>
      </c>
      <c r="K1592" s="2">
        <v>81.93</v>
      </c>
    </row>
    <row r="1593" spans="1:11" x14ac:dyDescent="0.25">
      <c r="A1593" s="4">
        <v>42590</v>
      </c>
      <c r="B1593" s="3">
        <f>YEAR(SalesData[[#This Row],[Order Date]])</f>
        <v>2016</v>
      </c>
      <c r="C1593" s="3">
        <f>MONTH(SalesData[[#This Row],[Order Date]])</f>
        <v>8</v>
      </c>
      <c r="D1593" t="s">
        <v>30</v>
      </c>
      <c r="E1593" t="s">
        <v>37</v>
      </c>
      <c r="F1593" t="s">
        <v>15</v>
      </c>
      <c r="G1593" t="s">
        <v>38</v>
      </c>
      <c r="H1593" t="s">
        <v>56</v>
      </c>
      <c r="I1593" s="2">
        <v>2134.86</v>
      </c>
      <c r="J1593" s="3">
        <v>5</v>
      </c>
      <c r="K1593" s="2">
        <v>557.09</v>
      </c>
    </row>
    <row r="1594" spans="1:11" x14ac:dyDescent="0.25">
      <c r="A1594" s="4">
        <v>42591</v>
      </c>
      <c r="B1594" s="3">
        <f>YEAR(SalesData[[#This Row],[Order Date]])</f>
        <v>2016</v>
      </c>
      <c r="C1594" s="3">
        <f>MONTH(SalesData[[#This Row],[Order Date]])</f>
        <v>8</v>
      </c>
      <c r="D1594" t="s">
        <v>43</v>
      </c>
      <c r="E1594" t="s">
        <v>52</v>
      </c>
      <c r="F1594" t="s">
        <v>11</v>
      </c>
      <c r="G1594" t="s">
        <v>35</v>
      </c>
      <c r="H1594" t="s">
        <v>70</v>
      </c>
      <c r="I1594" s="2">
        <v>2047.95</v>
      </c>
      <c r="J1594" s="3">
        <v>10</v>
      </c>
      <c r="K1594" s="2">
        <v>331.33</v>
      </c>
    </row>
    <row r="1595" spans="1:11" x14ac:dyDescent="0.25">
      <c r="A1595" s="4">
        <v>42591</v>
      </c>
      <c r="B1595" s="3">
        <f>YEAR(SalesData[[#This Row],[Order Date]])</f>
        <v>2016</v>
      </c>
      <c r="C1595" s="3">
        <f>MONTH(SalesData[[#This Row],[Order Date]])</f>
        <v>8</v>
      </c>
      <c r="D1595" t="s">
        <v>9</v>
      </c>
      <c r="E1595" t="s">
        <v>34</v>
      </c>
      <c r="F1595" t="s">
        <v>27</v>
      </c>
      <c r="G1595" t="s">
        <v>32</v>
      </c>
      <c r="H1595" t="s">
        <v>33</v>
      </c>
      <c r="I1595" s="2">
        <v>4363.63</v>
      </c>
      <c r="J1595" s="3">
        <v>10</v>
      </c>
      <c r="K1595" s="2">
        <v>238</v>
      </c>
    </row>
    <row r="1596" spans="1:11" x14ac:dyDescent="0.25">
      <c r="A1596" s="4">
        <v>42592</v>
      </c>
      <c r="B1596" s="3">
        <f>YEAR(SalesData[[#This Row],[Order Date]])</f>
        <v>2016</v>
      </c>
      <c r="C1596" s="3">
        <f>MONTH(SalesData[[#This Row],[Order Date]])</f>
        <v>8</v>
      </c>
      <c r="D1596" t="s">
        <v>50</v>
      </c>
      <c r="E1596" t="s">
        <v>19</v>
      </c>
      <c r="F1596" t="s">
        <v>15</v>
      </c>
      <c r="G1596" t="s">
        <v>38</v>
      </c>
      <c r="H1596" t="s">
        <v>39</v>
      </c>
      <c r="I1596" s="2">
        <v>815.41</v>
      </c>
      <c r="J1596" s="3">
        <v>5</v>
      </c>
      <c r="K1596" s="2">
        <v>54.97</v>
      </c>
    </row>
    <row r="1597" spans="1:11" x14ac:dyDescent="0.25">
      <c r="A1597" s="4">
        <v>42593</v>
      </c>
      <c r="B1597" s="3">
        <f>YEAR(SalesData[[#This Row],[Order Date]])</f>
        <v>2016</v>
      </c>
      <c r="C1597" s="3">
        <f>MONTH(SalesData[[#This Row],[Order Date]])</f>
        <v>8</v>
      </c>
      <c r="D1597" t="s">
        <v>47</v>
      </c>
      <c r="E1597" t="s">
        <v>31</v>
      </c>
      <c r="F1597" t="s">
        <v>11</v>
      </c>
      <c r="G1597" t="s">
        <v>35</v>
      </c>
      <c r="H1597" t="s">
        <v>36</v>
      </c>
      <c r="I1597" s="2">
        <v>4366.2299999999996</v>
      </c>
      <c r="J1597" s="3">
        <v>2</v>
      </c>
      <c r="K1597" s="2">
        <v>174.24</v>
      </c>
    </row>
    <row r="1598" spans="1:11" x14ac:dyDescent="0.25">
      <c r="A1598" s="4">
        <v>42593</v>
      </c>
      <c r="B1598" s="3">
        <f>YEAR(SalesData[[#This Row],[Order Date]])</f>
        <v>2016</v>
      </c>
      <c r="C1598" s="3">
        <f>MONTH(SalesData[[#This Row],[Order Date]])</f>
        <v>8</v>
      </c>
      <c r="D1598" t="s">
        <v>68</v>
      </c>
      <c r="E1598" t="s">
        <v>34</v>
      </c>
      <c r="F1598" t="s">
        <v>15</v>
      </c>
      <c r="G1598" t="s">
        <v>63</v>
      </c>
      <c r="H1598" t="s">
        <v>66</v>
      </c>
      <c r="I1598" s="2">
        <v>191.94</v>
      </c>
      <c r="J1598" s="3">
        <v>3</v>
      </c>
      <c r="K1598" s="2">
        <v>48.27</v>
      </c>
    </row>
    <row r="1599" spans="1:11" x14ac:dyDescent="0.25">
      <c r="A1599" s="4">
        <v>42594</v>
      </c>
      <c r="B1599" s="3">
        <f>YEAR(SalesData[[#This Row],[Order Date]])</f>
        <v>2016</v>
      </c>
      <c r="C1599" s="3">
        <f>MONTH(SalesData[[#This Row],[Order Date]])</f>
        <v>8</v>
      </c>
      <c r="D1599" t="s">
        <v>43</v>
      </c>
      <c r="E1599" t="s">
        <v>26</v>
      </c>
      <c r="F1599" t="s">
        <v>11</v>
      </c>
      <c r="G1599" t="s">
        <v>35</v>
      </c>
      <c r="H1599" t="s">
        <v>71</v>
      </c>
      <c r="I1599" s="2">
        <v>1539.65</v>
      </c>
      <c r="J1599" s="3">
        <v>8</v>
      </c>
      <c r="K1599" s="2">
        <v>453.05</v>
      </c>
    </row>
    <row r="1600" spans="1:11" x14ac:dyDescent="0.25">
      <c r="A1600" s="4">
        <v>42594</v>
      </c>
      <c r="B1600" s="3">
        <f>YEAR(SalesData[[#This Row],[Order Date]])</f>
        <v>2016</v>
      </c>
      <c r="C1600" s="3">
        <f>MONTH(SalesData[[#This Row],[Order Date]])</f>
        <v>8</v>
      </c>
      <c r="D1600" t="s">
        <v>20</v>
      </c>
      <c r="E1600" t="s">
        <v>34</v>
      </c>
      <c r="F1600" t="s">
        <v>11</v>
      </c>
      <c r="G1600" t="s">
        <v>12</v>
      </c>
      <c r="H1600" t="s">
        <v>65</v>
      </c>
      <c r="I1600" s="2">
        <v>3448.86</v>
      </c>
      <c r="J1600" s="3">
        <v>8</v>
      </c>
      <c r="K1600" s="2">
        <v>269.69</v>
      </c>
    </row>
    <row r="1601" spans="1:11" x14ac:dyDescent="0.25">
      <c r="A1601" s="4">
        <v>42594</v>
      </c>
      <c r="B1601" s="3">
        <f>YEAR(SalesData[[#This Row],[Order Date]])</f>
        <v>2016</v>
      </c>
      <c r="C1601" s="3">
        <f>MONTH(SalesData[[#This Row],[Order Date]])</f>
        <v>8</v>
      </c>
      <c r="D1601" t="s">
        <v>62</v>
      </c>
      <c r="E1601" t="s">
        <v>10</v>
      </c>
      <c r="F1601" t="s">
        <v>27</v>
      </c>
      <c r="G1601" t="s">
        <v>28</v>
      </c>
      <c r="H1601" t="s">
        <v>69</v>
      </c>
      <c r="I1601" s="2">
        <v>2369.1</v>
      </c>
      <c r="J1601" s="3">
        <v>9</v>
      </c>
      <c r="K1601" s="2">
        <v>259.64</v>
      </c>
    </row>
    <row r="1602" spans="1:11" x14ac:dyDescent="0.25">
      <c r="A1602" s="4">
        <v>42594</v>
      </c>
      <c r="B1602" s="3">
        <f>YEAR(SalesData[[#This Row],[Order Date]])</f>
        <v>2016</v>
      </c>
      <c r="C1602" s="3">
        <f>MONTH(SalesData[[#This Row],[Order Date]])</f>
        <v>8</v>
      </c>
      <c r="D1602" t="s">
        <v>62</v>
      </c>
      <c r="E1602" t="s">
        <v>26</v>
      </c>
      <c r="F1602" t="s">
        <v>15</v>
      </c>
      <c r="G1602" t="s">
        <v>16</v>
      </c>
      <c r="H1602" t="s">
        <v>17</v>
      </c>
      <c r="I1602" s="2">
        <v>3171.69</v>
      </c>
      <c r="J1602" s="3">
        <v>1</v>
      </c>
      <c r="K1602" s="2">
        <v>294.52999999999997</v>
      </c>
    </row>
    <row r="1603" spans="1:11" x14ac:dyDescent="0.25">
      <c r="A1603" s="4">
        <v>42595</v>
      </c>
      <c r="B1603" s="3">
        <f>YEAR(SalesData[[#This Row],[Order Date]])</f>
        <v>2016</v>
      </c>
      <c r="C1603" s="3">
        <f>MONTH(SalesData[[#This Row],[Order Date]])</f>
        <v>8</v>
      </c>
      <c r="D1603" t="s">
        <v>9</v>
      </c>
      <c r="E1603" t="s">
        <v>40</v>
      </c>
      <c r="F1603" t="s">
        <v>11</v>
      </c>
      <c r="G1603" t="s">
        <v>12</v>
      </c>
      <c r="H1603" t="s">
        <v>65</v>
      </c>
      <c r="I1603" s="2">
        <v>2120.7399999999998</v>
      </c>
      <c r="J1603" s="3">
        <v>8</v>
      </c>
      <c r="K1603" s="2">
        <v>154.71</v>
      </c>
    </row>
    <row r="1604" spans="1:11" x14ac:dyDescent="0.25">
      <c r="A1604" s="4">
        <v>42596</v>
      </c>
      <c r="B1604" s="3">
        <f>YEAR(SalesData[[#This Row],[Order Date]])</f>
        <v>2016</v>
      </c>
      <c r="C1604" s="3">
        <f>MONTH(SalesData[[#This Row],[Order Date]])</f>
        <v>8</v>
      </c>
      <c r="D1604" t="s">
        <v>9</v>
      </c>
      <c r="E1604" t="s">
        <v>37</v>
      </c>
      <c r="F1604" t="s">
        <v>11</v>
      </c>
      <c r="G1604" t="s">
        <v>35</v>
      </c>
      <c r="H1604" t="s">
        <v>71</v>
      </c>
      <c r="I1604" s="2">
        <v>715.51</v>
      </c>
      <c r="J1604" s="3">
        <v>8</v>
      </c>
      <c r="K1604" s="2">
        <v>71.040000000000006</v>
      </c>
    </row>
    <row r="1605" spans="1:11" x14ac:dyDescent="0.25">
      <c r="A1605" s="4">
        <v>42596</v>
      </c>
      <c r="B1605" s="3">
        <f>YEAR(SalesData[[#This Row],[Order Date]])</f>
        <v>2016</v>
      </c>
      <c r="C1605" s="3">
        <f>MONTH(SalesData[[#This Row],[Order Date]])</f>
        <v>8</v>
      </c>
      <c r="D1605" t="s">
        <v>20</v>
      </c>
      <c r="E1605" t="s">
        <v>44</v>
      </c>
      <c r="F1605" t="s">
        <v>15</v>
      </c>
      <c r="G1605" t="s">
        <v>16</v>
      </c>
      <c r="H1605" t="s">
        <v>17</v>
      </c>
      <c r="I1605" s="2">
        <v>1109.6600000000001</v>
      </c>
      <c r="J1605" s="3">
        <v>6</v>
      </c>
      <c r="K1605" s="2">
        <v>59.71</v>
      </c>
    </row>
    <row r="1606" spans="1:11" x14ac:dyDescent="0.25">
      <c r="A1606" s="4">
        <v>42597</v>
      </c>
      <c r="B1606" s="3">
        <f>YEAR(SalesData[[#This Row],[Order Date]])</f>
        <v>2016</v>
      </c>
      <c r="C1606" s="3">
        <f>MONTH(SalesData[[#This Row],[Order Date]])</f>
        <v>8</v>
      </c>
      <c r="D1606" t="s">
        <v>9</v>
      </c>
      <c r="E1606" t="s">
        <v>44</v>
      </c>
      <c r="F1606" t="s">
        <v>11</v>
      </c>
      <c r="G1606" t="s">
        <v>35</v>
      </c>
      <c r="H1606" t="s">
        <v>70</v>
      </c>
      <c r="I1606" s="2">
        <v>4728.95</v>
      </c>
      <c r="J1606" s="3">
        <v>7</v>
      </c>
      <c r="K1606" s="2">
        <v>1305.8800000000001</v>
      </c>
    </row>
    <row r="1607" spans="1:11" x14ac:dyDescent="0.25">
      <c r="A1607" s="4">
        <v>42597</v>
      </c>
      <c r="B1607" s="3">
        <f>YEAR(SalesData[[#This Row],[Order Date]])</f>
        <v>2016</v>
      </c>
      <c r="C1607" s="3">
        <f>MONTH(SalesData[[#This Row],[Order Date]])</f>
        <v>8</v>
      </c>
      <c r="D1607" t="s">
        <v>18</v>
      </c>
      <c r="E1607" t="s">
        <v>26</v>
      </c>
      <c r="F1607" t="s">
        <v>11</v>
      </c>
      <c r="G1607" t="s">
        <v>24</v>
      </c>
      <c r="H1607" t="s">
        <v>25</v>
      </c>
      <c r="I1607" s="2">
        <v>2552.4899999999998</v>
      </c>
      <c r="J1607" s="3">
        <v>1</v>
      </c>
      <c r="K1607" s="2">
        <v>39.47</v>
      </c>
    </row>
    <row r="1608" spans="1:11" x14ac:dyDescent="0.25">
      <c r="A1608" s="4">
        <v>42598</v>
      </c>
      <c r="B1608" s="3">
        <f>YEAR(SalesData[[#This Row],[Order Date]])</f>
        <v>2016</v>
      </c>
      <c r="C1608" s="3">
        <f>MONTH(SalesData[[#This Row],[Order Date]])</f>
        <v>8</v>
      </c>
      <c r="D1608" t="s">
        <v>14</v>
      </c>
      <c r="E1608" t="s">
        <v>10</v>
      </c>
      <c r="F1608" t="s">
        <v>11</v>
      </c>
      <c r="G1608" t="s">
        <v>24</v>
      </c>
      <c r="H1608" t="s">
        <v>54</v>
      </c>
      <c r="I1608" s="2">
        <v>764.54</v>
      </c>
      <c r="J1608" s="3">
        <v>3</v>
      </c>
      <c r="K1608" s="2">
        <v>121.04</v>
      </c>
    </row>
    <row r="1609" spans="1:11" x14ac:dyDescent="0.25">
      <c r="A1609" s="4">
        <v>42599</v>
      </c>
      <c r="B1609" s="3">
        <f>YEAR(SalesData[[#This Row],[Order Date]])</f>
        <v>2016</v>
      </c>
      <c r="C1609" s="3">
        <f>MONTH(SalesData[[#This Row],[Order Date]])</f>
        <v>8</v>
      </c>
      <c r="D1609" t="s">
        <v>50</v>
      </c>
      <c r="E1609" t="s">
        <v>52</v>
      </c>
      <c r="F1609" t="s">
        <v>27</v>
      </c>
      <c r="G1609" t="s">
        <v>32</v>
      </c>
      <c r="H1609" t="s">
        <v>53</v>
      </c>
      <c r="I1609" s="2">
        <v>2134.46</v>
      </c>
      <c r="J1609" s="3">
        <v>9</v>
      </c>
      <c r="K1609" s="2">
        <v>232.51</v>
      </c>
    </row>
    <row r="1610" spans="1:11" x14ac:dyDescent="0.25">
      <c r="A1610" s="4">
        <v>42599</v>
      </c>
      <c r="B1610" s="3">
        <f>YEAR(SalesData[[#This Row],[Order Date]])</f>
        <v>2016</v>
      </c>
      <c r="C1610" s="3">
        <f>MONTH(SalesData[[#This Row],[Order Date]])</f>
        <v>8</v>
      </c>
      <c r="D1610" t="s">
        <v>43</v>
      </c>
      <c r="E1610" t="s">
        <v>40</v>
      </c>
      <c r="F1610" t="s">
        <v>11</v>
      </c>
      <c r="G1610" t="s">
        <v>21</v>
      </c>
      <c r="H1610" t="s">
        <v>22</v>
      </c>
      <c r="I1610" s="2">
        <v>1813.12</v>
      </c>
      <c r="J1610" s="3">
        <v>8</v>
      </c>
      <c r="K1610" s="2">
        <v>459.34</v>
      </c>
    </row>
    <row r="1611" spans="1:11" x14ac:dyDescent="0.25">
      <c r="A1611" s="4">
        <v>42600</v>
      </c>
      <c r="B1611" s="3">
        <f>YEAR(SalesData[[#This Row],[Order Date]])</f>
        <v>2016</v>
      </c>
      <c r="C1611" s="3">
        <f>MONTH(SalesData[[#This Row],[Order Date]])</f>
        <v>8</v>
      </c>
      <c r="D1611" t="s">
        <v>14</v>
      </c>
      <c r="E1611" t="s">
        <v>52</v>
      </c>
      <c r="F1611" t="s">
        <v>27</v>
      </c>
      <c r="G1611" t="s">
        <v>32</v>
      </c>
      <c r="H1611" t="s">
        <v>33</v>
      </c>
      <c r="I1611" s="2">
        <v>1092.1500000000001</v>
      </c>
      <c r="J1611" s="3">
        <v>2</v>
      </c>
      <c r="K1611" s="2">
        <v>128.32</v>
      </c>
    </row>
    <row r="1612" spans="1:11" x14ac:dyDescent="0.25">
      <c r="A1612" s="4">
        <v>42600</v>
      </c>
      <c r="B1612" s="3">
        <f>YEAR(SalesData[[#This Row],[Order Date]])</f>
        <v>2016</v>
      </c>
      <c r="C1612" s="3">
        <f>MONTH(SalesData[[#This Row],[Order Date]])</f>
        <v>8</v>
      </c>
      <c r="D1612" t="s">
        <v>9</v>
      </c>
      <c r="E1612" t="s">
        <v>44</v>
      </c>
      <c r="F1612" t="s">
        <v>11</v>
      </c>
      <c r="G1612" t="s">
        <v>35</v>
      </c>
      <c r="H1612" t="s">
        <v>71</v>
      </c>
      <c r="I1612" s="2">
        <v>2276.73</v>
      </c>
      <c r="J1612" s="3">
        <v>2</v>
      </c>
      <c r="K1612" s="2">
        <v>346.01</v>
      </c>
    </row>
    <row r="1613" spans="1:11" x14ac:dyDescent="0.25">
      <c r="A1613" s="4">
        <v>42600</v>
      </c>
      <c r="B1613" s="3">
        <f>YEAR(SalesData[[#This Row],[Order Date]])</f>
        <v>2016</v>
      </c>
      <c r="C1613" s="3">
        <f>MONTH(SalesData[[#This Row],[Order Date]])</f>
        <v>8</v>
      </c>
      <c r="D1613" t="s">
        <v>18</v>
      </c>
      <c r="E1613" t="s">
        <v>60</v>
      </c>
      <c r="F1613" t="s">
        <v>11</v>
      </c>
      <c r="G1613" t="s">
        <v>12</v>
      </c>
      <c r="H1613" t="s">
        <v>65</v>
      </c>
      <c r="I1613" s="2">
        <v>564.92999999999995</v>
      </c>
      <c r="J1613" s="3">
        <v>9</v>
      </c>
      <c r="K1613" s="2">
        <v>115.63</v>
      </c>
    </row>
    <row r="1614" spans="1:11" x14ac:dyDescent="0.25">
      <c r="A1614" s="4">
        <v>42601</v>
      </c>
      <c r="B1614" s="3">
        <f>YEAR(SalesData[[#This Row],[Order Date]])</f>
        <v>2016</v>
      </c>
      <c r="C1614" s="3">
        <f>MONTH(SalesData[[#This Row],[Order Date]])</f>
        <v>8</v>
      </c>
      <c r="D1614" t="s">
        <v>47</v>
      </c>
      <c r="E1614" t="s">
        <v>52</v>
      </c>
      <c r="F1614" t="s">
        <v>27</v>
      </c>
      <c r="G1614" t="s">
        <v>32</v>
      </c>
      <c r="H1614" t="s">
        <v>33</v>
      </c>
      <c r="I1614" s="2">
        <v>4390.6000000000004</v>
      </c>
      <c r="J1614" s="3">
        <v>7</v>
      </c>
      <c r="K1614" s="2">
        <v>705.52</v>
      </c>
    </row>
    <row r="1615" spans="1:11" x14ac:dyDescent="0.25">
      <c r="A1615" s="4">
        <v>42601</v>
      </c>
      <c r="B1615" s="3">
        <f>YEAR(SalesData[[#This Row],[Order Date]])</f>
        <v>2016</v>
      </c>
      <c r="C1615" s="3">
        <f>MONTH(SalesData[[#This Row],[Order Date]])</f>
        <v>8</v>
      </c>
      <c r="D1615" t="s">
        <v>55</v>
      </c>
      <c r="E1615" t="s">
        <v>60</v>
      </c>
      <c r="F1615" t="s">
        <v>11</v>
      </c>
      <c r="G1615" t="s">
        <v>21</v>
      </c>
      <c r="H1615" t="s">
        <v>22</v>
      </c>
      <c r="I1615" s="2">
        <v>467.73</v>
      </c>
      <c r="J1615" s="3">
        <v>8</v>
      </c>
      <c r="K1615" s="2">
        <v>59.56</v>
      </c>
    </row>
    <row r="1616" spans="1:11" x14ac:dyDescent="0.25">
      <c r="A1616" s="4">
        <v>42601</v>
      </c>
      <c r="B1616" s="3">
        <f>YEAR(SalesData[[#This Row],[Order Date]])</f>
        <v>2016</v>
      </c>
      <c r="C1616" s="3">
        <f>MONTH(SalesData[[#This Row],[Order Date]])</f>
        <v>8</v>
      </c>
      <c r="D1616" t="s">
        <v>20</v>
      </c>
      <c r="E1616" t="s">
        <v>52</v>
      </c>
      <c r="F1616" t="s">
        <v>15</v>
      </c>
      <c r="G1616" t="s">
        <v>41</v>
      </c>
      <c r="H1616" t="s">
        <v>61</v>
      </c>
      <c r="I1616" s="2">
        <v>1723.23</v>
      </c>
      <c r="J1616" s="3">
        <v>8</v>
      </c>
      <c r="K1616" s="2">
        <v>312.33</v>
      </c>
    </row>
    <row r="1617" spans="1:11" x14ac:dyDescent="0.25">
      <c r="A1617" s="4">
        <v>42601</v>
      </c>
      <c r="B1617" s="3">
        <f>YEAR(SalesData[[#This Row],[Order Date]])</f>
        <v>2016</v>
      </c>
      <c r="C1617" s="3">
        <f>MONTH(SalesData[[#This Row],[Order Date]])</f>
        <v>8</v>
      </c>
      <c r="D1617" t="s">
        <v>18</v>
      </c>
      <c r="E1617" t="s">
        <v>44</v>
      </c>
      <c r="F1617" t="s">
        <v>15</v>
      </c>
      <c r="G1617" t="s">
        <v>63</v>
      </c>
      <c r="H1617" t="s">
        <v>64</v>
      </c>
      <c r="I1617" s="2">
        <v>291.32</v>
      </c>
      <c r="J1617" s="3">
        <v>3</v>
      </c>
      <c r="K1617" s="2">
        <v>82.08</v>
      </c>
    </row>
    <row r="1618" spans="1:11" x14ac:dyDescent="0.25">
      <c r="A1618" s="4">
        <v>42602</v>
      </c>
      <c r="B1618" s="3">
        <f>YEAR(SalesData[[#This Row],[Order Date]])</f>
        <v>2016</v>
      </c>
      <c r="C1618" s="3">
        <f>MONTH(SalesData[[#This Row],[Order Date]])</f>
        <v>8</v>
      </c>
      <c r="D1618" t="s">
        <v>9</v>
      </c>
      <c r="E1618" t="s">
        <v>26</v>
      </c>
      <c r="F1618" t="s">
        <v>27</v>
      </c>
      <c r="G1618" t="s">
        <v>28</v>
      </c>
      <c r="H1618" t="s">
        <v>69</v>
      </c>
      <c r="I1618" s="2">
        <v>3706.47</v>
      </c>
      <c r="J1618" s="3">
        <v>5</v>
      </c>
      <c r="K1618" s="2">
        <v>531.54999999999995</v>
      </c>
    </row>
    <row r="1619" spans="1:11" x14ac:dyDescent="0.25">
      <c r="A1619" s="4">
        <v>42602</v>
      </c>
      <c r="B1619" s="3">
        <f>YEAR(SalesData[[#This Row],[Order Date]])</f>
        <v>2016</v>
      </c>
      <c r="C1619" s="3">
        <f>MONTH(SalesData[[#This Row],[Order Date]])</f>
        <v>8</v>
      </c>
      <c r="D1619" t="s">
        <v>14</v>
      </c>
      <c r="E1619" t="s">
        <v>10</v>
      </c>
      <c r="F1619" t="s">
        <v>11</v>
      </c>
      <c r="G1619" t="s">
        <v>24</v>
      </c>
      <c r="H1619" t="s">
        <v>54</v>
      </c>
      <c r="I1619" s="2">
        <v>564.58000000000004</v>
      </c>
      <c r="J1619" s="3">
        <v>1</v>
      </c>
      <c r="K1619" s="2">
        <v>158.83000000000001</v>
      </c>
    </row>
    <row r="1620" spans="1:11" x14ac:dyDescent="0.25">
      <c r="A1620" s="4">
        <v>42604</v>
      </c>
      <c r="B1620" s="3">
        <f>YEAR(SalesData[[#This Row],[Order Date]])</f>
        <v>2016</v>
      </c>
      <c r="C1620" s="3">
        <f>MONTH(SalesData[[#This Row],[Order Date]])</f>
        <v>8</v>
      </c>
      <c r="D1620" t="s">
        <v>30</v>
      </c>
      <c r="E1620" t="s">
        <v>37</v>
      </c>
      <c r="F1620" t="s">
        <v>15</v>
      </c>
      <c r="G1620" t="s">
        <v>45</v>
      </c>
      <c r="H1620" t="s">
        <v>46</v>
      </c>
      <c r="I1620" s="2">
        <v>4757.2</v>
      </c>
      <c r="J1620" s="3">
        <v>8</v>
      </c>
      <c r="K1620" s="2">
        <v>485.91</v>
      </c>
    </row>
    <row r="1621" spans="1:11" x14ac:dyDescent="0.25">
      <c r="A1621" s="4">
        <v>42604</v>
      </c>
      <c r="B1621" s="3">
        <f>YEAR(SalesData[[#This Row],[Order Date]])</f>
        <v>2016</v>
      </c>
      <c r="C1621" s="3">
        <f>MONTH(SalesData[[#This Row],[Order Date]])</f>
        <v>8</v>
      </c>
      <c r="D1621" t="s">
        <v>50</v>
      </c>
      <c r="E1621" t="s">
        <v>60</v>
      </c>
      <c r="F1621" t="s">
        <v>15</v>
      </c>
      <c r="G1621" t="s">
        <v>63</v>
      </c>
      <c r="H1621" t="s">
        <v>64</v>
      </c>
      <c r="I1621" s="2">
        <v>4307.1099999999997</v>
      </c>
      <c r="J1621" s="3">
        <v>3</v>
      </c>
      <c r="K1621" s="2">
        <v>185.92</v>
      </c>
    </row>
    <row r="1622" spans="1:11" x14ac:dyDescent="0.25">
      <c r="A1622" s="4">
        <v>42604</v>
      </c>
      <c r="B1622" s="3">
        <f>YEAR(SalesData[[#This Row],[Order Date]])</f>
        <v>2016</v>
      </c>
      <c r="C1622" s="3">
        <f>MONTH(SalesData[[#This Row],[Order Date]])</f>
        <v>8</v>
      </c>
      <c r="D1622" t="s">
        <v>23</v>
      </c>
      <c r="E1622" t="s">
        <v>52</v>
      </c>
      <c r="F1622" t="s">
        <v>15</v>
      </c>
      <c r="G1622" t="s">
        <v>45</v>
      </c>
      <c r="H1622" t="s">
        <v>46</v>
      </c>
      <c r="I1622" s="2">
        <v>2014.93</v>
      </c>
      <c r="J1622" s="3">
        <v>8</v>
      </c>
      <c r="K1622" s="2">
        <v>393.14</v>
      </c>
    </row>
    <row r="1623" spans="1:11" x14ac:dyDescent="0.25">
      <c r="A1623" s="4">
        <v>42604</v>
      </c>
      <c r="B1623" s="3">
        <f>YEAR(SalesData[[#This Row],[Order Date]])</f>
        <v>2016</v>
      </c>
      <c r="C1623" s="3">
        <f>MONTH(SalesData[[#This Row],[Order Date]])</f>
        <v>8</v>
      </c>
      <c r="D1623" t="s">
        <v>23</v>
      </c>
      <c r="E1623" t="s">
        <v>60</v>
      </c>
      <c r="F1623" t="s">
        <v>27</v>
      </c>
      <c r="G1623" t="s">
        <v>48</v>
      </c>
      <c r="H1623" t="s">
        <v>49</v>
      </c>
      <c r="I1623" s="2">
        <v>3270.49</v>
      </c>
      <c r="J1623" s="3">
        <v>8</v>
      </c>
      <c r="K1623" s="2">
        <v>467.1</v>
      </c>
    </row>
    <row r="1624" spans="1:11" x14ac:dyDescent="0.25">
      <c r="A1624" s="4">
        <v>42605</v>
      </c>
      <c r="B1624" s="3">
        <f>YEAR(SalesData[[#This Row],[Order Date]])</f>
        <v>2016</v>
      </c>
      <c r="C1624" s="3">
        <f>MONTH(SalesData[[#This Row],[Order Date]])</f>
        <v>8</v>
      </c>
      <c r="D1624" t="s">
        <v>23</v>
      </c>
      <c r="E1624" t="s">
        <v>44</v>
      </c>
      <c r="F1624" t="s">
        <v>27</v>
      </c>
      <c r="G1624" t="s">
        <v>48</v>
      </c>
      <c r="H1624" t="s">
        <v>57</v>
      </c>
      <c r="I1624" s="2">
        <v>4625.24</v>
      </c>
      <c r="J1624" s="3">
        <v>6</v>
      </c>
      <c r="K1624" s="2">
        <v>1079.3800000000001</v>
      </c>
    </row>
    <row r="1625" spans="1:11" x14ac:dyDescent="0.25">
      <c r="A1625" s="4">
        <v>42605</v>
      </c>
      <c r="B1625" s="3">
        <f>YEAR(SalesData[[#This Row],[Order Date]])</f>
        <v>2016</v>
      </c>
      <c r="C1625" s="3">
        <f>MONTH(SalesData[[#This Row],[Order Date]])</f>
        <v>8</v>
      </c>
      <c r="D1625" t="s">
        <v>14</v>
      </c>
      <c r="E1625" t="s">
        <v>26</v>
      </c>
      <c r="F1625" t="s">
        <v>15</v>
      </c>
      <c r="G1625" t="s">
        <v>63</v>
      </c>
      <c r="H1625" t="s">
        <v>66</v>
      </c>
      <c r="I1625" s="2">
        <v>4602.63</v>
      </c>
      <c r="J1625" s="3">
        <v>7</v>
      </c>
      <c r="K1625" s="2">
        <v>45.63</v>
      </c>
    </row>
    <row r="1626" spans="1:11" x14ac:dyDescent="0.25">
      <c r="A1626" s="4">
        <v>42605</v>
      </c>
      <c r="B1626" s="3">
        <f>YEAR(SalesData[[#This Row],[Order Date]])</f>
        <v>2016</v>
      </c>
      <c r="C1626" s="3">
        <f>MONTH(SalesData[[#This Row],[Order Date]])</f>
        <v>8</v>
      </c>
      <c r="D1626" t="s">
        <v>62</v>
      </c>
      <c r="E1626" t="s">
        <v>44</v>
      </c>
      <c r="F1626" t="s">
        <v>27</v>
      </c>
      <c r="G1626" t="s">
        <v>28</v>
      </c>
      <c r="H1626" t="s">
        <v>58</v>
      </c>
      <c r="I1626" s="2">
        <v>3404.24</v>
      </c>
      <c r="J1626" s="3">
        <v>4</v>
      </c>
      <c r="K1626" s="2">
        <v>812.94</v>
      </c>
    </row>
    <row r="1627" spans="1:11" x14ac:dyDescent="0.25">
      <c r="A1627" s="4">
        <v>42606</v>
      </c>
      <c r="B1627" s="3">
        <f>YEAR(SalesData[[#This Row],[Order Date]])</f>
        <v>2016</v>
      </c>
      <c r="C1627" s="3">
        <f>MONTH(SalesData[[#This Row],[Order Date]])</f>
        <v>8</v>
      </c>
      <c r="D1627" t="s">
        <v>43</v>
      </c>
      <c r="E1627" t="s">
        <v>44</v>
      </c>
      <c r="F1627" t="s">
        <v>27</v>
      </c>
      <c r="G1627" t="s">
        <v>48</v>
      </c>
      <c r="H1627" t="s">
        <v>57</v>
      </c>
      <c r="I1627" s="2">
        <v>3225.5</v>
      </c>
      <c r="J1627" s="3">
        <v>10</v>
      </c>
      <c r="K1627" s="2">
        <v>97.65</v>
      </c>
    </row>
    <row r="1628" spans="1:11" x14ac:dyDescent="0.25">
      <c r="A1628" s="4">
        <v>42606</v>
      </c>
      <c r="B1628" s="3">
        <f>YEAR(SalesData[[#This Row],[Order Date]])</f>
        <v>2016</v>
      </c>
      <c r="C1628" s="3">
        <f>MONTH(SalesData[[#This Row],[Order Date]])</f>
        <v>8</v>
      </c>
      <c r="D1628" t="s">
        <v>14</v>
      </c>
      <c r="E1628" t="s">
        <v>44</v>
      </c>
      <c r="F1628" t="s">
        <v>11</v>
      </c>
      <c r="G1628" t="s">
        <v>35</v>
      </c>
      <c r="H1628" t="s">
        <v>71</v>
      </c>
      <c r="I1628" s="2">
        <v>1381.74</v>
      </c>
      <c r="J1628" s="3">
        <v>10</v>
      </c>
      <c r="K1628" s="2">
        <v>114.51</v>
      </c>
    </row>
    <row r="1629" spans="1:11" x14ac:dyDescent="0.25">
      <c r="A1629" s="4">
        <v>42606</v>
      </c>
      <c r="B1629" s="3">
        <f>YEAR(SalesData[[#This Row],[Order Date]])</f>
        <v>2016</v>
      </c>
      <c r="C1629" s="3">
        <f>MONTH(SalesData[[#This Row],[Order Date]])</f>
        <v>8</v>
      </c>
      <c r="D1629" t="s">
        <v>23</v>
      </c>
      <c r="E1629" t="s">
        <v>40</v>
      </c>
      <c r="F1629" t="s">
        <v>15</v>
      </c>
      <c r="G1629" t="s">
        <v>16</v>
      </c>
      <c r="H1629" t="s">
        <v>51</v>
      </c>
      <c r="I1629" s="2">
        <v>866.43</v>
      </c>
      <c r="J1629" s="3">
        <v>3</v>
      </c>
      <c r="K1629" s="2">
        <v>226.51</v>
      </c>
    </row>
    <row r="1630" spans="1:11" x14ac:dyDescent="0.25">
      <c r="A1630" s="4">
        <v>42609</v>
      </c>
      <c r="B1630" s="3">
        <f>YEAR(SalesData[[#This Row],[Order Date]])</f>
        <v>2016</v>
      </c>
      <c r="C1630" s="3">
        <f>MONTH(SalesData[[#This Row],[Order Date]])</f>
        <v>8</v>
      </c>
      <c r="D1630" t="s">
        <v>50</v>
      </c>
      <c r="E1630" t="s">
        <v>10</v>
      </c>
      <c r="F1630" t="s">
        <v>15</v>
      </c>
      <c r="G1630" t="s">
        <v>41</v>
      </c>
      <c r="H1630" t="s">
        <v>42</v>
      </c>
      <c r="I1630" s="2">
        <v>2171.9299999999998</v>
      </c>
      <c r="J1630" s="3">
        <v>10</v>
      </c>
      <c r="K1630" s="2">
        <v>39.99</v>
      </c>
    </row>
    <row r="1631" spans="1:11" x14ac:dyDescent="0.25">
      <c r="A1631" s="4">
        <v>42610</v>
      </c>
      <c r="B1631" s="3">
        <f>YEAR(SalesData[[#This Row],[Order Date]])</f>
        <v>2016</v>
      </c>
      <c r="C1631" s="3">
        <f>MONTH(SalesData[[#This Row],[Order Date]])</f>
        <v>8</v>
      </c>
      <c r="D1631" t="s">
        <v>62</v>
      </c>
      <c r="E1631" t="s">
        <v>26</v>
      </c>
      <c r="F1631" t="s">
        <v>11</v>
      </c>
      <c r="G1631" t="s">
        <v>35</v>
      </c>
      <c r="H1631" t="s">
        <v>70</v>
      </c>
      <c r="I1631" s="2">
        <v>1149.26</v>
      </c>
      <c r="J1631" s="3">
        <v>2</v>
      </c>
      <c r="K1631" s="2">
        <v>290.67</v>
      </c>
    </row>
    <row r="1632" spans="1:11" x14ac:dyDescent="0.25">
      <c r="A1632" s="4">
        <v>42610</v>
      </c>
      <c r="B1632" s="3">
        <f>YEAR(SalesData[[#This Row],[Order Date]])</f>
        <v>2016</v>
      </c>
      <c r="C1632" s="3">
        <f>MONTH(SalesData[[#This Row],[Order Date]])</f>
        <v>8</v>
      </c>
      <c r="D1632" t="s">
        <v>43</v>
      </c>
      <c r="E1632" t="s">
        <v>37</v>
      </c>
      <c r="F1632" t="s">
        <v>11</v>
      </c>
      <c r="G1632" t="s">
        <v>35</v>
      </c>
      <c r="H1632" t="s">
        <v>36</v>
      </c>
      <c r="I1632" s="2">
        <v>3918.03</v>
      </c>
      <c r="J1632" s="3">
        <v>6</v>
      </c>
      <c r="K1632" s="2">
        <v>246.6</v>
      </c>
    </row>
    <row r="1633" spans="1:11" x14ac:dyDescent="0.25">
      <c r="A1633" s="4">
        <v>42612</v>
      </c>
      <c r="B1633" s="3">
        <f>YEAR(SalesData[[#This Row],[Order Date]])</f>
        <v>2016</v>
      </c>
      <c r="C1633" s="3">
        <f>MONTH(SalesData[[#This Row],[Order Date]])</f>
        <v>8</v>
      </c>
      <c r="D1633" t="s">
        <v>55</v>
      </c>
      <c r="E1633" t="s">
        <v>60</v>
      </c>
      <c r="F1633" t="s">
        <v>15</v>
      </c>
      <c r="G1633" t="s">
        <v>38</v>
      </c>
      <c r="H1633" t="s">
        <v>56</v>
      </c>
      <c r="I1633" s="2">
        <v>3950.81</v>
      </c>
      <c r="J1633" s="3">
        <v>3</v>
      </c>
      <c r="K1633" s="2">
        <v>1047.6600000000001</v>
      </c>
    </row>
    <row r="1634" spans="1:11" x14ac:dyDescent="0.25">
      <c r="A1634" s="4">
        <v>42612</v>
      </c>
      <c r="B1634" s="3">
        <f>YEAR(SalesData[[#This Row],[Order Date]])</f>
        <v>2016</v>
      </c>
      <c r="C1634" s="3">
        <f>MONTH(SalesData[[#This Row],[Order Date]])</f>
        <v>8</v>
      </c>
      <c r="D1634" t="s">
        <v>20</v>
      </c>
      <c r="E1634" t="s">
        <v>19</v>
      </c>
      <c r="F1634" t="s">
        <v>15</v>
      </c>
      <c r="G1634" t="s">
        <v>45</v>
      </c>
      <c r="H1634" t="s">
        <v>59</v>
      </c>
      <c r="I1634" s="2">
        <v>4145.26</v>
      </c>
      <c r="J1634" s="3">
        <v>10</v>
      </c>
      <c r="K1634" s="2">
        <v>1186.5999999999999</v>
      </c>
    </row>
    <row r="1635" spans="1:11" x14ac:dyDescent="0.25">
      <c r="A1635" s="4">
        <v>42612</v>
      </c>
      <c r="B1635" s="3">
        <f>YEAR(SalesData[[#This Row],[Order Date]])</f>
        <v>2016</v>
      </c>
      <c r="C1635" s="3">
        <f>MONTH(SalesData[[#This Row],[Order Date]])</f>
        <v>8</v>
      </c>
      <c r="D1635" t="s">
        <v>9</v>
      </c>
      <c r="E1635" t="s">
        <v>60</v>
      </c>
      <c r="F1635" t="s">
        <v>15</v>
      </c>
      <c r="G1635" t="s">
        <v>63</v>
      </c>
      <c r="H1635" t="s">
        <v>64</v>
      </c>
      <c r="I1635" s="2">
        <v>996.23</v>
      </c>
      <c r="J1635" s="3">
        <v>3</v>
      </c>
      <c r="K1635" s="2">
        <v>225.24</v>
      </c>
    </row>
    <row r="1636" spans="1:11" x14ac:dyDescent="0.25">
      <c r="A1636" s="4">
        <v>42612</v>
      </c>
      <c r="B1636" s="3">
        <f>YEAR(SalesData[[#This Row],[Order Date]])</f>
        <v>2016</v>
      </c>
      <c r="C1636" s="3">
        <f>MONTH(SalesData[[#This Row],[Order Date]])</f>
        <v>8</v>
      </c>
      <c r="D1636" t="s">
        <v>47</v>
      </c>
      <c r="E1636" t="s">
        <v>37</v>
      </c>
      <c r="F1636" t="s">
        <v>27</v>
      </c>
      <c r="G1636" t="s">
        <v>32</v>
      </c>
      <c r="H1636" t="s">
        <v>53</v>
      </c>
      <c r="I1636" s="2">
        <v>1308.42</v>
      </c>
      <c r="J1636" s="3">
        <v>8</v>
      </c>
      <c r="K1636" s="2">
        <v>160.58000000000001</v>
      </c>
    </row>
    <row r="1637" spans="1:11" x14ac:dyDescent="0.25">
      <c r="A1637" s="4">
        <v>42612</v>
      </c>
      <c r="B1637" s="3">
        <f>YEAR(SalesData[[#This Row],[Order Date]])</f>
        <v>2016</v>
      </c>
      <c r="C1637" s="3">
        <f>MONTH(SalesData[[#This Row],[Order Date]])</f>
        <v>8</v>
      </c>
      <c r="D1637" t="s">
        <v>62</v>
      </c>
      <c r="E1637" t="s">
        <v>26</v>
      </c>
      <c r="F1637" t="s">
        <v>11</v>
      </c>
      <c r="G1637" t="s">
        <v>21</v>
      </c>
      <c r="H1637" t="s">
        <v>67</v>
      </c>
      <c r="I1637" s="2">
        <v>4789.76</v>
      </c>
      <c r="J1637" s="3">
        <v>1</v>
      </c>
      <c r="K1637" s="2">
        <v>211.29</v>
      </c>
    </row>
    <row r="1638" spans="1:11" x14ac:dyDescent="0.25">
      <c r="A1638" s="4">
        <v>42615</v>
      </c>
      <c r="B1638" s="3">
        <f>YEAR(SalesData[[#This Row],[Order Date]])</f>
        <v>2016</v>
      </c>
      <c r="C1638" s="3">
        <f>MONTH(SalesData[[#This Row],[Order Date]])</f>
        <v>9</v>
      </c>
      <c r="D1638" t="s">
        <v>68</v>
      </c>
      <c r="E1638" t="s">
        <v>34</v>
      </c>
      <c r="F1638" t="s">
        <v>15</v>
      </c>
      <c r="G1638" t="s">
        <v>38</v>
      </c>
      <c r="H1638" t="s">
        <v>56</v>
      </c>
      <c r="I1638" s="2">
        <v>2163.5300000000002</v>
      </c>
      <c r="J1638" s="3">
        <v>6</v>
      </c>
      <c r="K1638" s="2">
        <v>185.17</v>
      </c>
    </row>
    <row r="1639" spans="1:11" x14ac:dyDescent="0.25">
      <c r="A1639" s="4">
        <v>42615</v>
      </c>
      <c r="B1639" s="3">
        <f>YEAR(SalesData[[#This Row],[Order Date]])</f>
        <v>2016</v>
      </c>
      <c r="C1639" s="3">
        <f>MONTH(SalesData[[#This Row],[Order Date]])</f>
        <v>9</v>
      </c>
      <c r="D1639" t="s">
        <v>23</v>
      </c>
      <c r="E1639" t="s">
        <v>37</v>
      </c>
      <c r="F1639" t="s">
        <v>15</v>
      </c>
      <c r="G1639" t="s">
        <v>41</v>
      </c>
      <c r="H1639" t="s">
        <v>42</v>
      </c>
      <c r="I1639" s="2">
        <v>2147.4</v>
      </c>
      <c r="J1639" s="3">
        <v>7</v>
      </c>
      <c r="K1639" s="2">
        <v>497.28</v>
      </c>
    </row>
    <row r="1640" spans="1:11" x14ac:dyDescent="0.25">
      <c r="A1640" s="4">
        <v>42617</v>
      </c>
      <c r="B1640" s="3">
        <f>YEAR(SalesData[[#This Row],[Order Date]])</f>
        <v>2016</v>
      </c>
      <c r="C1640" s="3">
        <f>MONTH(SalesData[[#This Row],[Order Date]])</f>
        <v>9</v>
      </c>
      <c r="D1640" t="s">
        <v>68</v>
      </c>
      <c r="E1640" t="s">
        <v>26</v>
      </c>
      <c r="F1640" t="s">
        <v>27</v>
      </c>
      <c r="G1640" t="s">
        <v>32</v>
      </c>
      <c r="H1640" t="s">
        <v>33</v>
      </c>
      <c r="I1640" s="2">
        <v>881.57</v>
      </c>
      <c r="J1640" s="3">
        <v>8</v>
      </c>
      <c r="K1640" s="2">
        <v>207.61</v>
      </c>
    </row>
    <row r="1641" spans="1:11" x14ac:dyDescent="0.25">
      <c r="A1641" s="4">
        <v>42617</v>
      </c>
      <c r="B1641" s="3">
        <f>YEAR(SalesData[[#This Row],[Order Date]])</f>
        <v>2016</v>
      </c>
      <c r="C1641" s="3">
        <f>MONTH(SalesData[[#This Row],[Order Date]])</f>
        <v>9</v>
      </c>
      <c r="D1641" t="s">
        <v>62</v>
      </c>
      <c r="E1641" t="s">
        <v>44</v>
      </c>
      <c r="F1641" t="s">
        <v>27</v>
      </c>
      <c r="G1641" t="s">
        <v>28</v>
      </c>
      <c r="H1641" t="s">
        <v>69</v>
      </c>
      <c r="I1641" s="2">
        <v>414.92</v>
      </c>
      <c r="J1641" s="3">
        <v>10</v>
      </c>
      <c r="K1641" s="2">
        <v>110.82</v>
      </c>
    </row>
    <row r="1642" spans="1:11" x14ac:dyDescent="0.25">
      <c r="A1642" s="4">
        <v>42617</v>
      </c>
      <c r="B1642" s="3">
        <f>YEAR(SalesData[[#This Row],[Order Date]])</f>
        <v>2016</v>
      </c>
      <c r="C1642" s="3">
        <f>MONTH(SalesData[[#This Row],[Order Date]])</f>
        <v>9</v>
      </c>
      <c r="D1642" t="s">
        <v>43</v>
      </c>
      <c r="E1642" t="s">
        <v>34</v>
      </c>
      <c r="F1642" t="s">
        <v>15</v>
      </c>
      <c r="G1642" t="s">
        <v>41</v>
      </c>
      <c r="H1642" t="s">
        <v>42</v>
      </c>
      <c r="I1642" s="2">
        <v>658.12</v>
      </c>
      <c r="J1642" s="3">
        <v>7</v>
      </c>
      <c r="K1642" s="2">
        <v>184.07</v>
      </c>
    </row>
    <row r="1643" spans="1:11" x14ac:dyDescent="0.25">
      <c r="A1643" s="4">
        <v>42618</v>
      </c>
      <c r="B1643" s="3">
        <f>YEAR(SalesData[[#This Row],[Order Date]])</f>
        <v>2016</v>
      </c>
      <c r="C1643" s="3">
        <f>MONTH(SalesData[[#This Row],[Order Date]])</f>
        <v>9</v>
      </c>
      <c r="D1643" t="s">
        <v>9</v>
      </c>
      <c r="E1643" t="s">
        <v>40</v>
      </c>
      <c r="F1643" t="s">
        <v>11</v>
      </c>
      <c r="G1643" t="s">
        <v>24</v>
      </c>
      <c r="H1643" t="s">
        <v>54</v>
      </c>
      <c r="I1643" s="2">
        <v>4925.46</v>
      </c>
      <c r="J1643" s="3">
        <v>10</v>
      </c>
      <c r="K1643" s="2">
        <v>11.31</v>
      </c>
    </row>
    <row r="1644" spans="1:11" x14ac:dyDescent="0.25">
      <c r="A1644" s="4">
        <v>42620</v>
      </c>
      <c r="B1644" s="3">
        <f>YEAR(SalesData[[#This Row],[Order Date]])</f>
        <v>2016</v>
      </c>
      <c r="C1644" s="3">
        <f>MONTH(SalesData[[#This Row],[Order Date]])</f>
        <v>9</v>
      </c>
      <c r="D1644" t="s">
        <v>23</v>
      </c>
      <c r="E1644" t="s">
        <v>31</v>
      </c>
      <c r="F1644" t="s">
        <v>11</v>
      </c>
      <c r="G1644" t="s">
        <v>12</v>
      </c>
      <c r="H1644" t="s">
        <v>13</v>
      </c>
      <c r="I1644" s="2">
        <v>593.89</v>
      </c>
      <c r="J1644" s="3">
        <v>6</v>
      </c>
      <c r="K1644" s="2">
        <v>97.8</v>
      </c>
    </row>
    <row r="1645" spans="1:11" x14ac:dyDescent="0.25">
      <c r="A1645" s="4">
        <v>42620</v>
      </c>
      <c r="B1645" s="3">
        <f>YEAR(SalesData[[#This Row],[Order Date]])</f>
        <v>2016</v>
      </c>
      <c r="C1645" s="3">
        <f>MONTH(SalesData[[#This Row],[Order Date]])</f>
        <v>9</v>
      </c>
      <c r="D1645" t="s">
        <v>47</v>
      </c>
      <c r="E1645" t="s">
        <v>19</v>
      </c>
      <c r="F1645" t="s">
        <v>15</v>
      </c>
      <c r="G1645" t="s">
        <v>45</v>
      </c>
      <c r="H1645" t="s">
        <v>46</v>
      </c>
      <c r="I1645" s="2">
        <v>407.61</v>
      </c>
      <c r="J1645" s="3">
        <v>6</v>
      </c>
      <c r="K1645" s="2">
        <v>27.28</v>
      </c>
    </row>
    <row r="1646" spans="1:11" x14ac:dyDescent="0.25">
      <c r="A1646" s="4">
        <v>42621</v>
      </c>
      <c r="B1646" s="3">
        <f>YEAR(SalesData[[#This Row],[Order Date]])</f>
        <v>2016</v>
      </c>
      <c r="C1646" s="3">
        <f>MONTH(SalesData[[#This Row],[Order Date]])</f>
        <v>9</v>
      </c>
      <c r="D1646" t="s">
        <v>50</v>
      </c>
      <c r="E1646" t="s">
        <v>31</v>
      </c>
      <c r="F1646" t="s">
        <v>27</v>
      </c>
      <c r="G1646" t="s">
        <v>48</v>
      </c>
      <c r="H1646" t="s">
        <v>49</v>
      </c>
      <c r="I1646" s="2">
        <v>857.36</v>
      </c>
      <c r="J1646" s="3">
        <v>5</v>
      </c>
      <c r="K1646" s="2">
        <v>96.66</v>
      </c>
    </row>
    <row r="1647" spans="1:11" x14ac:dyDescent="0.25">
      <c r="A1647" s="4">
        <v>42621</v>
      </c>
      <c r="B1647" s="3">
        <f>YEAR(SalesData[[#This Row],[Order Date]])</f>
        <v>2016</v>
      </c>
      <c r="C1647" s="3">
        <f>MONTH(SalesData[[#This Row],[Order Date]])</f>
        <v>9</v>
      </c>
      <c r="D1647" t="s">
        <v>30</v>
      </c>
      <c r="E1647" t="s">
        <v>40</v>
      </c>
      <c r="F1647" t="s">
        <v>15</v>
      </c>
      <c r="G1647" t="s">
        <v>41</v>
      </c>
      <c r="H1647" t="s">
        <v>61</v>
      </c>
      <c r="I1647" s="2">
        <v>4033.38</v>
      </c>
      <c r="J1647" s="3">
        <v>9</v>
      </c>
      <c r="K1647" s="2">
        <v>773.85</v>
      </c>
    </row>
    <row r="1648" spans="1:11" x14ac:dyDescent="0.25">
      <c r="A1648" s="4">
        <v>42623</v>
      </c>
      <c r="B1648" s="3">
        <f>YEAR(SalesData[[#This Row],[Order Date]])</f>
        <v>2016</v>
      </c>
      <c r="C1648" s="3">
        <f>MONTH(SalesData[[#This Row],[Order Date]])</f>
        <v>9</v>
      </c>
      <c r="D1648" t="s">
        <v>47</v>
      </c>
      <c r="E1648" t="s">
        <v>60</v>
      </c>
      <c r="F1648" t="s">
        <v>27</v>
      </c>
      <c r="G1648" t="s">
        <v>48</v>
      </c>
      <c r="H1648" t="s">
        <v>57</v>
      </c>
      <c r="I1648" s="2">
        <v>739.32</v>
      </c>
      <c r="J1648" s="3">
        <v>1</v>
      </c>
      <c r="K1648" s="2">
        <v>23.61</v>
      </c>
    </row>
    <row r="1649" spans="1:11" x14ac:dyDescent="0.25">
      <c r="A1649" s="4">
        <v>42623</v>
      </c>
      <c r="B1649" s="3">
        <f>YEAR(SalesData[[#This Row],[Order Date]])</f>
        <v>2016</v>
      </c>
      <c r="C1649" s="3">
        <f>MONTH(SalesData[[#This Row],[Order Date]])</f>
        <v>9</v>
      </c>
      <c r="D1649" t="s">
        <v>47</v>
      </c>
      <c r="E1649" t="s">
        <v>37</v>
      </c>
      <c r="F1649" t="s">
        <v>11</v>
      </c>
      <c r="G1649" t="s">
        <v>24</v>
      </c>
      <c r="H1649" t="s">
        <v>54</v>
      </c>
      <c r="I1649" s="2">
        <v>3484.23</v>
      </c>
      <c r="J1649" s="3">
        <v>1</v>
      </c>
      <c r="K1649" s="2">
        <v>580.11</v>
      </c>
    </row>
    <row r="1650" spans="1:11" x14ac:dyDescent="0.25">
      <c r="A1650" s="4">
        <v>42624</v>
      </c>
      <c r="B1650" s="3">
        <f>YEAR(SalesData[[#This Row],[Order Date]])</f>
        <v>2016</v>
      </c>
      <c r="C1650" s="3">
        <f>MONTH(SalesData[[#This Row],[Order Date]])</f>
        <v>9</v>
      </c>
      <c r="D1650" t="s">
        <v>50</v>
      </c>
      <c r="E1650" t="s">
        <v>44</v>
      </c>
      <c r="F1650" t="s">
        <v>27</v>
      </c>
      <c r="G1650" t="s">
        <v>28</v>
      </c>
      <c r="H1650" t="s">
        <v>29</v>
      </c>
      <c r="I1650" s="2">
        <v>3354.92</v>
      </c>
      <c r="J1650" s="3">
        <v>1</v>
      </c>
      <c r="K1650" s="2">
        <v>963.49</v>
      </c>
    </row>
    <row r="1651" spans="1:11" x14ac:dyDescent="0.25">
      <c r="A1651" s="4">
        <v>42624</v>
      </c>
      <c r="B1651" s="3">
        <f>YEAR(SalesData[[#This Row],[Order Date]])</f>
        <v>2016</v>
      </c>
      <c r="C1651" s="3">
        <f>MONTH(SalesData[[#This Row],[Order Date]])</f>
        <v>9</v>
      </c>
      <c r="D1651" t="s">
        <v>68</v>
      </c>
      <c r="E1651" t="s">
        <v>52</v>
      </c>
      <c r="F1651" t="s">
        <v>15</v>
      </c>
      <c r="G1651" t="s">
        <v>41</v>
      </c>
      <c r="H1651" t="s">
        <v>42</v>
      </c>
      <c r="I1651" s="2">
        <v>1074.82</v>
      </c>
      <c r="J1651" s="3">
        <v>2</v>
      </c>
      <c r="K1651" s="2">
        <v>213.56</v>
      </c>
    </row>
    <row r="1652" spans="1:11" x14ac:dyDescent="0.25">
      <c r="A1652" s="4">
        <v>42626</v>
      </c>
      <c r="B1652" s="3">
        <f>YEAR(SalesData[[#This Row],[Order Date]])</f>
        <v>2016</v>
      </c>
      <c r="C1652" s="3">
        <f>MONTH(SalesData[[#This Row],[Order Date]])</f>
        <v>9</v>
      </c>
      <c r="D1652" t="s">
        <v>14</v>
      </c>
      <c r="E1652" t="s">
        <v>37</v>
      </c>
      <c r="F1652" t="s">
        <v>15</v>
      </c>
      <c r="G1652" t="s">
        <v>38</v>
      </c>
      <c r="H1652" t="s">
        <v>39</v>
      </c>
      <c r="I1652" s="2">
        <v>3929.61</v>
      </c>
      <c r="J1652" s="3">
        <v>6</v>
      </c>
      <c r="K1652" s="2">
        <v>549.66</v>
      </c>
    </row>
    <row r="1653" spans="1:11" x14ac:dyDescent="0.25">
      <c r="A1653" s="4">
        <v>42626</v>
      </c>
      <c r="B1653" s="3">
        <f>YEAR(SalesData[[#This Row],[Order Date]])</f>
        <v>2016</v>
      </c>
      <c r="C1653" s="3">
        <f>MONTH(SalesData[[#This Row],[Order Date]])</f>
        <v>9</v>
      </c>
      <c r="D1653" t="s">
        <v>47</v>
      </c>
      <c r="E1653" t="s">
        <v>19</v>
      </c>
      <c r="F1653" t="s">
        <v>15</v>
      </c>
      <c r="G1653" t="s">
        <v>63</v>
      </c>
      <c r="H1653" t="s">
        <v>66</v>
      </c>
      <c r="I1653" s="2">
        <v>1558.08</v>
      </c>
      <c r="J1653" s="3">
        <v>6</v>
      </c>
      <c r="K1653" s="2">
        <v>419.17</v>
      </c>
    </row>
    <row r="1654" spans="1:11" x14ac:dyDescent="0.25">
      <c r="A1654" s="4">
        <v>42627</v>
      </c>
      <c r="B1654" s="3">
        <f>YEAR(SalesData[[#This Row],[Order Date]])</f>
        <v>2016</v>
      </c>
      <c r="C1654" s="3">
        <f>MONTH(SalesData[[#This Row],[Order Date]])</f>
        <v>9</v>
      </c>
      <c r="D1654" t="s">
        <v>50</v>
      </c>
      <c r="E1654" t="s">
        <v>10</v>
      </c>
      <c r="F1654" t="s">
        <v>15</v>
      </c>
      <c r="G1654" t="s">
        <v>45</v>
      </c>
      <c r="H1654" t="s">
        <v>46</v>
      </c>
      <c r="I1654" s="2">
        <v>3162.52</v>
      </c>
      <c r="J1654" s="3">
        <v>2</v>
      </c>
      <c r="K1654" s="2">
        <v>932.14</v>
      </c>
    </row>
    <row r="1655" spans="1:11" x14ac:dyDescent="0.25">
      <c r="A1655" s="4">
        <v>42627</v>
      </c>
      <c r="B1655" s="3">
        <f>YEAR(SalesData[[#This Row],[Order Date]])</f>
        <v>2016</v>
      </c>
      <c r="C1655" s="3">
        <f>MONTH(SalesData[[#This Row],[Order Date]])</f>
        <v>9</v>
      </c>
      <c r="D1655" t="s">
        <v>55</v>
      </c>
      <c r="E1655" t="s">
        <v>34</v>
      </c>
      <c r="F1655" t="s">
        <v>11</v>
      </c>
      <c r="G1655" t="s">
        <v>24</v>
      </c>
      <c r="H1655" t="s">
        <v>54</v>
      </c>
      <c r="I1655" s="2">
        <v>2430.2399999999998</v>
      </c>
      <c r="J1655" s="3">
        <v>7</v>
      </c>
      <c r="K1655" s="2">
        <v>35.770000000000003</v>
      </c>
    </row>
    <row r="1656" spans="1:11" x14ac:dyDescent="0.25">
      <c r="A1656" s="4">
        <v>42627</v>
      </c>
      <c r="B1656" s="3">
        <f>YEAR(SalesData[[#This Row],[Order Date]])</f>
        <v>2016</v>
      </c>
      <c r="C1656" s="3">
        <f>MONTH(SalesData[[#This Row],[Order Date]])</f>
        <v>9</v>
      </c>
      <c r="D1656" t="s">
        <v>23</v>
      </c>
      <c r="E1656" t="s">
        <v>44</v>
      </c>
      <c r="F1656" t="s">
        <v>15</v>
      </c>
      <c r="G1656" t="s">
        <v>41</v>
      </c>
      <c r="H1656" t="s">
        <v>42</v>
      </c>
      <c r="I1656" s="2">
        <v>4759.99</v>
      </c>
      <c r="J1656" s="3">
        <v>9</v>
      </c>
      <c r="K1656" s="2">
        <v>1134.18</v>
      </c>
    </row>
    <row r="1657" spans="1:11" x14ac:dyDescent="0.25">
      <c r="A1657" s="4">
        <v>42627</v>
      </c>
      <c r="B1657" s="3">
        <f>YEAR(SalesData[[#This Row],[Order Date]])</f>
        <v>2016</v>
      </c>
      <c r="C1657" s="3">
        <f>MONTH(SalesData[[#This Row],[Order Date]])</f>
        <v>9</v>
      </c>
      <c r="D1657" t="s">
        <v>20</v>
      </c>
      <c r="E1657" t="s">
        <v>34</v>
      </c>
      <c r="F1657" t="s">
        <v>11</v>
      </c>
      <c r="G1657" t="s">
        <v>12</v>
      </c>
      <c r="H1657" t="s">
        <v>13</v>
      </c>
      <c r="I1657" s="2">
        <v>562.03</v>
      </c>
      <c r="J1657" s="3">
        <v>6</v>
      </c>
      <c r="K1657" s="2">
        <v>96.02</v>
      </c>
    </row>
    <row r="1658" spans="1:11" x14ac:dyDescent="0.25">
      <c r="A1658" s="4">
        <v>42627</v>
      </c>
      <c r="B1658" s="3">
        <f>YEAR(SalesData[[#This Row],[Order Date]])</f>
        <v>2016</v>
      </c>
      <c r="C1658" s="3">
        <f>MONTH(SalesData[[#This Row],[Order Date]])</f>
        <v>9</v>
      </c>
      <c r="D1658" t="s">
        <v>50</v>
      </c>
      <c r="E1658" t="s">
        <v>44</v>
      </c>
      <c r="F1658" t="s">
        <v>27</v>
      </c>
      <c r="G1658" t="s">
        <v>28</v>
      </c>
      <c r="H1658" t="s">
        <v>58</v>
      </c>
      <c r="I1658" s="2">
        <v>3536.81</v>
      </c>
      <c r="J1658" s="3">
        <v>7</v>
      </c>
      <c r="K1658" s="2">
        <v>1028.76</v>
      </c>
    </row>
    <row r="1659" spans="1:11" x14ac:dyDescent="0.25">
      <c r="A1659" s="4">
        <v>42628</v>
      </c>
      <c r="B1659" s="3">
        <f>YEAR(SalesData[[#This Row],[Order Date]])</f>
        <v>2016</v>
      </c>
      <c r="C1659" s="3">
        <f>MONTH(SalesData[[#This Row],[Order Date]])</f>
        <v>9</v>
      </c>
      <c r="D1659" t="s">
        <v>30</v>
      </c>
      <c r="E1659" t="s">
        <v>19</v>
      </c>
      <c r="F1659" t="s">
        <v>27</v>
      </c>
      <c r="G1659" t="s">
        <v>32</v>
      </c>
      <c r="H1659" t="s">
        <v>53</v>
      </c>
      <c r="I1659" s="2">
        <v>508.49</v>
      </c>
      <c r="J1659" s="3">
        <v>9</v>
      </c>
      <c r="K1659" s="2">
        <v>1</v>
      </c>
    </row>
    <row r="1660" spans="1:11" x14ac:dyDescent="0.25">
      <c r="A1660" s="4">
        <v>42629</v>
      </c>
      <c r="B1660" s="3">
        <f>YEAR(SalesData[[#This Row],[Order Date]])</f>
        <v>2016</v>
      </c>
      <c r="C1660" s="3">
        <f>MONTH(SalesData[[#This Row],[Order Date]])</f>
        <v>9</v>
      </c>
      <c r="D1660" t="s">
        <v>68</v>
      </c>
      <c r="E1660" t="s">
        <v>10</v>
      </c>
      <c r="F1660" t="s">
        <v>27</v>
      </c>
      <c r="G1660" t="s">
        <v>48</v>
      </c>
      <c r="H1660" t="s">
        <v>57</v>
      </c>
      <c r="I1660" s="2">
        <v>1307.31</v>
      </c>
      <c r="J1660" s="3">
        <v>10</v>
      </c>
      <c r="K1660" s="2">
        <v>353.24</v>
      </c>
    </row>
    <row r="1661" spans="1:11" x14ac:dyDescent="0.25">
      <c r="A1661" s="4">
        <v>42629</v>
      </c>
      <c r="B1661" s="3">
        <f>YEAR(SalesData[[#This Row],[Order Date]])</f>
        <v>2016</v>
      </c>
      <c r="C1661" s="3">
        <f>MONTH(SalesData[[#This Row],[Order Date]])</f>
        <v>9</v>
      </c>
      <c r="D1661" t="s">
        <v>62</v>
      </c>
      <c r="E1661" t="s">
        <v>26</v>
      </c>
      <c r="F1661" t="s">
        <v>11</v>
      </c>
      <c r="G1661" t="s">
        <v>21</v>
      </c>
      <c r="H1661" t="s">
        <v>22</v>
      </c>
      <c r="I1661" s="2">
        <v>3442.81</v>
      </c>
      <c r="J1661" s="3">
        <v>9</v>
      </c>
      <c r="K1661" s="2">
        <v>809.4</v>
      </c>
    </row>
    <row r="1662" spans="1:11" x14ac:dyDescent="0.25">
      <c r="A1662" s="4">
        <v>42629</v>
      </c>
      <c r="B1662" s="3">
        <f>YEAR(SalesData[[#This Row],[Order Date]])</f>
        <v>2016</v>
      </c>
      <c r="C1662" s="3">
        <f>MONTH(SalesData[[#This Row],[Order Date]])</f>
        <v>9</v>
      </c>
      <c r="D1662" t="s">
        <v>68</v>
      </c>
      <c r="E1662" t="s">
        <v>37</v>
      </c>
      <c r="F1662" t="s">
        <v>27</v>
      </c>
      <c r="G1662" t="s">
        <v>48</v>
      </c>
      <c r="H1662" t="s">
        <v>57</v>
      </c>
      <c r="I1662" s="2">
        <v>3285.35</v>
      </c>
      <c r="J1662" s="3">
        <v>5</v>
      </c>
      <c r="K1662" s="2">
        <v>416.97</v>
      </c>
    </row>
    <row r="1663" spans="1:11" x14ac:dyDescent="0.25">
      <c r="A1663" s="4">
        <v>42632</v>
      </c>
      <c r="B1663" s="3">
        <f>YEAR(SalesData[[#This Row],[Order Date]])</f>
        <v>2016</v>
      </c>
      <c r="C1663" s="3">
        <f>MONTH(SalesData[[#This Row],[Order Date]])</f>
        <v>9</v>
      </c>
      <c r="D1663" t="s">
        <v>68</v>
      </c>
      <c r="E1663" t="s">
        <v>40</v>
      </c>
      <c r="F1663" t="s">
        <v>27</v>
      </c>
      <c r="G1663" t="s">
        <v>48</v>
      </c>
      <c r="H1663" t="s">
        <v>49</v>
      </c>
      <c r="I1663" s="2">
        <v>4407.79</v>
      </c>
      <c r="J1663" s="3">
        <v>3</v>
      </c>
      <c r="K1663" s="2">
        <v>900.58</v>
      </c>
    </row>
    <row r="1664" spans="1:11" x14ac:dyDescent="0.25">
      <c r="A1664" s="4">
        <v>42632</v>
      </c>
      <c r="B1664" s="3">
        <f>YEAR(SalesData[[#This Row],[Order Date]])</f>
        <v>2016</v>
      </c>
      <c r="C1664" s="3">
        <f>MONTH(SalesData[[#This Row],[Order Date]])</f>
        <v>9</v>
      </c>
      <c r="D1664" t="s">
        <v>18</v>
      </c>
      <c r="E1664" t="s">
        <v>31</v>
      </c>
      <c r="F1664" t="s">
        <v>11</v>
      </c>
      <c r="G1664" t="s">
        <v>21</v>
      </c>
      <c r="H1664" t="s">
        <v>67</v>
      </c>
      <c r="I1664" s="2">
        <v>4027.06</v>
      </c>
      <c r="J1664" s="3">
        <v>9</v>
      </c>
      <c r="K1664" s="2">
        <v>939.52</v>
      </c>
    </row>
    <row r="1665" spans="1:11" x14ac:dyDescent="0.25">
      <c r="A1665" s="4">
        <v>42633</v>
      </c>
      <c r="B1665" s="3">
        <f>YEAR(SalesData[[#This Row],[Order Date]])</f>
        <v>2016</v>
      </c>
      <c r="C1665" s="3">
        <f>MONTH(SalesData[[#This Row],[Order Date]])</f>
        <v>9</v>
      </c>
      <c r="D1665" t="s">
        <v>30</v>
      </c>
      <c r="E1665" t="s">
        <v>52</v>
      </c>
      <c r="F1665" t="s">
        <v>11</v>
      </c>
      <c r="G1665" t="s">
        <v>24</v>
      </c>
      <c r="H1665" t="s">
        <v>54</v>
      </c>
      <c r="I1665" s="2">
        <v>1318.55</v>
      </c>
      <c r="J1665" s="3">
        <v>7</v>
      </c>
      <c r="K1665" s="2">
        <v>159.12</v>
      </c>
    </row>
    <row r="1666" spans="1:11" x14ac:dyDescent="0.25">
      <c r="A1666" s="4">
        <v>42633</v>
      </c>
      <c r="B1666" s="3">
        <f>YEAR(SalesData[[#This Row],[Order Date]])</f>
        <v>2016</v>
      </c>
      <c r="C1666" s="3">
        <f>MONTH(SalesData[[#This Row],[Order Date]])</f>
        <v>9</v>
      </c>
      <c r="D1666" t="s">
        <v>14</v>
      </c>
      <c r="E1666" t="s">
        <v>52</v>
      </c>
      <c r="F1666" t="s">
        <v>27</v>
      </c>
      <c r="G1666" t="s">
        <v>32</v>
      </c>
      <c r="H1666" t="s">
        <v>33</v>
      </c>
      <c r="I1666" s="2">
        <v>1285.18</v>
      </c>
      <c r="J1666" s="3">
        <v>5</v>
      </c>
      <c r="K1666" s="2">
        <v>11.5</v>
      </c>
    </row>
    <row r="1667" spans="1:11" x14ac:dyDescent="0.25">
      <c r="A1667" s="4">
        <v>42633</v>
      </c>
      <c r="B1667" s="3">
        <f>YEAR(SalesData[[#This Row],[Order Date]])</f>
        <v>2016</v>
      </c>
      <c r="C1667" s="3">
        <f>MONTH(SalesData[[#This Row],[Order Date]])</f>
        <v>9</v>
      </c>
      <c r="D1667" t="s">
        <v>50</v>
      </c>
      <c r="E1667" t="s">
        <v>31</v>
      </c>
      <c r="F1667" t="s">
        <v>15</v>
      </c>
      <c r="G1667" t="s">
        <v>41</v>
      </c>
      <c r="H1667" t="s">
        <v>42</v>
      </c>
      <c r="I1667" s="2">
        <v>4835.1000000000004</v>
      </c>
      <c r="J1667" s="3">
        <v>8</v>
      </c>
      <c r="K1667" s="2">
        <v>556.42999999999995</v>
      </c>
    </row>
    <row r="1668" spans="1:11" x14ac:dyDescent="0.25">
      <c r="A1668" s="4">
        <v>42634</v>
      </c>
      <c r="B1668" s="3">
        <f>YEAR(SalesData[[#This Row],[Order Date]])</f>
        <v>2016</v>
      </c>
      <c r="C1668" s="3">
        <f>MONTH(SalesData[[#This Row],[Order Date]])</f>
        <v>9</v>
      </c>
      <c r="D1668" t="s">
        <v>50</v>
      </c>
      <c r="E1668" t="s">
        <v>34</v>
      </c>
      <c r="F1668" t="s">
        <v>15</v>
      </c>
      <c r="G1668" t="s">
        <v>16</v>
      </c>
      <c r="H1668" t="s">
        <v>17</v>
      </c>
      <c r="I1668" s="2">
        <v>3823.3</v>
      </c>
      <c r="J1668" s="3">
        <v>6</v>
      </c>
      <c r="K1668" s="2">
        <v>877.23</v>
      </c>
    </row>
    <row r="1669" spans="1:11" x14ac:dyDescent="0.25">
      <c r="A1669" s="4">
        <v>42636</v>
      </c>
      <c r="B1669" s="3">
        <f>YEAR(SalesData[[#This Row],[Order Date]])</f>
        <v>2016</v>
      </c>
      <c r="C1669" s="3">
        <f>MONTH(SalesData[[#This Row],[Order Date]])</f>
        <v>9</v>
      </c>
      <c r="D1669" t="s">
        <v>20</v>
      </c>
      <c r="E1669" t="s">
        <v>44</v>
      </c>
      <c r="F1669" t="s">
        <v>27</v>
      </c>
      <c r="G1669" t="s">
        <v>48</v>
      </c>
      <c r="H1669" t="s">
        <v>57</v>
      </c>
      <c r="I1669" s="2">
        <v>1896.04</v>
      </c>
      <c r="J1669" s="3">
        <v>2</v>
      </c>
      <c r="K1669" s="2">
        <v>253.73</v>
      </c>
    </row>
    <row r="1670" spans="1:11" x14ac:dyDescent="0.25">
      <c r="A1670" s="4">
        <v>42636</v>
      </c>
      <c r="B1670" s="3">
        <f>YEAR(SalesData[[#This Row],[Order Date]])</f>
        <v>2016</v>
      </c>
      <c r="C1670" s="3">
        <f>MONTH(SalesData[[#This Row],[Order Date]])</f>
        <v>9</v>
      </c>
      <c r="D1670" t="s">
        <v>50</v>
      </c>
      <c r="E1670" t="s">
        <v>37</v>
      </c>
      <c r="F1670" t="s">
        <v>15</v>
      </c>
      <c r="G1670" t="s">
        <v>38</v>
      </c>
      <c r="H1670" t="s">
        <v>39</v>
      </c>
      <c r="I1670" s="2">
        <v>2315.9899999999998</v>
      </c>
      <c r="J1670" s="3">
        <v>3</v>
      </c>
      <c r="K1670" s="2">
        <v>216.84</v>
      </c>
    </row>
    <row r="1671" spans="1:11" x14ac:dyDescent="0.25">
      <c r="A1671" s="4">
        <v>42636</v>
      </c>
      <c r="B1671" s="3">
        <f>YEAR(SalesData[[#This Row],[Order Date]])</f>
        <v>2016</v>
      </c>
      <c r="C1671" s="3">
        <f>MONTH(SalesData[[#This Row],[Order Date]])</f>
        <v>9</v>
      </c>
      <c r="D1671" t="s">
        <v>14</v>
      </c>
      <c r="E1671" t="s">
        <v>26</v>
      </c>
      <c r="F1671" t="s">
        <v>11</v>
      </c>
      <c r="G1671" t="s">
        <v>35</v>
      </c>
      <c r="H1671" t="s">
        <v>70</v>
      </c>
      <c r="I1671" s="2">
        <v>1706.01</v>
      </c>
      <c r="J1671" s="3">
        <v>8</v>
      </c>
      <c r="K1671" s="2">
        <v>500.08</v>
      </c>
    </row>
    <row r="1672" spans="1:11" x14ac:dyDescent="0.25">
      <c r="A1672" s="4">
        <v>42637</v>
      </c>
      <c r="B1672" s="3">
        <f>YEAR(SalesData[[#This Row],[Order Date]])</f>
        <v>2016</v>
      </c>
      <c r="C1672" s="3">
        <f>MONTH(SalesData[[#This Row],[Order Date]])</f>
        <v>9</v>
      </c>
      <c r="D1672" t="s">
        <v>50</v>
      </c>
      <c r="E1672" t="s">
        <v>31</v>
      </c>
      <c r="F1672" t="s">
        <v>11</v>
      </c>
      <c r="G1672" t="s">
        <v>12</v>
      </c>
      <c r="H1672" t="s">
        <v>13</v>
      </c>
      <c r="I1672" s="2">
        <v>1101.32</v>
      </c>
      <c r="J1672" s="3">
        <v>6</v>
      </c>
      <c r="K1672" s="2">
        <v>306.43</v>
      </c>
    </row>
    <row r="1673" spans="1:11" x14ac:dyDescent="0.25">
      <c r="A1673" s="4">
        <v>42638</v>
      </c>
      <c r="B1673" s="3">
        <f>YEAR(SalesData[[#This Row],[Order Date]])</f>
        <v>2016</v>
      </c>
      <c r="C1673" s="3">
        <f>MONTH(SalesData[[#This Row],[Order Date]])</f>
        <v>9</v>
      </c>
      <c r="D1673" t="s">
        <v>9</v>
      </c>
      <c r="E1673" t="s">
        <v>60</v>
      </c>
      <c r="F1673" t="s">
        <v>11</v>
      </c>
      <c r="G1673" t="s">
        <v>21</v>
      </c>
      <c r="H1673" t="s">
        <v>22</v>
      </c>
      <c r="I1673" s="2">
        <v>1485.71</v>
      </c>
      <c r="J1673" s="3">
        <v>4</v>
      </c>
      <c r="K1673" s="2">
        <v>216.64</v>
      </c>
    </row>
    <row r="1674" spans="1:11" x14ac:dyDescent="0.25">
      <c r="A1674" s="4">
        <v>42641</v>
      </c>
      <c r="B1674" s="3">
        <f>YEAR(SalesData[[#This Row],[Order Date]])</f>
        <v>2016</v>
      </c>
      <c r="C1674" s="3">
        <f>MONTH(SalesData[[#This Row],[Order Date]])</f>
        <v>9</v>
      </c>
      <c r="D1674" t="s">
        <v>30</v>
      </c>
      <c r="E1674" t="s">
        <v>52</v>
      </c>
      <c r="F1674" t="s">
        <v>27</v>
      </c>
      <c r="G1674" t="s">
        <v>48</v>
      </c>
      <c r="H1674" t="s">
        <v>49</v>
      </c>
      <c r="I1674" s="2">
        <v>4913.41</v>
      </c>
      <c r="J1674" s="3">
        <v>3</v>
      </c>
      <c r="K1674" s="2">
        <v>1231.18</v>
      </c>
    </row>
    <row r="1675" spans="1:11" x14ac:dyDescent="0.25">
      <c r="A1675" s="4">
        <v>42641</v>
      </c>
      <c r="B1675" s="3">
        <f>YEAR(SalesData[[#This Row],[Order Date]])</f>
        <v>2016</v>
      </c>
      <c r="C1675" s="3">
        <f>MONTH(SalesData[[#This Row],[Order Date]])</f>
        <v>9</v>
      </c>
      <c r="D1675" t="s">
        <v>14</v>
      </c>
      <c r="E1675" t="s">
        <v>52</v>
      </c>
      <c r="F1675" t="s">
        <v>11</v>
      </c>
      <c r="G1675" t="s">
        <v>21</v>
      </c>
      <c r="H1675" t="s">
        <v>22</v>
      </c>
      <c r="I1675" s="2">
        <v>1105.17</v>
      </c>
      <c r="J1675" s="3">
        <v>3</v>
      </c>
      <c r="K1675" s="2">
        <v>57.09</v>
      </c>
    </row>
    <row r="1676" spans="1:11" x14ac:dyDescent="0.25">
      <c r="A1676" s="4">
        <v>42641</v>
      </c>
      <c r="B1676" s="3">
        <f>YEAR(SalesData[[#This Row],[Order Date]])</f>
        <v>2016</v>
      </c>
      <c r="C1676" s="3">
        <f>MONTH(SalesData[[#This Row],[Order Date]])</f>
        <v>9</v>
      </c>
      <c r="D1676" t="s">
        <v>68</v>
      </c>
      <c r="E1676" t="s">
        <v>44</v>
      </c>
      <c r="F1676" t="s">
        <v>27</v>
      </c>
      <c r="G1676" t="s">
        <v>28</v>
      </c>
      <c r="H1676" t="s">
        <v>69</v>
      </c>
      <c r="I1676" s="2">
        <v>2916.91</v>
      </c>
      <c r="J1676" s="3">
        <v>8</v>
      </c>
      <c r="K1676" s="2">
        <v>794.89</v>
      </c>
    </row>
    <row r="1677" spans="1:11" x14ac:dyDescent="0.25">
      <c r="A1677" s="4">
        <v>42643</v>
      </c>
      <c r="B1677" s="3">
        <f>YEAR(SalesData[[#This Row],[Order Date]])</f>
        <v>2016</v>
      </c>
      <c r="C1677" s="3">
        <f>MONTH(SalesData[[#This Row],[Order Date]])</f>
        <v>9</v>
      </c>
      <c r="D1677" t="s">
        <v>50</v>
      </c>
      <c r="E1677" t="s">
        <v>52</v>
      </c>
      <c r="F1677" t="s">
        <v>27</v>
      </c>
      <c r="G1677" t="s">
        <v>48</v>
      </c>
      <c r="H1677" t="s">
        <v>57</v>
      </c>
      <c r="I1677" s="2">
        <v>2579.73</v>
      </c>
      <c r="J1677" s="3">
        <v>1</v>
      </c>
      <c r="K1677" s="2">
        <v>145.72</v>
      </c>
    </row>
    <row r="1678" spans="1:11" x14ac:dyDescent="0.25">
      <c r="A1678" s="4">
        <v>42643</v>
      </c>
      <c r="B1678" s="3">
        <f>YEAR(SalesData[[#This Row],[Order Date]])</f>
        <v>2016</v>
      </c>
      <c r="C1678" s="3">
        <f>MONTH(SalesData[[#This Row],[Order Date]])</f>
        <v>9</v>
      </c>
      <c r="D1678" t="s">
        <v>9</v>
      </c>
      <c r="E1678" t="s">
        <v>31</v>
      </c>
      <c r="F1678" t="s">
        <v>15</v>
      </c>
      <c r="G1678" t="s">
        <v>16</v>
      </c>
      <c r="H1678" t="s">
        <v>17</v>
      </c>
      <c r="I1678" s="2">
        <v>3272.94</v>
      </c>
      <c r="J1678" s="3">
        <v>1</v>
      </c>
      <c r="K1678" s="2">
        <v>75.25</v>
      </c>
    </row>
    <row r="1679" spans="1:11" x14ac:dyDescent="0.25">
      <c r="A1679" s="4">
        <v>42644</v>
      </c>
      <c r="B1679" s="3">
        <f>YEAR(SalesData[[#This Row],[Order Date]])</f>
        <v>2016</v>
      </c>
      <c r="C1679" s="3">
        <f>MONTH(SalesData[[#This Row],[Order Date]])</f>
        <v>10</v>
      </c>
      <c r="D1679" t="s">
        <v>23</v>
      </c>
      <c r="E1679" t="s">
        <v>44</v>
      </c>
      <c r="F1679" t="s">
        <v>11</v>
      </c>
      <c r="G1679" t="s">
        <v>35</v>
      </c>
      <c r="H1679" t="s">
        <v>36</v>
      </c>
      <c r="I1679" s="2">
        <v>2390.5500000000002</v>
      </c>
      <c r="J1679" s="3">
        <v>7</v>
      </c>
      <c r="K1679" s="2">
        <v>157.4</v>
      </c>
    </row>
    <row r="1680" spans="1:11" x14ac:dyDescent="0.25">
      <c r="A1680" s="4">
        <v>42645</v>
      </c>
      <c r="B1680" s="3">
        <f>YEAR(SalesData[[#This Row],[Order Date]])</f>
        <v>2016</v>
      </c>
      <c r="C1680" s="3">
        <f>MONTH(SalesData[[#This Row],[Order Date]])</f>
        <v>10</v>
      </c>
      <c r="D1680" t="s">
        <v>68</v>
      </c>
      <c r="E1680" t="s">
        <v>60</v>
      </c>
      <c r="F1680" t="s">
        <v>11</v>
      </c>
      <c r="G1680" t="s">
        <v>35</v>
      </c>
      <c r="H1680" t="s">
        <v>71</v>
      </c>
      <c r="I1680" s="2">
        <v>162.65</v>
      </c>
      <c r="J1680" s="3">
        <v>6</v>
      </c>
      <c r="K1680" s="2">
        <v>14.25</v>
      </c>
    </row>
    <row r="1681" spans="1:11" x14ac:dyDescent="0.25">
      <c r="A1681" s="4">
        <v>42647</v>
      </c>
      <c r="B1681" s="3">
        <f>YEAR(SalesData[[#This Row],[Order Date]])</f>
        <v>2016</v>
      </c>
      <c r="C1681" s="3">
        <f>MONTH(SalesData[[#This Row],[Order Date]])</f>
        <v>10</v>
      </c>
      <c r="D1681" t="s">
        <v>20</v>
      </c>
      <c r="E1681" t="s">
        <v>52</v>
      </c>
      <c r="F1681" t="s">
        <v>15</v>
      </c>
      <c r="G1681" t="s">
        <v>38</v>
      </c>
      <c r="H1681" t="s">
        <v>39</v>
      </c>
      <c r="I1681" s="2">
        <v>3144.99</v>
      </c>
      <c r="J1681" s="3">
        <v>7</v>
      </c>
      <c r="K1681" s="2">
        <v>499.68</v>
      </c>
    </row>
    <row r="1682" spans="1:11" x14ac:dyDescent="0.25">
      <c r="A1682" s="4">
        <v>42647</v>
      </c>
      <c r="B1682" s="3">
        <f>YEAR(SalesData[[#This Row],[Order Date]])</f>
        <v>2016</v>
      </c>
      <c r="C1682" s="3">
        <f>MONTH(SalesData[[#This Row],[Order Date]])</f>
        <v>10</v>
      </c>
      <c r="D1682" t="s">
        <v>55</v>
      </c>
      <c r="E1682" t="s">
        <v>52</v>
      </c>
      <c r="F1682" t="s">
        <v>15</v>
      </c>
      <c r="G1682" t="s">
        <v>45</v>
      </c>
      <c r="H1682" t="s">
        <v>46</v>
      </c>
      <c r="I1682" s="2">
        <v>504.08</v>
      </c>
      <c r="J1682" s="3">
        <v>1</v>
      </c>
      <c r="K1682" s="2">
        <v>50.2</v>
      </c>
    </row>
    <row r="1683" spans="1:11" x14ac:dyDescent="0.25">
      <c r="A1683" s="4">
        <v>42648</v>
      </c>
      <c r="B1683" s="3">
        <f>YEAR(SalesData[[#This Row],[Order Date]])</f>
        <v>2016</v>
      </c>
      <c r="C1683" s="3">
        <f>MONTH(SalesData[[#This Row],[Order Date]])</f>
        <v>10</v>
      </c>
      <c r="D1683" t="s">
        <v>43</v>
      </c>
      <c r="E1683" t="s">
        <v>37</v>
      </c>
      <c r="F1683" t="s">
        <v>15</v>
      </c>
      <c r="G1683" t="s">
        <v>63</v>
      </c>
      <c r="H1683" t="s">
        <v>66</v>
      </c>
      <c r="I1683" s="2">
        <v>3585.61</v>
      </c>
      <c r="J1683" s="3">
        <v>7</v>
      </c>
      <c r="K1683" s="2">
        <v>485.62</v>
      </c>
    </row>
    <row r="1684" spans="1:11" x14ac:dyDescent="0.25">
      <c r="A1684" s="4">
        <v>42648</v>
      </c>
      <c r="B1684" s="3">
        <f>YEAR(SalesData[[#This Row],[Order Date]])</f>
        <v>2016</v>
      </c>
      <c r="C1684" s="3">
        <f>MONTH(SalesData[[#This Row],[Order Date]])</f>
        <v>10</v>
      </c>
      <c r="D1684" t="s">
        <v>47</v>
      </c>
      <c r="E1684" t="s">
        <v>60</v>
      </c>
      <c r="F1684" t="s">
        <v>27</v>
      </c>
      <c r="G1684" t="s">
        <v>48</v>
      </c>
      <c r="H1684" t="s">
        <v>49</v>
      </c>
      <c r="I1684" s="2">
        <v>888.38</v>
      </c>
      <c r="J1684" s="3">
        <v>6</v>
      </c>
      <c r="K1684" s="2">
        <v>3.02</v>
      </c>
    </row>
    <row r="1685" spans="1:11" x14ac:dyDescent="0.25">
      <c r="A1685" s="4">
        <v>42649</v>
      </c>
      <c r="B1685" s="3">
        <f>YEAR(SalesData[[#This Row],[Order Date]])</f>
        <v>2016</v>
      </c>
      <c r="C1685" s="3">
        <f>MONTH(SalesData[[#This Row],[Order Date]])</f>
        <v>10</v>
      </c>
      <c r="D1685" t="s">
        <v>20</v>
      </c>
      <c r="E1685" t="s">
        <v>44</v>
      </c>
      <c r="F1685" t="s">
        <v>15</v>
      </c>
      <c r="G1685" t="s">
        <v>63</v>
      </c>
      <c r="H1685" t="s">
        <v>64</v>
      </c>
      <c r="I1685" s="2">
        <v>214.89</v>
      </c>
      <c r="J1685" s="3">
        <v>3</v>
      </c>
      <c r="K1685" s="2">
        <v>11</v>
      </c>
    </row>
    <row r="1686" spans="1:11" x14ac:dyDescent="0.25">
      <c r="A1686" s="4">
        <v>42652</v>
      </c>
      <c r="B1686" s="3">
        <f>YEAR(SalesData[[#This Row],[Order Date]])</f>
        <v>2016</v>
      </c>
      <c r="C1686" s="3">
        <f>MONTH(SalesData[[#This Row],[Order Date]])</f>
        <v>10</v>
      </c>
      <c r="D1686" t="s">
        <v>20</v>
      </c>
      <c r="E1686" t="s">
        <v>26</v>
      </c>
      <c r="F1686" t="s">
        <v>11</v>
      </c>
      <c r="G1686" t="s">
        <v>12</v>
      </c>
      <c r="H1686" t="s">
        <v>65</v>
      </c>
      <c r="I1686" s="2">
        <v>1025.55</v>
      </c>
      <c r="J1686" s="3">
        <v>9</v>
      </c>
      <c r="K1686" s="2">
        <v>246.52</v>
      </c>
    </row>
    <row r="1687" spans="1:11" x14ac:dyDescent="0.25">
      <c r="A1687" s="4">
        <v>42653</v>
      </c>
      <c r="B1687" s="3">
        <f>YEAR(SalesData[[#This Row],[Order Date]])</f>
        <v>2016</v>
      </c>
      <c r="C1687" s="3">
        <f>MONTH(SalesData[[#This Row],[Order Date]])</f>
        <v>10</v>
      </c>
      <c r="D1687" t="s">
        <v>62</v>
      </c>
      <c r="E1687" t="s">
        <v>10</v>
      </c>
      <c r="F1687" t="s">
        <v>15</v>
      </c>
      <c r="G1687" t="s">
        <v>63</v>
      </c>
      <c r="H1687" t="s">
        <v>64</v>
      </c>
      <c r="I1687" s="2">
        <v>578.15</v>
      </c>
      <c r="J1687" s="3">
        <v>6</v>
      </c>
      <c r="K1687" s="2">
        <v>38.43</v>
      </c>
    </row>
    <row r="1688" spans="1:11" x14ac:dyDescent="0.25">
      <c r="A1688" s="4">
        <v>42654</v>
      </c>
      <c r="B1688" s="3">
        <f>YEAR(SalesData[[#This Row],[Order Date]])</f>
        <v>2016</v>
      </c>
      <c r="C1688" s="3">
        <f>MONTH(SalesData[[#This Row],[Order Date]])</f>
        <v>10</v>
      </c>
      <c r="D1688" t="s">
        <v>30</v>
      </c>
      <c r="E1688" t="s">
        <v>37</v>
      </c>
      <c r="F1688" t="s">
        <v>27</v>
      </c>
      <c r="G1688" t="s">
        <v>48</v>
      </c>
      <c r="H1688" t="s">
        <v>49</v>
      </c>
      <c r="I1688" s="2">
        <v>2349.69</v>
      </c>
      <c r="J1688" s="3">
        <v>9</v>
      </c>
      <c r="K1688" s="2">
        <v>89.49</v>
      </c>
    </row>
    <row r="1689" spans="1:11" x14ac:dyDescent="0.25">
      <c r="A1689" s="4">
        <v>42654</v>
      </c>
      <c r="B1689" s="3">
        <f>YEAR(SalesData[[#This Row],[Order Date]])</f>
        <v>2016</v>
      </c>
      <c r="C1689" s="3">
        <f>MONTH(SalesData[[#This Row],[Order Date]])</f>
        <v>10</v>
      </c>
      <c r="D1689" t="s">
        <v>50</v>
      </c>
      <c r="E1689" t="s">
        <v>44</v>
      </c>
      <c r="F1689" t="s">
        <v>11</v>
      </c>
      <c r="G1689" t="s">
        <v>24</v>
      </c>
      <c r="H1689" t="s">
        <v>54</v>
      </c>
      <c r="I1689" s="2">
        <v>4663.2299999999996</v>
      </c>
      <c r="J1689" s="3">
        <v>8</v>
      </c>
      <c r="K1689" s="2">
        <v>1255.73</v>
      </c>
    </row>
    <row r="1690" spans="1:11" x14ac:dyDescent="0.25">
      <c r="A1690" s="4">
        <v>42655</v>
      </c>
      <c r="B1690" s="3">
        <f>YEAR(SalesData[[#This Row],[Order Date]])</f>
        <v>2016</v>
      </c>
      <c r="C1690" s="3">
        <f>MONTH(SalesData[[#This Row],[Order Date]])</f>
        <v>10</v>
      </c>
      <c r="D1690" t="s">
        <v>9</v>
      </c>
      <c r="E1690" t="s">
        <v>31</v>
      </c>
      <c r="F1690" t="s">
        <v>27</v>
      </c>
      <c r="G1690" t="s">
        <v>32</v>
      </c>
      <c r="H1690" t="s">
        <v>33</v>
      </c>
      <c r="I1690" s="2">
        <v>4933.78</v>
      </c>
      <c r="J1690" s="3">
        <v>8</v>
      </c>
      <c r="K1690" s="2">
        <v>1349.2</v>
      </c>
    </row>
    <row r="1691" spans="1:11" x14ac:dyDescent="0.25">
      <c r="A1691" s="4">
        <v>42655</v>
      </c>
      <c r="B1691" s="3">
        <f>YEAR(SalesData[[#This Row],[Order Date]])</f>
        <v>2016</v>
      </c>
      <c r="C1691" s="3">
        <f>MONTH(SalesData[[#This Row],[Order Date]])</f>
        <v>10</v>
      </c>
      <c r="D1691" t="s">
        <v>30</v>
      </c>
      <c r="E1691" t="s">
        <v>10</v>
      </c>
      <c r="F1691" t="s">
        <v>27</v>
      </c>
      <c r="G1691" t="s">
        <v>28</v>
      </c>
      <c r="H1691" t="s">
        <v>69</v>
      </c>
      <c r="I1691" s="2">
        <v>4470.76</v>
      </c>
      <c r="J1691" s="3">
        <v>3</v>
      </c>
      <c r="K1691" s="2">
        <v>731.92</v>
      </c>
    </row>
    <row r="1692" spans="1:11" x14ac:dyDescent="0.25">
      <c r="A1692" s="4">
        <v>42657</v>
      </c>
      <c r="B1692" s="3">
        <f>YEAR(SalesData[[#This Row],[Order Date]])</f>
        <v>2016</v>
      </c>
      <c r="C1692" s="3">
        <f>MONTH(SalesData[[#This Row],[Order Date]])</f>
        <v>10</v>
      </c>
      <c r="D1692" t="s">
        <v>47</v>
      </c>
      <c r="E1692" t="s">
        <v>60</v>
      </c>
      <c r="F1692" t="s">
        <v>15</v>
      </c>
      <c r="G1692" t="s">
        <v>45</v>
      </c>
      <c r="H1692" t="s">
        <v>46</v>
      </c>
      <c r="I1692" s="2">
        <v>1933.35</v>
      </c>
      <c r="J1692" s="3">
        <v>6</v>
      </c>
      <c r="K1692" s="2">
        <v>217.21</v>
      </c>
    </row>
    <row r="1693" spans="1:11" x14ac:dyDescent="0.25">
      <c r="A1693" s="4">
        <v>42658</v>
      </c>
      <c r="B1693" s="3">
        <f>YEAR(SalesData[[#This Row],[Order Date]])</f>
        <v>2016</v>
      </c>
      <c r="C1693" s="3">
        <f>MONTH(SalesData[[#This Row],[Order Date]])</f>
        <v>10</v>
      </c>
      <c r="D1693" t="s">
        <v>47</v>
      </c>
      <c r="E1693" t="s">
        <v>19</v>
      </c>
      <c r="F1693" t="s">
        <v>11</v>
      </c>
      <c r="G1693" t="s">
        <v>35</v>
      </c>
      <c r="H1693" t="s">
        <v>36</v>
      </c>
      <c r="I1693" s="2">
        <v>4600.07</v>
      </c>
      <c r="J1693" s="3">
        <v>5</v>
      </c>
      <c r="K1693" s="2">
        <v>736.02</v>
      </c>
    </row>
    <row r="1694" spans="1:11" x14ac:dyDescent="0.25">
      <c r="A1694" s="4">
        <v>42659</v>
      </c>
      <c r="B1694" s="3">
        <f>YEAR(SalesData[[#This Row],[Order Date]])</f>
        <v>2016</v>
      </c>
      <c r="C1694" s="3">
        <f>MONTH(SalesData[[#This Row],[Order Date]])</f>
        <v>10</v>
      </c>
      <c r="D1694" t="s">
        <v>20</v>
      </c>
      <c r="E1694" t="s">
        <v>26</v>
      </c>
      <c r="F1694" t="s">
        <v>27</v>
      </c>
      <c r="G1694" t="s">
        <v>32</v>
      </c>
      <c r="H1694" t="s">
        <v>33</v>
      </c>
      <c r="I1694" s="2">
        <v>2568.75</v>
      </c>
      <c r="J1694" s="3">
        <v>3</v>
      </c>
      <c r="K1694" s="2">
        <v>258.52999999999997</v>
      </c>
    </row>
    <row r="1695" spans="1:11" x14ac:dyDescent="0.25">
      <c r="A1695" s="4">
        <v>42659</v>
      </c>
      <c r="B1695" s="3">
        <f>YEAR(SalesData[[#This Row],[Order Date]])</f>
        <v>2016</v>
      </c>
      <c r="C1695" s="3">
        <f>MONTH(SalesData[[#This Row],[Order Date]])</f>
        <v>10</v>
      </c>
      <c r="D1695" t="s">
        <v>43</v>
      </c>
      <c r="E1695" t="s">
        <v>40</v>
      </c>
      <c r="F1695" t="s">
        <v>27</v>
      </c>
      <c r="G1695" t="s">
        <v>48</v>
      </c>
      <c r="H1695" t="s">
        <v>49</v>
      </c>
      <c r="I1695" s="2">
        <v>3233.79</v>
      </c>
      <c r="J1695" s="3">
        <v>6</v>
      </c>
      <c r="K1695" s="2">
        <v>661.53</v>
      </c>
    </row>
    <row r="1696" spans="1:11" x14ac:dyDescent="0.25">
      <c r="A1696" s="4">
        <v>42659</v>
      </c>
      <c r="B1696" s="3">
        <f>YEAR(SalesData[[#This Row],[Order Date]])</f>
        <v>2016</v>
      </c>
      <c r="C1696" s="3">
        <f>MONTH(SalesData[[#This Row],[Order Date]])</f>
        <v>10</v>
      </c>
      <c r="D1696" t="s">
        <v>47</v>
      </c>
      <c r="E1696" t="s">
        <v>19</v>
      </c>
      <c r="F1696" t="s">
        <v>11</v>
      </c>
      <c r="G1696" t="s">
        <v>21</v>
      </c>
      <c r="H1696" t="s">
        <v>22</v>
      </c>
      <c r="I1696" s="2">
        <v>1654.72</v>
      </c>
      <c r="J1696" s="3">
        <v>10</v>
      </c>
      <c r="K1696" s="2">
        <v>467.66</v>
      </c>
    </row>
    <row r="1697" spans="1:11" x14ac:dyDescent="0.25">
      <c r="A1697" s="4">
        <v>42660</v>
      </c>
      <c r="B1697" s="3">
        <f>YEAR(SalesData[[#This Row],[Order Date]])</f>
        <v>2016</v>
      </c>
      <c r="C1697" s="3">
        <f>MONTH(SalesData[[#This Row],[Order Date]])</f>
        <v>10</v>
      </c>
      <c r="D1697" t="s">
        <v>14</v>
      </c>
      <c r="E1697" t="s">
        <v>31</v>
      </c>
      <c r="F1697" t="s">
        <v>15</v>
      </c>
      <c r="G1697" t="s">
        <v>38</v>
      </c>
      <c r="H1697" t="s">
        <v>56</v>
      </c>
      <c r="I1697" s="2">
        <v>582.12</v>
      </c>
      <c r="J1697" s="3">
        <v>10</v>
      </c>
      <c r="K1697" s="2">
        <v>86.25</v>
      </c>
    </row>
    <row r="1698" spans="1:11" x14ac:dyDescent="0.25">
      <c r="A1698" s="4">
        <v>42660</v>
      </c>
      <c r="B1698" s="3">
        <f>YEAR(SalesData[[#This Row],[Order Date]])</f>
        <v>2016</v>
      </c>
      <c r="C1698" s="3">
        <f>MONTH(SalesData[[#This Row],[Order Date]])</f>
        <v>10</v>
      </c>
      <c r="D1698" t="s">
        <v>9</v>
      </c>
      <c r="E1698" t="s">
        <v>26</v>
      </c>
      <c r="F1698" t="s">
        <v>27</v>
      </c>
      <c r="G1698" t="s">
        <v>32</v>
      </c>
      <c r="H1698" t="s">
        <v>33</v>
      </c>
      <c r="I1698" s="2">
        <v>4790.78</v>
      </c>
      <c r="J1698" s="3">
        <v>10</v>
      </c>
      <c r="K1698" s="2">
        <v>1326.15</v>
      </c>
    </row>
    <row r="1699" spans="1:11" x14ac:dyDescent="0.25">
      <c r="A1699" s="4">
        <v>42661</v>
      </c>
      <c r="B1699" s="3">
        <f>YEAR(SalesData[[#This Row],[Order Date]])</f>
        <v>2016</v>
      </c>
      <c r="C1699" s="3">
        <f>MONTH(SalesData[[#This Row],[Order Date]])</f>
        <v>10</v>
      </c>
      <c r="D1699" t="s">
        <v>62</v>
      </c>
      <c r="E1699" t="s">
        <v>26</v>
      </c>
      <c r="F1699" t="s">
        <v>11</v>
      </c>
      <c r="G1699" t="s">
        <v>24</v>
      </c>
      <c r="H1699" t="s">
        <v>25</v>
      </c>
      <c r="I1699" s="2">
        <v>925.48</v>
      </c>
      <c r="J1699" s="3">
        <v>3</v>
      </c>
      <c r="K1699" s="2">
        <v>19.68</v>
      </c>
    </row>
    <row r="1700" spans="1:11" x14ac:dyDescent="0.25">
      <c r="A1700" s="4">
        <v>42661</v>
      </c>
      <c r="B1700" s="3">
        <f>YEAR(SalesData[[#This Row],[Order Date]])</f>
        <v>2016</v>
      </c>
      <c r="C1700" s="3">
        <f>MONTH(SalesData[[#This Row],[Order Date]])</f>
        <v>10</v>
      </c>
      <c r="D1700" t="s">
        <v>62</v>
      </c>
      <c r="E1700" t="s">
        <v>44</v>
      </c>
      <c r="F1700" t="s">
        <v>15</v>
      </c>
      <c r="G1700" t="s">
        <v>63</v>
      </c>
      <c r="H1700" t="s">
        <v>66</v>
      </c>
      <c r="I1700" s="2">
        <v>2307.19</v>
      </c>
      <c r="J1700" s="3">
        <v>4</v>
      </c>
      <c r="K1700" s="2">
        <v>542.94000000000005</v>
      </c>
    </row>
    <row r="1701" spans="1:11" x14ac:dyDescent="0.25">
      <c r="A1701" s="4">
        <v>42662</v>
      </c>
      <c r="B1701" s="3">
        <f>YEAR(SalesData[[#This Row],[Order Date]])</f>
        <v>2016</v>
      </c>
      <c r="C1701" s="3">
        <f>MONTH(SalesData[[#This Row],[Order Date]])</f>
        <v>10</v>
      </c>
      <c r="D1701" t="s">
        <v>23</v>
      </c>
      <c r="E1701" t="s">
        <v>37</v>
      </c>
      <c r="F1701" t="s">
        <v>15</v>
      </c>
      <c r="G1701" t="s">
        <v>45</v>
      </c>
      <c r="H1701" t="s">
        <v>59</v>
      </c>
      <c r="I1701" s="2">
        <v>723.76</v>
      </c>
      <c r="J1701" s="3">
        <v>6</v>
      </c>
      <c r="K1701" s="2">
        <v>42.24</v>
      </c>
    </row>
    <row r="1702" spans="1:11" x14ac:dyDescent="0.25">
      <c r="A1702" s="4">
        <v>42663</v>
      </c>
      <c r="B1702" s="3">
        <f>YEAR(SalesData[[#This Row],[Order Date]])</f>
        <v>2016</v>
      </c>
      <c r="C1702" s="3">
        <f>MONTH(SalesData[[#This Row],[Order Date]])</f>
        <v>10</v>
      </c>
      <c r="D1702" t="s">
        <v>14</v>
      </c>
      <c r="E1702" t="s">
        <v>37</v>
      </c>
      <c r="F1702" t="s">
        <v>27</v>
      </c>
      <c r="G1702" t="s">
        <v>28</v>
      </c>
      <c r="H1702" t="s">
        <v>29</v>
      </c>
      <c r="I1702" s="2">
        <v>3939.47</v>
      </c>
      <c r="J1702" s="3">
        <v>10</v>
      </c>
      <c r="K1702" s="2">
        <v>99.3</v>
      </c>
    </row>
    <row r="1703" spans="1:11" x14ac:dyDescent="0.25">
      <c r="A1703" s="4">
        <v>42663</v>
      </c>
      <c r="B1703" s="3">
        <f>YEAR(SalesData[[#This Row],[Order Date]])</f>
        <v>2016</v>
      </c>
      <c r="C1703" s="3">
        <f>MONTH(SalesData[[#This Row],[Order Date]])</f>
        <v>10</v>
      </c>
      <c r="D1703" t="s">
        <v>14</v>
      </c>
      <c r="E1703" t="s">
        <v>44</v>
      </c>
      <c r="F1703" t="s">
        <v>15</v>
      </c>
      <c r="G1703" t="s">
        <v>45</v>
      </c>
      <c r="H1703" t="s">
        <v>46</v>
      </c>
      <c r="I1703" s="2">
        <v>509.71</v>
      </c>
      <c r="J1703" s="3">
        <v>5</v>
      </c>
      <c r="K1703" s="2">
        <v>20.51</v>
      </c>
    </row>
    <row r="1704" spans="1:11" x14ac:dyDescent="0.25">
      <c r="A1704" s="4">
        <v>42664</v>
      </c>
      <c r="B1704" s="3">
        <f>YEAR(SalesData[[#This Row],[Order Date]])</f>
        <v>2016</v>
      </c>
      <c r="C1704" s="3">
        <f>MONTH(SalesData[[#This Row],[Order Date]])</f>
        <v>10</v>
      </c>
      <c r="D1704" t="s">
        <v>30</v>
      </c>
      <c r="E1704" t="s">
        <v>31</v>
      </c>
      <c r="F1704" t="s">
        <v>11</v>
      </c>
      <c r="G1704" t="s">
        <v>24</v>
      </c>
      <c r="H1704" t="s">
        <v>25</v>
      </c>
      <c r="I1704" s="2">
        <v>1260.42</v>
      </c>
      <c r="J1704" s="3">
        <v>4</v>
      </c>
      <c r="K1704" s="2">
        <v>165.08</v>
      </c>
    </row>
    <row r="1705" spans="1:11" x14ac:dyDescent="0.25">
      <c r="A1705" s="4">
        <v>42664</v>
      </c>
      <c r="B1705" s="3">
        <f>YEAR(SalesData[[#This Row],[Order Date]])</f>
        <v>2016</v>
      </c>
      <c r="C1705" s="3">
        <f>MONTH(SalesData[[#This Row],[Order Date]])</f>
        <v>10</v>
      </c>
      <c r="D1705" t="s">
        <v>14</v>
      </c>
      <c r="E1705" t="s">
        <v>19</v>
      </c>
      <c r="F1705" t="s">
        <v>11</v>
      </c>
      <c r="G1705" t="s">
        <v>21</v>
      </c>
      <c r="H1705" t="s">
        <v>22</v>
      </c>
      <c r="I1705" s="2">
        <v>3174.68</v>
      </c>
      <c r="J1705" s="3">
        <v>4</v>
      </c>
      <c r="K1705" s="2">
        <v>359.72</v>
      </c>
    </row>
    <row r="1706" spans="1:11" x14ac:dyDescent="0.25">
      <c r="A1706" s="4">
        <v>42664</v>
      </c>
      <c r="B1706" s="3">
        <f>YEAR(SalesData[[#This Row],[Order Date]])</f>
        <v>2016</v>
      </c>
      <c r="C1706" s="3">
        <f>MONTH(SalesData[[#This Row],[Order Date]])</f>
        <v>10</v>
      </c>
      <c r="D1706" t="s">
        <v>14</v>
      </c>
      <c r="E1706" t="s">
        <v>10</v>
      </c>
      <c r="F1706" t="s">
        <v>11</v>
      </c>
      <c r="G1706" t="s">
        <v>35</v>
      </c>
      <c r="H1706" t="s">
        <v>71</v>
      </c>
      <c r="I1706" s="2">
        <v>2929.25</v>
      </c>
      <c r="J1706" s="3">
        <v>2</v>
      </c>
      <c r="K1706" s="2">
        <v>844.88</v>
      </c>
    </row>
    <row r="1707" spans="1:11" x14ac:dyDescent="0.25">
      <c r="A1707" s="4">
        <v>42666</v>
      </c>
      <c r="B1707" s="3">
        <f>YEAR(SalesData[[#This Row],[Order Date]])</f>
        <v>2016</v>
      </c>
      <c r="C1707" s="3">
        <f>MONTH(SalesData[[#This Row],[Order Date]])</f>
        <v>10</v>
      </c>
      <c r="D1707" t="s">
        <v>62</v>
      </c>
      <c r="E1707" t="s">
        <v>19</v>
      </c>
      <c r="F1707" t="s">
        <v>11</v>
      </c>
      <c r="G1707" t="s">
        <v>24</v>
      </c>
      <c r="H1707" t="s">
        <v>54</v>
      </c>
      <c r="I1707" s="2">
        <v>906.3</v>
      </c>
      <c r="J1707" s="3">
        <v>10</v>
      </c>
      <c r="K1707" s="2">
        <v>109.55</v>
      </c>
    </row>
    <row r="1708" spans="1:11" x14ac:dyDescent="0.25">
      <c r="A1708" s="4">
        <v>42666</v>
      </c>
      <c r="B1708" s="3">
        <f>YEAR(SalesData[[#This Row],[Order Date]])</f>
        <v>2016</v>
      </c>
      <c r="C1708" s="3">
        <f>MONTH(SalesData[[#This Row],[Order Date]])</f>
        <v>10</v>
      </c>
      <c r="D1708" t="s">
        <v>43</v>
      </c>
      <c r="E1708" t="s">
        <v>52</v>
      </c>
      <c r="F1708" t="s">
        <v>11</v>
      </c>
      <c r="G1708" t="s">
        <v>35</v>
      </c>
      <c r="H1708" t="s">
        <v>70</v>
      </c>
      <c r="I1708" s="2">
        <v>3686.14</v>
      </c>
      <c r="J1708" s="3">
        <v>7</v>
      </c>
      <c r="K1708" s="2">
        <v>830.21</v>
      </c>
    </row>
    <row r="1709" spans="1:11" x14ac:dyDescent="0.25">
      <c r="A1709" s="4">
        <v>42666</v>
      </c>
      <c r="B1709" s="3">
        <f>YEAR(SalesData[[#This Row],[Order Date]])</f>
        <v>2016</v>
      </c>
      <c r="C1709" s="3">
        <f>MONTH(SalesData[[#This Row],[Order Date]])</f>
        <v>10</v>
      </c>
      <c r="D1709" t="s">
        <v>14</v>
      </c>
      <c r="E1709" t="s">
        <v>10</v>
      </c>
      <c r="F1709" t="s">
        <v>15</v>
      </c>
      <c r="G1709" t="s">
        <v>41</v>
      </c>
      <c r="H1709" t="s">
        <v>42</v>
      </c>
      <c r="I1709" s="2">
        <v>4305.49</v>
      </c>
      <c r="J1709" s="3">
        <v>6</v>
      </c>
      <c r="K1709" s="2">
        <v>810.94</v>
      </c>
    </row>
    <row r="1710" spans="1:11" x14ac:dyDescent="0.25">
      <c r="A1710" s="4">
        <v>42667</v>
      </c>
      <c r="B1710" s="3">
        <f>YEAR(SalesData[[#This Row],[Order Date]])</f>
        <v>2016</v>
      </c>
      <c r="C1710" s="3">
        <f>MONTH(SalesData[[#This Row],[Order Date]])</f>
        <v>10</v>
      </c>
      <c r="D1710" t="s">
        <v>62</v>
      </c>
      <c r="E1710" t="s">
        <v>31</v>
      </c>
      <c r="F1710" t="s">
        <v>11</v>
      </c>
      <c r="G1710" t="s">
        <v>24</v>
      </c>
      <c r="H1710" t="s">
        <v>54</v>
      </c>
      <c r="I1710" s="2">
        <v>3298.75</v>
      </c>
      <c r="J1710" s="3">
        <v>3</v>
      </c>
      <c r="K1710" s="2">
        <v>516.75</v>
      </c>
    </row>
    <row r="1711" spans="1:11" x14ac:dyDescent="0.25">
      <c r="A1711" s="4">
        <v>42668</v>
      </c>
      <c r="B1711" s="3">
        <f>YEAR(SalesData[[#This Row],[Order Date]])</f>
        <v>2016</v>
      </c>
      <c r="C1711" s="3">
        <f>MONTH(SalesData[[#This Row],[Order Date]])</f>
        <v>10</v>
      </c>
      <c r="D1711" t="s">
        <v>68</v>
      </c>
      <c r="E1711" t="s">
        <v>10</v>
      </c>
      <c r="F1711" t="s">
        <v>15</v>
      </c>
      <c r="G1711" t="s">
        <v>38</v>
      </c>
      <c r="H1711" t="s">
        <v>39</v>
      </c>
      <c r="I1711" s="2">
        <v>2879.91</v>
      </c>
      <c r="J1711" s="3">
        <v>9</v>
      </c>
      <c r="K1711" s="2">
        <v>810.99</v>
      </c>
    </row>
    <row r="1712" spans="1:11" x14ac:dyDescent="0.25">
      <c r="A1712" s="4">
        <v>42668</v>
      </c>
      <c r="B1712" s="3">
        <f>YEAR(SalesData[[#This Row],[Order Date]])</f>
        <v>2016</v>
      </c>
      <c r="C1712" s="3">
        <f>MONTH(SalesData[[#This Row],[Order Date]])</f>
        <v>10</v>
      </c>
      <c r="D1712" t="s">
        <v>47</v>
      </c>
      <c r="E1712" t="s">
        <v>60</v>
      </c>
      <c r="F1712" t="s">
        <v>15</v>
      </c>
      <c r="G1712" t="s">
        <v>41</v>
      </c>
      <c r="H1712" t="s">
        <v>61</v>
      </c>
      <c r="I1712" s="2">
        <v>1148.6300000000001</v>
      </c>
      <c r="J1712" s="3">
        <v>4</v>
      </c>
      <c r="K1712" s="2">
        <v>308.08</v>
      </c>
    </row>
    <row r="1713" spans="1:11" x14ac:dyDescent="0.25">
      <c r="A1713" s="4">
        <v>42670</v>
      </c>
      <c r="B1713" s="3">
        <f>YEAR(SalesData[[#This Row],[Order Date]])</f>
        <v>2016</v>
      </c>
      <c r="C1713" s="3">
        <f>MONTH(SalesData[[#This Row],[Order Date]])</f>
        <v>10</v>
      </c>
      <c r="D1713" t="s">
        <v>20</v>
      </c>
      <c r="E1713" t="s">
        <v>26</v>
      </c>
      <c r="F1713" t="s">
        <v>15</v>
      </c>
      <c r="G1713" t="s">
        <v>45</v>
      </c>
      <c r="H1713" t="s">
        <v>59</v>
      </c>
      <c r="I1713" s="2">
        <v>1475.86</v>
      </c>
      <c r="J1713" s="3">
        <v>1</v>
      </c>
      <c r="K1713" s="2">
        <v>59.2</v>
      </c>
    </row>
    <row r="1714" spans="1:11" x14ac:dyDescent="0.25">
      <c r="A1714" s="4">
        <v>42670</v>
      </c>
      <c r="B1714" s="3">
        <f>YEAR(SalesData[[#This Row],[Order Date]])</f>
        <v>2016</v>
      </c>
      <c r="C1714" s="3">
        <f>MONTH(SalesData[[#This Row],[Order Date]])</f>
        <v>10</v>
      </c>
      <c r="D1714" t="s">
        <v>18</v>
      </c>
      <c r="E1714" t="s">
        <v>19</v>
      </c>
      <c r="F1714" t="s">
        <v>11</v>
      </c>
      <c r="G1714" t="s">
        <v>35</v>
      </c>
      <c r="H1714" t="s">
        <v>71</v>
      </c>
      <c r="I1714" s="2">
        <v>3460.4</v>
      </c>
      <c r="J1714" s="3">
        <v>1</v>
      </c>
      <c r="K1714" s="2">
        <v>234.76</v>
      </c>
    </row>
    <row r="1715" spans="1:11" x14ac:dyDescent="0.25">
      <c r="A1715" s="4">
        <v>42670</v>
      </c>
      <c r="B1715" s="3">
        <f>YEAR(SalesData[[#This Row],[Order Date]])</f>
        <v>2016</v>
      </c>
      <c r="C1715" s="3">
        <f>MONTH(SalesData[[#This Row],[Order Date]])</f>
        <v>10</v>
      </c>
      <c r="D1715" t="s">
        <v>20</v>
      </c>
      <c r="E1715" t="s">
        <v>26</v>
      </c>
      <c r="F1715" t="s">
        <v>27</v>
      </c>
      <c r="G1715" t="s">
        <v>28</v>
      </c>
      <c r="H1715" t="s">
        <v>58</v>
      </c>
      <c r="I1715" s="2">
        <v>2764.99</v>
      </c>
      <c r="J1715" s="3">
        <v>10</v>
      </c>
      <c r="K1715" s="2">
        <v>705.95</v>
      </c>
    </row>
    <row r="1716" spans="1:11" x14ac:dyDescent="0.25">
      <c r="A1716" s="4">
        <v>42671</v>
      </c>
      <c r="B1716" s="3">
        <f>YEAR(SalesData[[#This Row],[Order Date]])</f>
        <v>2016</v>
      </c>
      <c r="C1716" s="3">
        <f>MONTH(SalesData[[#This Row],[Order Date]])</f>
        <v>10</v>
      </c>
      <c r="D1716" t="s">
        <v>30</v>
      </c>
      <c r="E1716" t="s">
        <v>52</v>
      </c>
      <c r="F1716" t="s">
        <v>27</v>
      </c>
      <c r="G1716" t="s">
        <v>48</v>
      </c>
      <c r="H1716" t="s">
        <v>57</v>
      </c>
      <c r="I1716" s="2">
        <v>1363.68</v>
      </c>
      <c r="J1716" s="3">
        <v>2</v>
      </c>
      <c r="K1716" s="2">
        <v>308.83</v>
      </c>
    </row>
    <row r="1717" spans="1:11" x14ac:dyDescent="0.25">
      <c r="A1717" s="4">
        <v>42671</v>
      </c>
      <c r="B1717" s="3">
        <f>YEAR(SalesData[[#This Row],[Order Date]])</f>
        <v>2016</v>
      </c>
      <c r="C1717" s="3">
        <f>MONTH(SalesData[[#This Row],[Order Date]])</f>
        <v>10</v>
      </c>
      <c r="D1717" t="s">
        <v>14</v>
      </c>
      <c r="E1717" t="s">
        <v>40</v>
      </c>
      <c r="F1717" t="s">
        <v>27</v>
      </c>
      <c r="G1717" t="s">
        <v>48</v>
      </c>
      <c r="H1717" t="s">
        <v>57</v>
      </c>
      <c r="I1717" s="2">
        <v>2705.67</v>
      </c>
      <c r="J1717" s="3">
        <v>4</v>
      </c>
      <c r="K1717" s="2">
        <v>490.51</v>
      </c>
    </row>
    <row r="1718" spans="1:11" x14ac:dyDescent="0.25">
      <c r="A1718" s="4">
        <v>42671</v>
      </c>
      <c r="B1718" s="3">
        <f>YEAR(SalesData[[#This Row],[Order Date]])</f>
        <v>2016</v>
      </c>
      <c r="C1718" s="3">
        <f>MONTH(SalesData[[#This Row],[Order Date]])</f>
        <v>10</v>
      </c>
      <c r="D1718" t="s">
        <v>30</v>
      </c>
      <c r="E1718" t="s">
        <v>60</v>
      </c>
      <c r="F1718" t="s">
        <v>15</v>
      </c>
      <c r="G1718" t="s">
        <v>45</v>
      </c>
      <c r="H1718" t="s">
        <v>59</v>
      </c>
      <c r="I1718" s="2">
        <v>1837.78</v>
      </c>
      <c r="J1718" s="3">
        <v>1</v>
      </c>
      <c r="K1718" s="2">
        <v>115.63</v>
      </c>
    </row>
    <row r="1719" spans="1:11" x14ac:dyDescent="0.25">
      <c r="A1719" s="4">
        <v>42672</v>
      </c>
      <c r="B1719" s="3">
        <f>YEAR(SalesData[[#This Row],[Order Date]])</f>
        <v>2016</v>
      </c>
      <c r="C1719" s="3">
        <f>MONTH(SalesData[[#This Row],[Order Date]])</f>
        <v>10</v>
      </c>
      <c r="D1719" t="s">
        <v>68</v>
      </c>
      <c r="E1719" t="s">
        <v>37</v>
      </c>
      <c r="F1719" t="s">
        <v>11</v>
      </c>
      <c r="G1719" t="s">
        <v>24</v>
      </c>
      <c r="H1719" t="s">
        <v>25</v>
      </c>
      <c r="I1719" s="2">
        <v>2014</v>
      </c>
      <c r="J1719" s="3">
        <v>7</v>
      </c>
      <c r="K1719" s="2">
        <v>486.5</v>
      </c>
    </row>
    <row r="1720" spans="1:11" x14ac:dyDescent="0.25">
      <c r="A1720" s="4">
        <v>42673</v>
      </c>
      <c r="B1720" s="3">
        <f>YEAR(SalesData[[#This Row],[Order Date]])</f>
        <v>2016</v>
      </c>
      <c r="C1720" s="3">
        <f>MONTH(SalesData[[#This Row],[Order Date]])</f>
        <v>10</v>
      </c>
      <c r="D1720" t="s">
        <v>14</v>
      </c>
      <c r="E1720" t="s">
        <v>34</v>
      </c>
      <c r="F1720" t="s">
        <v>11</v>
      </c>
      <c r="G1720" t="s">
        <v>35</v>
      </c>
      <c r="H1720" t="s">
        <v>36</v>
      </c>
      <c r="I1720" s="2">
        <v>566.99</v>
      </c>
      <c r="J1720" s="3">
        <v>2</v>
      </c>
      <c r="K1720" s="2">
        <v>22.12</v>
      </c>
    </row>
    <row r="1721" spans="1:11" x14ac:dyDescent="0.25">
      <c r="A1721" s="4">
        <v>42674</v>
      </c>
      <c r="B1721" s="3">
        <f>YEAR(SalesData[[#This Row],[Order Date]])</f>
        <v>2016</v>
      </c>
      <c r="C1721" s="3">
        <f>MONTH(SalesData[[#This Row],[Order Date]])</f>
        <v>10</v>
      </c>
      <c r="D1721" t="s">
        <v>20</v>
      </c>
      <c r="E1721" t="s">
        <v>44</v>
      </c>
      <c r="F1721" t="s">
        <v>15</v>
      </c>
      <c r="G1721" t="s">
        <v>38</v>
      </c>
      <c r="H1721" t="s">
        <v>56</v>
      </c>
      <c r="I1721" s="2">
        <v>2544.9899999999998</v>
      </c>
      <c r="J1721" s="3">
        <v>4</v>
      </c>
      <c r="K1721" s="2">
        <v>700.54</v>
      </c>
    </row>
    <row r="1722" spans="1:11" x14ac:dyDescent="0.25">
      <c r="A1722" s="4">
        <v>42674</v>
      </c>
      <c r="B1722" s="3">
        <f>YEAR(SalesData[[#This Row],[Order Date]])</f>
        <v>2016</v>
      </c>
      <c r="C1722" s="3">
        <f>MONTH(SalesData[[#This Row],[Order Date]])</f>
        <v>10</v>
      </c>
      <c r="D1722" t="s">
        <v>68</v>
      </c>
      <c r="E1722" t="s">
        <v>19</v>
      </c>
      <c r="F1722" t="s">
        <v>15</v>
      </c>
      <c r="G1722" t="s">
        <v>63</v>
      </c>
      <c r="H1722" t="s">
        <v>64</v>
      </c>
      <c r="I1722" s="2">
        <v>431.71</v>
      </c>
      <c r="J1722" s="3">
        <v>4</v>
      </c>
      <c r="K1722" s="2">
        <v>79.63</v>
      </c>
    </row>
    <row r="1723" spans="1:11" x14ac:dyDescent="0.25">
      <c r="A1723" s="4">
        <v>42675</v>
      </c>
      <c r="B1723" s="3">
        <f>YEAR(SalesData[[#This Row],[Order Date]])</f>
        <v>2016</v>
      </c>
      <c r="C1723" s="3">
        <f>MONTH(SalesData[[#This Row],[Order Date]])</f>
        <v>11</v>
      </c>
      <c r="D1723" t="s">
        <v>9</v>
      </c>
      <c r="E1723" t="s">
        <v>60</v>
      </c>
      <c r="F1723" t="s">
        <v>11</v>
      </c>
      <c r="G1723" t="s">
        <v>35</v>
      </c>
      <c r="H1723" t="s">
        <v>70</v>
      </c>
      <c r="I1723" s="2">
        <v>2318.04</v>
      </c>
      <c r="J1723" s="3">
        <v>8</v>
      </c>
      <c r="K1723" s="2">
        <v>171.08</v>
      </c>
    </row>
    <row r="1724" spans="1:11" x14ac:dyDescent="0.25">
      <c r="A1724" s="4">
        <v>42675</v>
      </c>
      <c r="B1724" s="3">
        <f>YEAR(SalesData[[#This Row],[Order Date]])</f>
        <v>2016</v>
      </c>
      <c r="C1724" s="3">
        <f>MONTH(SalesData[[#This Row],[Order Date]])</f>
        <v>11</v>
      </c>
      <c r="D1724" t="s">
        <v>68</v>
      </c>
      <c r="E1724" t="s">
        <v>26</v>
      </c>
      <c r="F1724" t="s">
        <v>15</v>
      </c>
      <c r="G1724" t="s">
        <v>45</v>
      </c>
      <c r="H1724" t="s">
        <v>46</v>
      </c>
      <c r="I1724" s="2">
        <v>1549.12</v>
      </c>
      <c r="J1724" s="3">
        <v>10</v>
      </c>
      <c r="K1724" s="2">
        <v>359.88</v>
      </c>
    </row>
    <row r="1725" spans="1:11" x14ac:dyDescent="0.25">
      <c r="A1725" s="4">
        <v>42676</v>
      </c>
      <c r="B1725" s="3">
        <f>YEAR(SalesData[[#This Row],[Order Date]])</f>
        <v>2016</v>
      </c>
      <c r="C1725" s="3">
        <f>MONTH(SalesData[[#This Row],[Order Date]])</f>
        <v>11</v>
      </c>
      <c r="D1725" t="s">
        <v>43</v>
      </c>
      <c r="E1725" t="s">
        <v>44</v>
      </c>
      <c r="F1725" t="s">
        <v>15</v>
      </c>
      <c r="G1725" t="s">
        <v>63</v>
      </c>
      <c r="H1725" t="s">
        <v>64</v>
      </c>
      <c r="I1725" s="2">
        <v>4573.71</v>
      </c>
      <c r="J1725" s="3">
        <v>5</v>
      </c>
      <c r="K1725" s="2">
        <v>287.85000000000002</v>
      </c>
    </row>
    <row r="1726" spans="1:11" x14ac:dyDescent="0.25">
      <c r="A1726" s="4">
        <v>42676</v>
      </c>
      <c r="B1726" s="3">
        <f>YEAR(SalesData[[#This Row],[Order Date]])</f>
        <v>2016</v>
      </c>
      <c r="C1726" s="3">
        <f>MONTH(SalesData[[#This Row],[Order Date]])</f>
        <v>11</v>
      </c>
      <c r="D1726" t="s">
        <v>20</v>
      </c>
      <c r="E1726" t="s">
        <v>34</v>
      </c>
      <c r="F1726" t="s">
        <v>15</v>
      </c>
      <c r="G1726" t="s">
        <v>41</v>
      </c>
      <c r="H1726" t="s">
        <v>42</v>
      </c>
      <c r="I1726" s="2">
        <v>4439.9799999999996</v>
      </c>
      <c r="J1726" s="3">
        <v>6</v>
      </c>
      <c r="K1726" s="2">
        <v>790.42</v>
      </c>
    </row>
    <row r="1727" spans="1:11" x14ac:dyDescent="0.25">
      <c r="A1727" s="4">
        <v>42677</v>
      </c>
      <c r="B1727" s="3">
        <f>YEAR(SalesData[[#This Row],[Order Date]])</f>
        <v>2016</v>
      </c>
      <c r="C1727" s="3">
        <f>MONTH(SalesData[[#This Row],[Order Date]])</f>
        <v>11</v>
      </c>
      <c r="D1727" t="s">
        <v>47</v>
      </c>
      <c r="E1727" t="s">
        <v>10</v>
      </c>
      <c r="F1727" t="s">
        <v>11</v>
      </c>
      <c r="G1727" t="s">
        <v>24</v>
      </c>
      <c r="H1727" t="s">
        <v>25</v>
      </c>
      <c r="I1727" s="2">
        <v>3166.3</v>
      </c>
      <c r="J1727" s="3">
        <v>1</v>
      </c>
      <c r="K1727" s="2">
        <v>726.23</v>
      </c>
    </row>
    <row r="1728" spans="1:11" x14ac:dyDescent="0.25">
      <c r="A1728" s="4">
        <v>42679</v>
      </c>
      <c r="B1728" s="3">
        <f>YEAR(SalesData[[#This Row],[Order Date]])</f>
        <v>2016</v>
      </c>
      <c r="C1728" s="3">
        <f>MONTH(SalesData[[#This Row],[Order Date]])</f>
        <v>11</v>
      </c>
      <c r="D1728" t="s">
        <v>18</v>
      </c>
      <c r="E1728" t="s">
        <v>37</v>
      </c>
      <c r="F1728" t="s">
        <v>27</v>
      </c>
      <c r="G1728" t="s">
        <v>32</v>
      </c>
      <c r="H1728" t="s">
        <v>53</v>
      </c>
      <c r="I1728" s="2">
        <v>2392.73</v>
      </c>
      <c r="J1728" s="3">
        <v>2</v>
      </c>
      <c r="K1728" s="2">
        <v>380.61</v>
      </c>
    </row>
    <row r="1729" spans="1:11" x14ac:dyDescent="0.25">
      <c r="A1729" s="4">
        <v>42679</v>
      </c>
      <c r="B1729" s="3">
        <f>YEAR(SalesData[[#This Row],[Order Date]])</f>
        <v>2016</v>
      </c>
      <c r="C1729" s="3">
        <f>MONTH(SalesData[[#This Row],[Order Date]])</f>
        <v>11</v>
      </c>
      <c r="D1729" t="s">
        <v>18</v>
      </c>
      <c r="E1729" t="s">
        <v>10</v>
      </c>
      <c r="F1729" t="s">
        <v>11</v>
      </c>
      <c r="G1729" t="s">
        <v>35</v>
      </c>
      <c r="H1729" t="s">
        <v>70</v>
      </c>
      <c r="I1729" s="2">
        <v>1110.27</v>
      </c>
      <c r="J1729" s="3">
        <v>4</v>
      </c>
      <c r="K1729" s="2">
        <v>144.88</v>
      </c>
    </row>
    <row r="1730" spans="1:11" x14ac:dyDescent="0.25">
      <c r="A1730" s="4">
        <v>42680</v>
      </c>
      <c r="B1730" s="3">
        <f>YEAR(SalesData[[#This Row],[Order Date]])</f>
        <v>2016</v>
      </c>
      <c r="C1730" s="3">
        <f>MONTH(SalesData[[#This Row],[Order Date]])</f>
        <v>11</v>
      </c>
      <c r="D1730" t="s">
        <v>30</v>
      </c>
      <c r="E1730" t="s">
        <v>44</v>
      </c>
      <c r="F1730" t="s">
        <v>27</v>
      </c>
      <c r="G1730" t="s">
        <v>32</v>
      </c>
      <c r="H1730" t="s">
        <v>53</v>
      </c>
      <c r="I1730" s="2">
        <v>3890.32</v>
      </c>
      <c r="J1730" s="3">
        <v>9</v>
      </c>
      <c r="K1730" s="2">
        <v>287.3</v>
      </c>
    </row>
    <row r="1731" spans="1:11" x14ac:dyDescent="0.25">
      <c r="A1731" s="4">
        <v>42680</v>
      </c>
      <c r="B1731" s="3">
        <f>YEAR(SalesData[[#This Row],[Order Date]])</f>
        <v>2016</v>
      </c>
      <c r="C1731" s="3">
        <f>MONTH(SalesData[[#This Row],[Order Date]])</f>
        <v>11</v>
      </c>
      <c r="D1731" t="s">
        <v>43</v>
      </c>
      <c r="E1731" t="s">
        <v>10</v>
      </c>
      <c r="F1731" t="s">
        <v>27</v>
      </c>
      <c r="G1731" t="s">
        <v>28</v>
      </c>
      <c r="H1731" t="s">
        <v>29</v>
      </c>
      <c r="I1731" s="2">
        <v>4367.26</v>
      </c>
      <c r="J1731" s="3">
        <v>8</v>
      </c>
      <c r="K1731" s="2">
        <v>574.22</v>
      </c>
    </row>
    <row r="1732" spans="1:11" x14ac:dyDescent="0.25">
      <c r="A1732" s="4">
        <v>42680</v>
      </c>
      <c r="B1732" s="3">
        <f>YEAR(SalesData[[#This Row],[Order Date]])</f>
        <v>2016</v>
      </c>
      <c r="C1732" s="3">
        <f>MONTH(SalesData[[#This Row],[Order Date]])</f>
        <v>11</v>
      </c>
      <c r="D1732" t="s">
        <v>68</v>
      </c>
      <c r="E1732" t="s">
        <v>31</v>
      </c>
      <c r="F1732" t="s">
        <v>11</v>
      </c>
      <c r="G1732" t="s">
        <v>24</v>
      </c>
      <c r="H1732" t="s">
        <v>54</v>
      </c>
      <c r="I1732" s="2">
        <v>847.61</v>
      </c>
      <c r="J1732" s="3">
        <v>3</v>
      </c>
      <c r="K1732" s="2">
        <v>151.02000000000001</v>
      </c>
    </row>
    <row r="1733" spans="1:11" x14ac:dyDescent="0.25">
      <c r="A1733" s="4">
        <v>42680</v>
      </c>
      <c r="B1733" s="3">
        <f>YEAR(SalesData[[#This Row],[Order Date]])</f>
        <v>2016</v>
      </c>
      <c r="C1733" s="3">
        <f>MONTH(SalesData[[#This Row],[Order Date]])</f>
        <v>11</v>
      </c>
      <c r="D1733" t="s">
        <v>20</v>
      </c>
      <c r="E1733" t="s">
        <v>34</v>
      </c>
      <c r="F1733" t="s">
        <v>27</v>
      </c>
      <c r="G1733" t="s">
        <v>28</v>
      </c>
      <c r="H1733" t="s">
        <v>58</v>
      </c>
      <c r="I1733" s="2">
        <v>2388.39</v>
      </c>
      <c r="J1733" s="3">
        <v>6</v>
      </c>
      <c r="K1733" s="2">
        <v>421.78</v>
      </c>
    </row>
    <row r="1734" spans="1:11" x14ac:dyDescent="0.25">
      <c r="A1734" s="4">
        <v>42681</v>
      </c>
      <c r="B1734" s="3">
        <f>YEAR(SalesData[[#This Row],[Order Date]])</f>
        <v>2016</v>
      </c>
      <c r="C1734" s="3">
        <f>MONTH(SalesData[[#This Row],[Order Date]])</f>
        <v>11</v>
      </c>
      <c r="D1734" t="s">
        <v>55</v>
      </c>
      <c r="E1734" t="s">
        <v>34</v>
      </c>
      <c r="F1734" t="s">
        <v>15</v>
      </c>
      <c r="G1734" t="s">
        <v>63</v>
      </c>
      <c r="H1734" t="s">
        <v>64</v>
      </c>
      <c r="I1734" s="2">
        <v>4331.55</v>
      </c>
      <c r="J1734" s="3">
        <v>4</v>
      </c>
      <c r="K1734" s="2">
        <v>1216.71</v>
      </c>
    </row>
    <row r="1735" spans="1:11" x14ac:dyDescent="0.25">
      <c r="A1735" s="4">
        <v>42681</v>
      </c>
      <c r="B1735" s="3">
        <f>YEAR(SalesData[[#This Row],[Order Date]])</f>
        <v>2016</v>
      </c>
      <c r="C1735" s="3">
        <f>MONTH(SalesData[[#This Row],[Order Date]])</f>
        <v>11</v>
      </c>
      <c r="D1735" t="s">
        <v>55</v>
      </c>
      <c r="E1735" t="s">
        <v>34</v>
      </c>
      <c r="F1735" t="s">
        <v>27</v>
      </c>
      <c r="G1735" t="s">
        <v>48</v>
      </c>
      <c r="H1735" t="s">
        <v>57</v>
      </c>
      <c r="I1735" s="2">
        <v>4341.55</v>
      </c>
      <c r="J1735" s="3">
        <v>1</v>
      </c>
      <c r="K1735" s="2">
        <v>34.03</v>
      </c>
    </row>
    <row r="1736" spans="1:11" x14ac:dyDescent="0.25">
      <c r="A1736" s="4">
        <v>42681</v>
      </c>
      <c r="B1736" s="3">
        <f>YEAR(SalesData[[#This Row],[Order Date]])</f>
        <v>2016</v>
      </c>
      <c r="C1736" s="3">
        <f>MONTH(SalesData[[#This Row],[Order Date]])</f>
        <v>11</v>
      </c>
      <c r="D1736" t="s">
        <v>43</v>
      </c>
      <c r="E1736" t="s">
        <v>40</v>
      </c>
      <c r="F1736" t="s">
        <v>11</v>
      </c>
      <c r="G1736" t="s">
        <v>12</v>
      </c>
      <c r="H1736" t="s">
        <v>65</v>
      </c>
      <c r="I1736" s="2">
        <v>3379.67</v>
      </c>
      <c r="J1736" s="3">
        <v>1</v>
      </c>
      <c r="K1736" s="2">
        <v>844.79</v>
      </c>
    </row>
    <row r="1737" spans="1:11" x14ac:dyDescent="0.25">
      <c r="A1737" s="4">
        <v>42681</v>
      </c>
      <c r="B1737" s="3">
        <f>YEAR(SalesData[[#This Row],[Order Date]])</f>
        <v>2016</v>
      </c>
      <c r="C1737" s="3">
        <f>MONTH(SalesData[[#This Row],[Order Date]])</f>
        <v>11</v>
      </c>
      <c r="D1737" t="s">
        <v>47</v>
      </c>
      <c r="E1737" t="s">
        <v>26</v>
      </c>
      <c r="F1737" t="s">
        <v>15</v>
      </c>
      <c r="G1737" t="s">
        <v>63</v>
      </c>
      <c r="H1737" t="s">
        <v>66</v>
      </c>
      <c r="I1737" s="2">
        <v>3000.36</v>
      </c>
      <c r="J1737" s="3">
        <v>7</v>
      </c>
      <c r="K1737" s="2">
        <v>133.65</v>
      </c>
    </row>
    <row r="1738" spans="1:11" x14ac:dyDescent="0.25">
      <c r="A1738" s="4">
        <v>42682</v>
      </c>
      <c r="B1738" s="3">
        <f>YEAR(SalesData[[#This Row],[Order Date]])</f>
        <v>2016</v>
      </c>
      <c r="C1738" s="3">
        <f>MONTH(SalesData[[#This Row],[Order Date]])</f>
        <v>11</v>
      </c>
      <c r="D1738" t="s">
        <v>50</v>
      </c>
      <c r="E1738" t="s">
        <v>26</v>
      </c>
      <c r="F1738" t="s">
        <v>15</v>
      </c>
      <c r="G1738" t="s">
        <v>38</v>
      </c>
      <c r="H1738" t="s">
        <v>39</v>
      </c>
      <c r="I1738" s="2">
        <v>2137.46</v>
      </c>
      <c r="J1738" s="3">
        <v>8</v>
      </c>
      <c r="K1738" s="2">
        <v>85.9</v>
      </c>
    </row>
    <row r="1739" spans="1:11" x14ac:dyDescent="0.25">
      <c r="A1739" s="4">
        <v>42683</v>
      </c>
      <c r="B1739" s="3">
        <f>YEAR(SalesData[[#This Row],[Order Date]])</f>
        <v>2016</v>
      </c>
      <c r="C1739" s="3">
        <f>MONTH(SalesData[[#This Row],[Order Date]])</f>
        <v>11</v>
      </c>
      <c r="D1739" t="s">
        <v>18</v>
      </c>
      <c r="E1739" t="s">
        <v>19</v>
      </c>
      <c r="F1739" t="s">
        <v>15</v>
      </c>
      <c r="G1739" t="s">
        <v>16</v>
      </c>
      <c r="H1739" t="s">
        <v>17</v>
      </c>
      <c r="I1739" s="2">
        <v>1157.54</v>
      </c>
      <c r="J1739" s="3">
        <v>2</v>
      </c>
      <c r="K1739" s="2">
        <v>180.45</v>
      </c>
    </row>
    <row r="1740" spans="1:11" x14ac:dyDescent="0.25">
      <c r="A1740" s="4">
        <v>42683</v>
      </c>
      <c r="B1740" s="3">
        <f>YEAR(SalesData[[#This Row],[Order Date]])</f>
        <v>2016</v>
      </c>
      <c r="C1740" s="3">
        <f>MONTH(SalesData[[#This Row],[Order Date]])</f>
        <v>11</v>
      </c>
      <c r="D1740" t="s">
        <v>50</v>
      </c>
      <c r="E1740" t="s">
        <v>26</v>
      </c>
      <c r="F1740" t="s">
        <v>15</v>
      </c>
      <c r="G1740" t="s">
        <v>41</v>
      </c>
      <c r="H1740" t="s">
        <v>61</v>
      </c>
      <c r="I1740" s="2">
        <v>3492.41</v>
      </c>
      <c r="J1740" s="3">
        <v>8</v>
      </c>
      <c r="K1740" s="2">
        <v>312.70999999999998</v>
      </c>
    </row>
    <row r="1741" spans="1:11" x14ac:dyDescent="0.25">
      <c r="A1741" s="4">
        <v>42683</v>
      </c>
      <c r="B1741" s="3">
        <f>YEAR(SalesData[[#This Row],[Order Date]])</f>
        <v>2016</v>
      </c>
      <c r="C1741" s="3">
        <f>MONTH(SalesData[[#This Row],[Order Date]])</f>
        <v>11</v>
      </c>
      <c r="D1741" t="s">
        <v>14</v>
      </c>
      <c r="E1741" t="s">
        <v>37</v>
      </c>
      <c r="F1741" t="s">
        <v>27</v>
      </c>
      <c r="G1741" t="s">
        <v>48</v>
      </c>
      <c r="H1741" t="s">
        <v>49</v>
      </c>
      <c r="I1741" s="2">
        <v>2871.74</v>
      </c>
      <c r="J1741" s="3">
        <v>6</v>
      </c>
      <c r="K1741" s="2">
        <v>840.41</v>
      </c>
    </row>
    <row r="1742" spans="1:11" x14ac:dyDescent="0.25">
      <c r="A1742" s="4">
        <v>42684</v>
      </c>
      <c r="B1742" s="3">
        <f>YEAR(SalesData[[#This Row],[Order Date]])</f>
        <v>2016</v>
      </c>
      <c r="C1742" s="3">
        <f>MONTH(SalesData[[#This Row],[Order Date]])</f>
        <v>11</v>
      </c>
      <c r="D1742" t="s">
        <v>43</v>
      </c>
      <c r="E1742" t="s">
        <v>40</v>
      </c>
      <c r="F1742" t="s">
        <v>11</v>
      </c>
      <c r="G1742" t="s">
        <v>21</v>
      </c>
      <c r="H1742" t="s">
        <v>67</v>
      </c>
      <c r="I1742" s="2">
        <v>1544.12</v>
      </c>
      <c r="J1742" s="3">
        <v>2</v>
      </c>
      <c r="K1742" s="2">
        <v>311.22000000000003</v>
      </c>
    </row>
    <row r="1743" spans="1:11" x14ac:dyDescent="0.25">
      <c r="A1743" s="4">
        <v>42686</v>
      </c>
      <c r="B1743" s="3">
        <f>YEAR(SalesData[[#This Row],[Order Date]])</f>
        <v>2016</v>
      </c>
      <c r="C1743" s="3">
        <f>MONTH(SalesData[[#This Row],[Order Date]])</f>
        <v>11</v>
      </c>
      <c r="D1743" t="s">
        <v>14</v>
      </c>
      <c r="E1743" t="s">
        <v>60</v>
      </c>
      <c r="F1743" t="s">
        <v>15</v>
      </c>
      <c r="G1743" t="s">
        <v>16</v>
      </c>
      <c r="H1743" t="s">
        <v>17</v>
      </c>
      <c r="I1743" s="2">
        <v>2751.1</v>
      </c>
      <c r="J1743" s="3">
        <v>1</v>
      </c>
      <c r="K1743" s="2">
        <v>32.979999999999997</v>
      </c>
    </row>
    <row r="1744" spans="1:11" x14ac:dyDescent="0.25">
      <c r="A1744" s="4">
        <v>42688</v>
      </c>
      <c r="B1744" s="3">
        <f>YEAR(SalesData[[#This Row],[Order Date]])</f>
        <v>2016</v>
      </c>
      <c r="C1744" s="3">
        <f>MONTH(SalesData[[#This Row],[Order Date]])</f>
        <v>11</v>
      </c>
      <c r="D1744" t="s">
        <v>62</v>
      </c>
      <c r="E1744" t="s">
        <v>34</v>
      </c>
      <c r="F1744" t="s">
        <v>11</v>
      </c>
      <c r="G1744" t="s">
        <v>35</v>
      </c>
      <c r="H1744" t="s">
        <v>70</v>
      </c>
      <c r="I1744" s="2">
        <v>4466.29</v>
      </c>
      <c r="J1744" s="3">
        <v>6</v>
      </c>
      <c r="K1744" s="2">
        <v>870.93</v>
      </c>
    </row>
    <row r="1745" spans="1:11" x14ac:dyDescent="0.25">
      <c r="A1745" s="4">
        <v>42689</v>
      </c>
      <c r="B1745" s="3">
        <f>YEAR(SalesData[[#This Row],[Order Date]])</f>
        <v>2016</v>
      </c>
      <c r="C1745" s="3">
        <f>MONTH(SalesData[[#This Row],[Order Date]])</f>
        <v>11</v>
      </c>
      <c r="D1745" t="s">
        <v>20</v>
      </c>
      <c r="E1745" t="s">
        <v>52</v>
      </c>
      <c r="F1745" t="s">
        <v>15</v>
      </c>
      <c r="G1745" t="s">
        <v>45</v>
      </c>
      <c r="H1745" t="s">
        <v>59</v>
      </c>
      <c r="I1745" s="2">
        <v>4091.49</v>
      </c>
      <c r="J1745" s="3">
        <v>3</v>
      </c>
      <c r="K1745" s="2">
        <v>749.83</v>
      </c>
    </row>
    <row r="1746" spans="1:11" x14ac:dyDescent="0.25">
      <c r="A1746" s="4">
        <v>42689</v>
      </c>
      <c r="B1746" s="3">
        <f>YEAR(SalesData[[#This Row],[Order Date]])</f>
        <v>2016</v>
      </c>
      <c r="C1746" s="3">
        <f>MONTH(SalesData[[#This Row],[Order Date]])</f>
        <v>11</v>
      </c>
      <c r="D1746" t="s">
        <v>55</v>
      </c>
      <c r="E1746" t="s">
        <v>60</v>
      </c>
      <c r="F1746" t="s">
        <v>11</v>
      </c>
      <c r="G1746" t="s">
        <v>12</v>
      </c>
      <c r="H1746" t="s">
        <v>13</v>
      </c>
      <c r="I1746" s="2">
        <v>2778.03</v>
      </c>
      <c r="J1746" s="3">
        <v>4</v>
      </c>
      <c r="K1746" s="2">
        <v>86.64</v>
      </c>
    </row>
    <row r="1747" spans="1:11" x14ac:dyDescent="0.25">
      <c r="A1747" s="4">
        <v>42691</v>
      </c>
      <c r="B1747" s="3">
        <f>YEAR(SalesData[[#This Row],[Order Date]])</f>
        <v>2016</v>
      </c>
      <c r="C1747" s="3">
        <f>MONTH(SalesData[[#This Row],[Order Date]])</f>
        <v>11</v>
      </c>
      <c r="D1747" t="s">
        <v>68</v>
      </c>
      <c r="E1747" t="s">
        <v>52</v>
      </c>
      <c r="F1747" t="s">
        <v>11</v>
      </c>
      <c r="G1747" t="s">
        <v>12</v>
      </c>
      <c r="H1747" t="s">
        <v>65</v>
      </c>
      <c r="I1747" s="2">
        <v>599.11</v>
      </c>
      <c r="J1747" s="3">
        <v>7</v>
      </c>
      <c r="K1747" s="2">
        <v>91.45</v>
      </c>
    </row>
    <row r="1748" spans="1:11" x14ac:dyDescent="0.25">
      <c r="A1748" s="4">
        <v>42691</v>
      </c>
      <c r="B1748" s="3">
        <f>YEAR(SalesData[[#This Row],[Order Date]])</f>
        <v>2016</v>
      </c>
      <c r="C1748" s="3">
        <f>MONTH(SalesData[[#This Row],[Order Date]])</f>
        <v>11</v>
      </c>
      <c r="D1748" t="s">
        <v>23</v>
      </c>
      <c r="E1748" t="s">
        <v>40</v>
      </c>
      <c r="F1748" t="s">
        <v>15</v>
      </c>
      <c r="G1748" t="s">
        <v>63</v>
      </c>
      <c r="H1748" t="s">
        <v>64</v>
      </c>
      <c r="I1748" s="2">
        <v>2456.4699999999998</v>
      </c>
      <c r="J1748" s="3">
        <v>7</v>
      </c>
      <c r="K1748" s="2">
        <v>67.98</v>
      </c>
    </row>
    <row r="1749" spans="1:11" x14ac:dyDescent="0.25">
      <c r="A1749" s="4">
        <v>42691</v>
      </c>
      <c r="B1749" s="3">
        <f>YEAR(SalesData[[#This Row],[Order Date]])</f>
        <v>2016</v>
      </c>
      <c r="C1749" s="3">
        <f>MONTH(SalesData[[#This Row],[Order Date]])</f>
        <v>11</v>
      </c>
      <c r="D1749" t="s">
        <v>9</v>
      </c>
      <c r="E1749" t="s">
        <v>10</v>
      </c>
      <c r="F1749" t="s">
        <v>11</v>
      </c>
      <c r="G1749" t="s">
        <v>12</v>
      </c>
      <c r="H1749" t="s">
        <v>13</v>
      </c>
      <c r="I1749" s="2">
        <v>851.03</v>
      </c>
      <c r="J1749" s="3">
        <v>3</v>
      </c>
      <c r="K1749" s="2">
        <v>187.91</v>
      </c>
    </row>
    <row r="1750" spans="1:11" x14ac:dyDescent="0.25">
      <c r="A1750" s="4">
        <v>42692</v>
      </c>
      <c r="B1750" s="3">
        <f>YEAR(SalesData[[#This Row],[Order Date]])</f>
        <v>2016</v>
      </c>
      <c r="C1750" s="3">
        <f>MONTH(SalesData[[#This Row],[Order Date]])</f>
        <v>11</v>
      </c>
      <c r="D1750" t="s">
        <v>23</v>
      </c>
      <c r="E1750" t="s">
        <v>60</v>
      </c>
      <c r="F1750" t="s">
        <v>27</v>
      </c>
      <c r="G1750" t="s">
        <v>32</v>
      </c>
      <c r="H1750" t="s">
        <v>33</v>
      </c>
      <c r="I1750" s="2">
        <v>4357.46</v>
      </c>
      <c r="J1750" s="3">
        <v>6</v>
      </c>
      <c r="K1750" s="2">
        <v>1147.24</v>
      </c>
    </row>
    <row r="1751" spans="1:11" x14ac:dyDescent="0.25">
      <c r="A1751" s="4">
        <v>42693</v>
      </c>
      <c r="B1751" s="3">
        <f>YEAR(SalesData[[#This Row],[Order Date]])</f>
        <v>2016</v>
      </c>
      <c r="C1751" s="3">
        <f>MONTH(SalesData[[#This Row],[Order Date]])</f>
        <v>11</v>
      </c>
      <c r="D1751" t="s">
        <v>62</v>
      </c>
      <c r="E1751" t="s">
        <v>26</v>
      </c>
      <c r="F1751" t="s">
        <v>15</v>
      </c>
      <c r="G1751" t="s">
        <v>45</v>
      </c>
      <c r="H1751" t="s">
        <v>59</v>
      </c>
      <c r="I1751" s="2">
        <v>506.05</v>
      </c>
      <c r="J1751" s="3">
        <v>5</v>
      </c>
      <c r="K1751" s="2">
        <v>15.33</v>
      </c>
    </row>
    <row r="1752" spans="1:11" x14ac:dyDescent="0.25">
      <c r="A1752" s="4">
        <v>42693</v>
      </c>
      <c r="B1752" s="3">
        <f>YEAR(SalesData[[#This Row],[Order Date]])</f>
        <v>2016</v>
      </c>
      <c r="C1752" s="3">
        <f>MONTH(SalesData[[#This Row],[Order Date]])</f>
        <v>11</v>
      </c>
      <c r="D1752" t="s">
        <v>50</v>
      </c>
      <c r="E1752" t="s">
        <v>52</v>
      </c>
      <c r="F1752" t="s">
        <v>27</v>
      </c>
      <c r="G1752" t="s">
        <v>32</v>
      </c>
      <c r="H1752" t="s">
        <v>33</v>
      </c>
      <c r="I1752" s="2">
        <v>4229</v>
      </c>
      <c r="J1752" s="3">
        <v>4</v>
      </c>
      <c r="K1752" s="2">
        <v>1243.79</v>
      </c>
    </row>
    <row r="1753" spans="1:11" x14ac:dyDescent="0.25">
      <c r="A1753" s="4">
        <v>42693</v>
      </c>
      <c r="B1753" s="3">
        <f>YEAR(SalesData[[#This Row],[Order Date]])</f>
        <v>2016</v>
      </c>
      <c r="C1753" s="3">
        <f>MONTH(SalesData[[#This Row],[Order Date]])</f>
        <v>11</v>
      </c>
      <c r="D1753" t="s">
        <v>20</v>
      </c>
      <c r="E1753" t="s">
        <v>44</v>
      </c>
      <c r="F1753" t="s">
        <v>11</v>
      </c>
      <c r="G1753" t="s">
        <v>24</v>
      </c>
      <c r="H1753" t="s">
        <v>25</v>
      </c>
      <c r="I1753" s="2">
        <v>700.89</v>
      </c>
      <c r="J1753" s="3">
        <v>9</v>
      </c>
      <c r="K1753" s="2">
        <v>37.39</v>
      </c>
    </row>
    <row r="1754" spans="1:11" x14ac:dyDescent="0.25">
      <c r="A1754" s="4">
        <v>42694</v>
      </c>
      <c r="B1754" s="3">
        <f>YEAR(SalesData[[#This Row],[Order Date]])</f>
        <v>2016</v>
      </c>
      <c r="C1754" s="3">
        <f>MONTH(SalesData[[#This Row],[Order Date]])</f>
        <v>11</v>
      </c>
      <c r="D1754" t="s">
        <v>20</v>
      </c>
      <c r="E1754" t="s">
        <v>60</v>
      </c>
      <c r="F1754" t="s">
        <v>27</v>
      </c>
      <c r="G1754" t="s">
        <v>48</v>
      </c>
      <c r="H1754" t="s">
        <v>57</v>
      </c>
      <c r="I1754" s="2">
        <v>3503.41</v>
      </c>
      <c r="J1754" s="3">
        <v>6</v>
      </c>
      <c r="K1754" s="2">
        <v>670.78</v>
      </c>
    </row>
    <row r="1755" spans="1:11" x14ac:dyDescent="0.25">
      <c r="A1755" s="4">
        <v>42694</v>
      </c>
      <c r="B1755" s="3">
        <f>YEAR(SalesData[[#This Row],[Order Date]])</f>
        <v>2016</v>
      </c>
      <c r="C1755" s="3">
        <f>MONTH(SalesData[[#This Row],[Order Date]])</f>
        <v>11</v>
      </c>
      <c r="D1755" t="s">
        <v>62</v>
      </c>
      <c r="E1755" t="s">
        <v>19</v>
      </c>
      <c r="F1755" t="s">
        <v>11</v>
      </c>
      <c r="G1755" t="s">
        <v>35</v>
      </c>
      <c r="H1755" t="s">
        <v>70</v>
      </c>
      <c r="I1755" s="2">
        <v>2970.85</v>
      </c>
      <c r="J1755" s="3">
        <v>8</v>
      </c>
      <c r="K1755" s="2">
        <v>247.46</v>
      </c>
    </row>
    <row r="1756" spans="1:11" x14ac:dyDescent="0.25">
      <c r="A1756" s="4">
        <v>42696</v>
      </c>
      <c r="B1756" s="3">
        <f>YEAR(SalesData[[#This Row],[Order Date]])</f>
        <v>2016</v>
      </c>
      <c r="C1756" s="3">
        <f>MONTH(SalesData[[#This Row],[Order Date]])</f>
        <v>11</v>
      </c>
      <c r="D1756" t="s">
        <v>47</v>
      </c>
      <c r="E1756" t="s">
        <v>40</v>
      </c>
      <c r="F1756" t="s">
        <v>27</v>
      </c>
      <c r="G1756" t="s">
        <v>28</v>
      </c>
      <c r="H1756" t="s">
        <v>58</v>
      </c>
      <c r="I1756" s="2">
        <v>2269.36</v>
      </c>
      <c r="J1756" s="3">
        <v>10</v>
      </c>
      <c r="K1756" s="2">
        <v>325.60000000000002</v>
      </c>
    </row>
    <row r="1757" spans="1:11" x14ac:dyDescent="0.25">
      <c r="A1757" s="4">
        <v>42696</v>
      </c>
      <c r="B1757" s="3">
        <f>YEAR(SalesData[[#This Row],[Order Date]])</f>
        <v>2016</v>
      </c>
      <c r="C1757" s="3">
        <f>MONTH(SalesData[[#This Row],[Order Date]])</f>
        <v>11</v>
      </c>
      <c r="D1757" t="s">
        <v>14</v>
      </c>
      <c r="E1757" t="s">
        <v>19</v>
      </c>
      <c r="F1757" t="s">
        <v>11</v>
      </c>
      <c r="G1757" t="s">
        <v>12</v>
      </c>
      <c r="H1757" t="s">
        <v>65</v>
      </c>
      <c r="I1757" s="2">
        <v>4296.53</v>
      </c>
      <c r="J1757" s="3">
        <v>2</v>
      </c>
      <c r="K1757" s="2">
        <v>261.38</v>
      </c>
    </row>
    <row r="1758" spans="1:11" x14ac:dyDescent="0.25">
      <c r="A1758" s="4">
        <v>42697</v>
      </c>
      <c r="B1758" s="3">
        <f>YEAR(SalesData[[#This Row],[Order Date]])</f>
        <v>2016</v>
      </c>
      <c r="C1758" s="3">
        <f>MONTH(SalesData[[#This Row],[Order Date]])</f>
        <v>11</v>
      </c>
      <c r="D1758" t="s">
        <v>23</v>
      </c>
      <c r="E1758" t="s">
        <v>34</v>
      </c>
      <c r="F1758" t="s">
        <v>27</v>
      </c>
      <c r="G1758" t="s">
        <v>32</v>
      </c>
      <c r="H1758" t="s">
        <v>53</v>
      </c>
      <c r="I1758" s="2">
        <v>1466.54</v>
      </c>
      <c r="J1758" s="3">
        <v>3</v>
      </c>
      <c r="K1758" s="2">
        <v>105.09</v>
      </c>
    </row>
    <row r="1759" spans="1:11" x14ac:dyDescent="0.25">
      <c r="A1759" s="4">
        <v>42697</v>
      </c>
      <c r="B1759" s="3">
        <f>YEAR(SalesData[[#This Row],[Order Date]])</f>
        <v>2016</v>
      </c>
      <c r="C1759" s="3">
        <f>MONTH(SalesData[[#This Row],[Order Date]])</f>
        <v>11</v>
      </c>
      <c r="D1759" t="s">
        <v>50</v>
      </c>
      <c r="E1759" t="s">
        <v>19</v>
      </c>
      <c r="F1759" t="s">
        <v>27</v>
      </c>
      <c r="G1759" t="s">
        <v>28</v>
      </c>
      <c r="H1759" t="s">
        <v>69</v>
      </c>
      <c r="I1759" s="2">
        <v>2345.14</v>
      </c>
      <c r="J1759" s="3">
        <v>6</v>
      </c>
      <c r="K1759" s="2">
        <v>665.36</v>
      </c>
    </row>
    <row r="1760" spans="1:11" x14ac:dyDescent="0.25">
      <c r="A1760" s="4">
        <v>42698</v>
      </c>
      <c r="B1760" s="3">
        <f>YEAR(SalesData[[#This Row],[Order Date]])</f>
        <v>2016</v>
      </c>
      <c r="C1760" s="3">
        <f>MONTH(SalesData[[#This Row],[Order Date]])</f>
        <v>11</v>
      </c>
      <c r="D1760" t="s">
        <v>14</v>
      </c>
      <c r="E1760" t="s">
        <v>34</v>
      </c>
      <c r="F1760" t="s">
        <v>11</v>
      </c>
      <c r="G1760" t="s">
        <v>24</v>
      </c>
      <c r="H1760" t="s">
        <v>25</v>
      </c>
      <c r="I1760" s="2">
        <v>3340.51</v>
      </c>
      <c r="J1760" s="3">
        <v>8</v>
      </c>
      <c r="K1760" s="2">
        <v>151.84</v>
      </c>
    </row>
    <row r="1761" spans="1:11" x14ac:dyDescent="0.25">
      <c r="A1761" s="4">
        <v>42699</v>
      </c>
      <c r="B1761" s="3">
        <f>YEAR(SalesData[[#This Row],[Order Date]])</f>
        <v>2016</v>
      </c>
      <c r="C1761" s="3">
        <f>MONTH(SalesData[[#This Row],[Order Date]])</f>
        <v>11</v>
      </c>
      <c r="D1761" t="s">
        <v>62</v>
      </c>
      <c r="E1761" t="s">
        <v>44</v>
      </c>
      <c r="F1761" t="s">
        <v>11</v>
      </c>
      <c r="G1761" t="s">
        <v>24</v>
      </c>
      <c r="H1761" t="s">
        <v>54</v>
      </c>
      <c r="I1761" s="2">
        <v>1705.85</v>
      </c>
      <c r="J1761" s="3">
        <v>9</v>
      </c>
      <c r="K1761" s="2">
        <v>475.43</v>
      </c>
    </row>
    <row r="1762" spans="1:11" x14ac:dyDescent="0.25">
      <c r="A1762" s="4">
        <v>42699</v>
      </c>
      <c r="B1762" s="3">
        <f>YEAR(SalesData[[#This Row],[Order Date]])</f>
        <v>2016</v>
      </c>
      <c r="C1762" s="3">
        <f>MONTH(SalesData[[#This Row],[Order Date]])</f>
        <v>11</v>
      </c>
      <c r="D1762" t="s">
        <v>62</v>
      </c>
      <c r="E1762" t="s">
        <v>37</v>
      </c>
      <c r="F1762" t="s">
        <v>15</v>
      </c>
      <c r="G1762" t="s">
        <v>63</v>
      </c>
      <c r="H1762" t="s">
        <v>64</v>
      </c>
      <c r="I1762" s="2">
        <v>2826.19</v>
      </c>
      <c r="J1762" s="3">
        <v>4</v>
      </c>
      <c r="K1762" s="2">
        <v>438.35</v>
      </c>
    </row>
    <row r="1763" spans="1:11" x14ac:dyDescent="0.25">
      <c r="A1763" s="4">
        <v>42699</v>
      </c>
      <c r="B1763" s="3">
        <f>YEAR(SalesData[[#This Row],[Order Date]])</f>
        <v>2016</v>
      </c>
      <c r="C1763" s="3">
        <f>MONTH(SalesData[[#This Row],[Order Date]])</f>
        <v>11</v>
      </c>
      <c r="D1763" t="s">
        <v>62</v>
      </c>
      <c r="E1763" t="s">
        <v>26</v>
      </c>
      <c r="F1763" t="s">
        <v>27</v>
      </c>
      <c r="G1763" t="s">
        <v>32</v>
      </c>
      <c r="H1763" t="s">
        <v>33</v>
      </c>
      <c r="I1763" s="2">
        <v>4036.05</v>
      </c>
      <c r="J1763" s="3">
        <v>8</v>
      </c>
      <c r="K1763" s="2">
        <v>651.53</v>
      </c>
    </row>
    <row r="1764" spans="1:11" x14ac:dyDescent="0.25">
      <c r="A1764" s="4">
        <v>42700</v>
      </c>
      <c r="B1764" s="3">
        <f>YEAR(SalesData[[#This Row],[Order Date]])</f>
        <v>2016</v>
      </c>
      <c r="C1764" s="3">
        <f>MONTH(SalesData[[#This Row],[Order Date]])</f>
        <v>11</v>
      </c>
      <c r="D1764" t="s">
        <v>23</v>
      </c>
      <c r="E1764" t="s">
        <v>52</v>
      </c>
      <c r="F1764" t="s">
        <v>27</v>
      </c>
      <c r="G1764" t="s">
        <v>28</v>
      </c>
      <c r="H1764" t="s">
        <v>29</v>
      </c>
      <c r="I1764" s="2">
        <v>1954.82</v>
      </c>
      <c r="J1764" s="3">
        <v>3</v>
      </c>
      <c r="K1764" s="2">
        <v>375.68</v>
      </c>
    </row>
    <row r="1765" spans="1:11" x14ac:dyDescent="0.25">
      <c r="A1765" s="4">
        <v>42700</v>
      </c>
      <c r="B1765" s="3">
        <f>YEAR(SalesData[[#This Row],[Order Date]])</f>
        <v>2016</v>
      </c>
      <c r="C1765" s="3">
        <f>MONTH(SalesData[[#This Row],[Order Date]])</f>
        <v>11</v>
      </c>
      <c r="D1765" t="s">
        <v>30</v>
      </c>
      <c r="E1765" t="s">
        <v>26</v>
      </c>
      <c r="F1765" t="s">
        <v>27</v>
      </c>
      <c r="G1765" t="s">
        <v>48</v>
      </c>
      <c r="H1765" t="s">
        <v>49</v>
      </c>
      <c r="I1765" s="2">
        <v>4323.7299999999996</v>
      </c>
      <c r="J1765" s="3">
        <v>2</v>
      </c>
      <c r="K1765" s="2">
        <v>1233.6600000000001</v>
      </c>
    </row>
    <row r="1766" spans="1:11" x14ac:dyDescent="0.25">
      <c r="A1766" s="4">
        <v>42701</v>
      </c>
      <c r="B1766" s="3">
        <f>YEAR(SalesData[[#This Row],[Order Date]])</f>
        <v>2016</v>
      </c>
      <c r="C1766" s="3">
        <f>MONTH(SalesData[[#This Row],[Order Date]])</f>
        <v>11</v>
      </c>
      <c r="D1766" t="s">
        <v>47</v>
      </c>
      <c r="E1766" t="s">
        <v>60</v>
      </c>
      <c r="F1766" t="s">
        <v>27</v>
      </c>
      <c r="G1766" t="s">
        <v>48</v>
      </c>
      <c r="H1766" t="s">
        <v>49</v>
      </c>
      <c r="I1766" s="2">
        <v>4068.7</v>
      </c>
      <c r="J1766" s="3">
        <v>9</v>
      </c>
      <c r="K1766" s="2">
        <v>488.72</v>
      </c>
    </row>
    <row r="1767" spans="1:11" x14ac:dyDescent="0.25">
      <c r="A1767" s="4">
        <v>42701</v>
      </c>
      <c r="B1767" s="3">
        <f>YEAR(SalesData[[#This Row],[Order Date]])</f>
        <v>2016</v>
      </c>
      <c r="C1767" s="3">
        <f>MONTH(SalesData[[#This Row],[Order Date]])</f>
        <v>11</v>
      </c>
      <c r="D1767" t="s">
        <v>30</v>
      </c>
      <c r="E1767" t="s">
        <v>60</v>
      </c>
      <c r="F1767" t="s">
        <v>15</v>
      </c>
      <c r="G1767" t="s">
        <v>41</v>
      </c>
      <c r="H1767" t="s">
        <v>61</v>
      </c>
      <c r="I1767" s="2">
        <v>844.81</v>
      </c>
      <c r="J1767" s="3">
        <v>3</v>
      </c>
      <c r="K1767" s="2">
        <v>106.04</v>
      </c>
    </row>
    <row r="1768" spans="1:11" x14ac:dyDescent="0.25">
      <c r="A1768" s="4">
        <v>42701</v>
      </c>
      <c r="B1768" s="3">
        <f>YEAR(SalesData[[#This Row],[Order Date]])</f>
        <v>2016</v>
      </c>
      <c r="C1768" s="3">
        <f>MONTH(SalesData[[#This Row],[Order Date]])</f>
        <v>11</v>
      </c>
      <c r="D1768" t="s">
        <v>50</v>
      </c>
      <c r="E1768" t="s">
        <v>10</v>
      </c>
      <c r="F1768" t="s">
        <v>11</v>
      </c>
      <c r="G1768" t="s">
        <v>21</v>
      </c>
      <c r="H1768" t="s">
        <v>22</v>
      </c>
      <c r="I1768" s="2">
        <v>3779.99</v>
      </c>
      <c r="J1768" s="3">
        <v>5</v>
      </c>
      <c r="K1768" s="2">
        <v>519.35</v>
      </c>
    </row>
    <row r="1769" spans="1:11" x14ac:dyDescent="0.25">
      <c r="A1769" s="4">
        <v>42701</v>
      </c>
      <c r="B1769" s="3">
        <f>YEAR(SalesData[[#This Row],[Order Date]])</f>
        <v>2016</v>
      </c>
      <c r="C1769" s="3">
        <f>MONTH(SalesData[[#This Row],[Order Date]])</f>
        <v>11</v>
      </c>
      <c r="D1769" t="s">
        <v>68</v>
      </c>
      <c r="E1769" t="s">
        <v>44</v>
      </c>
      <c r="F1769" t="s">
        <v>27</v>
      </c>
      <c r="G1769" t="s">
        <v>32</v>
      </c>
      <c r="H1769" t="s">
        <v>53</v>
      </c>
      <c r="I1769" s="2">
        <v>172.65</v>
      </c>
      <c r="J1769" s="3">
        <v>4</v>
      </c>
      <c r="K1769" s="2">
        <v>30.69</v>
      </c>
    </row>
    <row r="1770" spans="1:11" x14ac:dyDescent="0.25">
      <c r="A1770" s="4">
        <v>42702</v>
      </c>
      <c r="B1770" s="3">
        <f>YEAR(SalesData[[#This Row],[Order Date]])</f>
        <v>2016</v>
      </c>
      <c r="C1770" s="3">
        <f>MONTH(SalesData[[#This Row],[Order Date]])</f>
        <v>11</v>
      </c>
      <c r="D1770" t="s">
        <v>30</v>
      </c>
      <c r="E1770" t="s">
        <v>52</v>
      </c>
      <c r="F1770" t="s">
        <v>27</v>
      </c>
      <c r="G1770" t="s">
        <v>28</v>
      </c>
      <c r="H1770" t="s">
        <v>29</v>
      </c>
      <c r="I1770" s="2">
        <v>685.85</v>
      </c>
      <c r="J1770" s="3">
        <v>2</v>
      </c>
      <c r="K1770" s="2">
        <v>61.15</v>
      </c>
    </row>
    <row r="1771" spans="1:11" x14ac:dyDescent="0.25">
      <c r="A1771" s="4">
        <v>42702</v>
      </c>
      <c r="B1771" s="3">
        <f>YEAR(SalesData[[#This Row],[Order Date]])</f>
        <v>2016</v>
      </c>
      <c r="C1771" s="3">
        <f>MONTH(SalesData[[#This Row],[Order Date]])</f>
        <v>11</v>
      </c>
      <c r="D1771" t="s">
        <v>9</v>
      </c>
      <c r="E1771" t="s">
        <v>19</v>
      </c>
      <c r="F1771" t="s">
        <v>15</v>
      </c>
      <c r="G1771" t="s">
        <v>45</v>
      </c>
      <c r="H1771" t="s">
        <v>46</v>
      </c>
      <c r="I1771" s="2">
        <v>2031.75</v>
      </c>
      <c r="J1771" s="3">
        <v>4</v>
      </c>
      <c r="K1771" s="2">
        <v>582.37</v>
      </c>
    </row>
    <row r="1772" spans="1:11" x14ac:dyDescent="0.25">
      <c r="A1772" s="4">
        <v>42702</v>
      </c>
      <c r="B1772" s="3">
        <f>YEAR(SalesData[[#This Row],[Order Date]])</f>
        <v>2016</v>
      </c>
      <c r="C1772" s="3">
        <f>MONTH(SalesData[[#This Row],[Order Date]])</f>
        <v>11</v>
      </c>
      <c r="D1772" t="s">
        <v>50</v>
      </c>
      <c r="E1772" t="s">
        <v>10</v>
      </c>
      <c r="F1772" t="s">
        <v>15</v>
      </c>
      <c r="G1772" t="s">
        <v>41</v>
      </c>
      <c r="H1772" t="s">
        <v>61</v>
      </c>
      <c r="I1772" s="2">
        <v>4151.21</v>
      </c>
      <c r="J1772" s="3">
        <v>3</v>
      </c>
      <c r="K1772" s="2">
        <v>347.15</v>
      </c>
    </row>
    <row r="1773" spans="1:11" x14ac:dyDescent="0.25">
      <c r="A1773" s="4">
        <v>42702</v>
      </c>
      <c r="B1773" s="3">
        <f>YEAR(SalesData[[#This Row],[Order Date]])</f>
        <v>2016</v>
      </c>
      <c r="C1773" s="3">
        <f>MONTH(SalesData[[#This Row],[Order Date]])</f>
        <v>11</v>
      </c>
      <c r="D1773" t="s">
        <v>62</v>
      </c>
      <c r="E1773" t="s">
        <v>26</v>
      </c>
      <c r="F1773" t="s">
        <v>27</v>
      </c>
      <c r="G1773" t="s">
        <v>28</v>
      </c>
      <c r="H1773" t="s">
        <v>58</v>
      </c>
      <c r="I1773" s="2">
        <v>1795.84</v>
      </c>
      <c r="J1773" s="3">
        <v>9</v>
      </c>
      <c r="K1773" s="2">
        <v>511.71</v>
      </c>
    </row>
    <row r="1774" spans="1:11" x14ac:dyDescent="0.25">
      <c r="A1774" s="4">
        <v>42703</v>
      </c>
      <c r="B1774" s="3">
        <f>YEAR(SalesData[[#This Row],[Order Date]])</f>
        <v>2016</v>
      </c>
      <c r="C1774" s="3">
        <f>MONTH(SalesData[[#This Row],[Order Date]])</f>
        <v>11</v>
      </c>
      <c r="D1774" t="s">
        <v>43</v>
      </c>
      <c r="E1774" t="s">
        <v>60</v>
      </c>
      <c r="F1774" t="s">
        <v>11</v>
      </c>
      <c r="G1774" t="s">
        <v>24</v>
      </c>
      <c r="H1774" t="s">
        <v>54</v>
      </c>
      <c r="I1774" s="2">
        <v>174.3</v>
      </c>
      <c r="J1774" s="3">
        <v>4</v>
      </c>
      <c r="K1774" s="2">
        <v>15.66</v>
      </c>
    </row>
    <row r="1775" spans="1:11" x14ac:dyDescent="0.25">
      <c r="A1775" s="4">
        <v>42704</v>
      </c>
      <c r="B1775" s="3">
        <f>YEAR(SalesData[[#This Row],[Order Date]])</f>
        <v>2016</v>
      </c>
      <c r="C1775" s="3">
        <f>MONTH(SalesData[[#This Row],[Order Date]])</f>
        <v>11</v>
      </c>
      <c r="D1775" t="s">
        <v>43</v>
      </c>
      <c r="E1775" t="s">
        <v>37</v>
      </c>
      <c r="F1775" t="s">
        <v>11</v>
      </c>
      <c r="G1775" t="s">
        <v>35</v>
      </c>
      <c r="H1775" t="s">
        <v>71</v>
      </c>
      <c r="I1775" s="2">
        <v>3826.62</v>
      </c>
      <c r="J1775" s="3">
        <v>4</v>
      </c>
      <c r="K1775" s="2">
        <v>761.62</v>
      </c>
    </row>
    <row r="1776" spans="1:11" x14ac:dyDescent="0.25">
      <c r="A1776" s="4">
        <v>42704</v>
      </c>
      <c r="B1776" s="3">
        <f>YEAR(SalesData[[#This Row],[Order Date]])</f>
        <v>2016</v>
      </c>
      <c r="C1776" s="3">
        <f>MONTH(SalesData[[#This Row],[Order Date]])</f>
        <v>11</v>
      </c>
      <c r="D1776" t="s">
        <v>23</v>
      </c>
      <c r="E1776" t="s">
        <v>52</v>
      </c>
      <c r="F1776" t="s">
        <v>15</v>
      </c>
      <c r="G1776" t="s">
        <v>16</v>
      </c>
      <c r="H1776" t="s">
        <v>51</v>
      </c>
      <c r="I1776" s="2">
        <v>2937.9</v>
      </c>
      <c r="J1776" s="3">
        <v>10</v>
      </c>
      <c r="K1776" s="2">
        <v>868.26</v>
      </c>
    </row>
    <row r="1777" spans="1:11" x14ac:dyDescent="0.25">
      <c r="A1777" s="4">
        <v>42705</v>
      </c>
      <c r="B1777" s="3">
        <f>YEAR(SalesData[[#This Row],[Order Date]])</f>
        <v>2016</v>
      </c>
      <c r="C1777" s="3">
        <f>MONTH(SalesData[[#This Row],[Order Date]])</f>
        <v>12</v>
      </c>
      <c r="D1777" t="s">
        <v>55</v>
      </c>
      <c r="E1777" t="s">
        <v>37</v>
      </c>
      <c r="F1777" t="s">
        <v>15</v>
      </c>
      <c r="G1777" t="s">
        <v>63</v>
      </c>
      <c r="H1777" t="s">
        <v>64</v>
      </c>
      <c r="I1777" s="2">
        <v>655.46</v>
      </c>
      <c r="J1777" s="3">
        <v>10</v>
      </c>
      <c r="K1777" s="2">
        <v>37.659999999999997</v>
      </c>
    </row>
    <row r="1778" spans="1:11" x14ac:dyDescent="0.25">
      <c r="A1778" s="4">
        <v>42705</v>
      </c>
      <c r="B1778" s="3">
        <f>YEAR(SalesData[[#This Row],[Order Date]])</f>
        <v>2016</v>
      </c>
      <c r="C1778" s="3">
        <f>MONTH(SalesData[[#This Row],[Order Date]])</f>
        <v>12</v>
      </c>
      <c r="D1778" t="s">
        <v>20</v>
      </c>
      <c r="E1778" t="s">
        <v>40</v>
      </c>
      <c r="F1778" t="s">
        <v>15</v>
      </c>
      <c r="G1778" t="s">
        <v>16</v>
      </c>
      <c r="H1778" t="s">
        <v>17</v>
      </c>
      <c r="I1778" s="2">
        <v>1028.1600000000001</v>
      </c>
      <c r="J1778" s="3">
        <v>5</v>
      </c>
      <c r="K1778" s="2">
        <v>13.79</v>
      </c>
    </row>
    <row r="1779" spans="1:11" x14ac:dyDescent="0.25">
      <c r="A1779" s="4">
        <v>42705</v>
      </c>
      <c r="B1779" s="3">
        <f>YEAR(SalesData[[#This Row],[Order Date]])</f>
        <v>2016</v>
      </c>
      <c r="C1779" s="3">
        <f>MONTH(SalesData[[#This Row],[Order Date]])</f>
        <v>12</v>
      </c>
      <c r="D1779" t="s">
        <v>55</v>
      </c>
      <c r="E1779" t="s">
        <v>37</v>
      </c>
      <c r="F1779" t="s">
        <v>11</v>
      </c>
      <c r="G1779" t="s">
        <v>12</v>
      </c>
      <c r="H1779" t="s">
        <v>13</v>
      </c>
      <c r="I1779" s="2">
        <v>4658.05</v>
      </c>
      <c r="J1779" s="3">
        <v>3</v>
      </c>
      <c r="K1779" s="2">
        <v>1335.19</v>
      </c>
    </row>
    <row r="1780" spans="1:11" x14ac:dyDescent="0.25">
      <c r="A1780" s="4">
        <v>42706</v>
      </c>
      <c r="B1780" s="3">
        <f>YEAR(SalesData[[#This Row],[Order Date]])</f>
        <v>2016</v>
      </c>
      <c r="C1780" s="3">
        <f>MONTH(SalesData[[#This Row],[Order Date]])</f>
        <v>12</v>
      </c>
      <c r="D1780" t="s">
        <v>43</v>
      </c>
      <c r="E1780" t="s">
        <v>10</v>
      </c>
      <c r="F1780" t="s">
        <v>15</v>
      </c>
      <c r="G1780" t="s">
        <v>38</v>
      </c>
      <c r="H1780" t="s">
        <v>39</v>
      </c>
      <c r="I1780" s="2">
        <v>2255.91</v>
      </c>
      <c r="J1780" s="3">
        <v>6</v>
      </c>
      <c r="K1780" s="2">
        <v>595.28</v>
      </c>
    </row>
    <row r="1781" spans="1:11" x14ac:dyDescent="0.25">
      <c r="A1781" s="4">
        <v>42707</v>
      </c>
      <c r="B1781" s="3">
        <f>YEAR(SalesData[[#This Row],[Order Date]])</f>
        <v>2016</v>
      </c>
      <c r="C1781" s="3">
        <f>MONTH(SalesData[[#This Row],[Order Date]])</f>
        <v>12</v>
      </c>
      <c r="D1781" t="s">
        <v>30</v>
      </c>
      <c r="E1781" t="s">
        <v>60</v>
      </c>
      <c r="F1781" t="s">
        <v>11</v>
      </c>
      <c r="G1781" t="s">
        <v>24</v>
      </c>
      <c r="H1781" t="s">
        <v>54</v>
      </c>
      <c r="I1781" s="2">
        <v>1635.15</v>
      </c>
      <c r="J1781" s="3">
        <v>5</v>
      </c>
      <c r="K1781" s="2">
        <v>35.57</v>
      </c>
    </row>
    <row r="1782" spans="1:11" x14ac:dyDescent="0.25">
      <c r="A1782" s="4">
        <v>42708</v>
      </c>
      <c r="B1782" s="3">
        <f>YEAR(SalesData[[#This Row],[Order Date]])</f>
        <v>2016</v>
      </c>
      <c r="C1782" s="3">
        <f>MONTH(SalesData[[#This Row],[Order Date]])</f>
        <v>12</v>
      </c>
      <c r="D1782" t="s">
        <v>68</v>
      </c>
      <c r="E1782" t="s">
        <v>52</v>
      </c>
      <c r="F1782" t="s">
        <v>11</v>
      </c>
      <c r="G1782" t="s">
        <v>24</v>
      </c>
      <c r="H1782" t="s">
        <v>54</v>
      </c>
      <c r="I1782" s="2">
        <v>2673.35</v>
      </c>
      <c r="J1782" s="3">
        <v>6</v>
      </c>
      <c r="K1782" s="2">
        <v>556.25</v>
      </c>
    </row>
    <row r="1783" spans="1:11" x14ac:dyDescent="0.25">
      <c r="A1783" s="4">
        <v>42710</v>
      </c>
      <c r="B1783" s="3">
        <f>YEAR(SalesData[[#This Row],[Order Date]])</f>
        <v>2016</v>
      </c>
      <c r="C1783" s="3">
        <f>MONTH(SalesData[[#This Row],[Order Date]])</f>
        <v>12</v>
      </c>
      <c r="D1783" t="s">
        <v>62</v>
      </c>
      <c r="E1783" t="s">
        <v>31</v>
      </c>
      <c r="F1783" t="s">
        <v>15</v>
      </c>
      <c r="G1783" t="s">
        <v>38</v>
      </c>
      <c r="H1783" t="s">
        <v>56</v>
      </c>
      <c r="I1783" s="2">
        <v>1170.98</v>
      </c>
      <c r="J1783" s="3">
        <v>10</v>
      </c>
      <c r="K1783" s="2">
        <v>321.37</v>
      </c>
    </row>
    <row r="1784" spans="1:11" x14ac:dyDescent="0.25">
      <c r="A1784" s="4">
        <v>42711</v>
      </c>
      <c r="B1784" s="3">
        <f>YEAR(SalesData[[#This Row],[Order Date]])</f>
        <v>2016</v>
      </c>
      <c r="C1784" s="3">
        <f>MONTH(SalesData[[#This Row],[Order Date]])</f>
        <v>12</v>
      </c>
      <c r="D1784" t="s">
        <v>55</v>
      </c>
      <c r="E1784" t="s">
        <v>19</v>
      </c>
      <c r="F1784" t="s">
        <v>11</v>
      </c>
      <c r="G1784" t="s">
        <v>12</v>
      </c>
      <c r="H1784" t="s">
        <v>65</v>
      </c>
      <c r="I1784" s="2">
        <v>3806.24</v>
      </c>
      <c r="J1784" s="3">
        <v>9</v>
      </c>
      <c r="K1784" s="2">
        <v>480.96</v>
      </c>
    </row>
    <row r="1785" spans="1:11" x14ac:dyDescent="0.25">
      <c r="A1785" s="4">
        <v>42711</v>
      </c>
      <c r="B1785" s="3">
        <f>YEAR(SalesData[[#This Row],[Order Date]])</f>
        <v>2016</v>
      </c>
      <c r="C1785" s="3">
        <f>MONTH(SalesData[[#This Row],[Order Date]])</f>
        <v>12</v>
      </c>
      <c r="D1785" t="s">
        <v>47</v>
      </c>
      <c r="E1785" t="s">
        <v>31</v>
      </c>
      <c r="F1785" t="s">
        <v>27</v>
      </c>
      <c r="G1785" t="s">
        <v>48</v>
      </c>
      <c r="H1785" t="s">
        <v>49</v>
      </c>
      <c r="I1785" s="2">
        <v>1374.03</v>
      </c>
      <c r="J1785" s="3">
        <v>4</v>
      </c>
      <c r="K1785" s="2">
        <v>142.57</v>
      </c>
    </row>
    <row r="1786" spans="1:11" x14ac:dyDescent="0.25">
      <c r="A1786" s="4">
        <v>42713</v>
      </c>
      <c r="B1786" s="3">
        <f>YEAR(SalesData[[#This Row],[Order Date]])</f>
        <v>2016</v>
      </c>
      <c r="C1786" s="3">
        <f>MONTH(SalesData[[#This Row],[Order Date]])</f>
        <v>12</v>
      </c>
      <c r="D1786" t="s">
        <v>20</v>
      </c>
      <c r="E1786" t="s">
        <v>44</v>
      </c>
      <c r="F1786" t="s">
        <v>27</v>
      </c>
      <c r="G1786" t="s">
        <v>48</v>
      </c>
      <c r="H1786" t="s">
        <v>49</v>
      </c>
      <c r="I1786" s="2">
        <v>2871.61</v>
      </c>
      <c r="J1786" s="3">
        <v>10</v>
      </c>
      <c r="K1786" s="2">
        <v>854.55</v>
      </c>
    </row>
    <row r="1787" spans="1:11" x14ac:dyDescent="0.25">
      <c r="A1787" s="4">
        <v>42714</v>
      </c>
      <c r="B1787" s="3">
        <f>YEAR(SalesData[[#This Row],[Order Date]])</f>
        <v>2016</v>
      </c>
      <c r="C1787" s="3">
        <f>MONTH(SalesData[[#This Row],[Order Date]])</f>
        <v>12</v>
      </c>
      <c r="D1787" t="s">
        <v>18</v>
      </c>
      <c r="E1787" t="s">
        <v>10</v>
      </c>
      <c r="F1787" t="s">
        <v>27</v>
      </c>
      <c r="G1787" t="s">
        <v>32</v>
      </c>
      <c r="H1787" t="s">
        <v>53</v>
      </c>
      <c r="I1787" s="2">
        <v>1503.5</v>
      </c>
      <c r="J1787" s="3">
        <v>3</v>
      </c>
      <c r="K1787" s="2">
        <v>360.43</v>
      </c>
    </row>
    <row r="1788" spans="1:11" x14ac:dyDescent="0.25">
      <c r="A1788" s="4">
        <v>42714</v>
      </c>
      <c r="B1788" s="3">
        <f>YEAR(SalesData[[#This Row],[Order Date]])</f>
        <v>2016</v>
      </c>
      <c r="C1788" s="3">
        <f>MONTH(SalesData[[#This Row],[Order Date]])</f>
        <v>12</v>
      </c>
      <c r="D1788" t="s">
        <v>30</v>
      </c>
      <c r="E1788" t="s">
        <v>44</v>
      </c>
      <c r="F1788" t="s">
        <v>15</v>
      </c>
      <c r="G1788" t="s">
        <v>45</v>
      </c>
      <c r="H1788" t="s">
        <v>59</v>
      </c>
      <c r="I1788" s="2">
        <v>4265.91</v>
      </c>
      <c r="J1788" s="3">
        <v>5</v>
      </c>
      <c r="K1788" s="2">
        <v>404.36</v>
      </c>
    </row>
    <row r="1789" spans="1:11" x14ac:dyDescent="0.25">
      <c r="A1789" s="4">
        <v>42715</v>
      </c>
      <c r="B1789" s="3">
        <f>YEAR(SalesData[[#This Row],[Order Date]])</f>
        <v>2016</v>
      </c>
      <c r="C1789" s="3">
        <f>MONTH(SalesData[[#This Row],[Order Date]])</f>
        <v>12</v>
      </c>
      <c r="D1789" t="s">
        <v>23</v>
      </c>
      <c r="E1789" t="s">
        <v>31</v>
      </c>
      <c r="F1789" t="s">
        <v>27</v>
      </c>
      <c r="G1789" t="s">
        <v>28</v>
      </c>
      <c r="H1789" t="s">
        <v>58</v>
      </c>
      <c r="I1789" s="2">
        <v>3126.34</v>
      </c>
      <c r="J1789" s="3">
        <v>1</v>
      </c>
      <c r="K1789" s="2">
        <v>709.89</v>
      </c>
    </row>
    <row r="1790" spans="1:11" x14ac:dyDescent="0.25">
      <c r="A1790" s="4">
        <v>42715</v>
      </c>
      <c r="B1790" s="3">
        <f>YEAR(SalesData[[#This Row],[Order Date]])</f>
        <v>2016</v>
      </c>
      <c r="C1790" s="3">
        <f>MONTH(SalesData[[#This Row],[Order Date]])</f>
        <v>12</v>
      </c>
      <c r="D1790" t="s">
        <v>30</v>
      </c>
      <c r="E1790" t="s">
        <v>60</v>
      </c>
      <c r="F1790" t="s">
        <v>15</v>
      </c>
      <c r="G1790" t="s">
        <v>45</v>
      </c>
      <c r="H1790" t="s">
        <v>46</v>
      </c>
      <c r="I1790" s="2">
        <v>3953.52</v>
      </c>
      <c r="J1790" s="3">
        <v>9</v>
      </c>
      <c r="K1790" s="2">
        <v>686.82</v>
      </c>
    </row>
    <row r="1791" spans="1:11" x14ac:dyDescent="0.25">
      <c r="A1791" s="4">
        <v>42717</v>
      </c>
      <c r="B1791" s="3">
        <f>YEAR(SalesData[[#This Row],[Order Date]])</f>
        <v>2016</v>
      </c>
      <c r="C1791" s="3">
        <f>MONTH(SalesData[[#This Row],[Order Date]])</f>
        <v>12</v>
      </c>
      <c r="D1791" t="s">
        <v>43</v>
      </c>
      <c r="E1791" t="s">
        <v>19</v>
      </c>
      <c r="F1791" t="s">
        <v>11</v>
      </c>
      <c r="G1791" t="s">
        <v>21</v>
      </c>
      <c r="H1791" t="s">
        <v>67</v>
      </c>
      <c r="I1791" s="2">
        <v>190.69</v>
      </c>
      <c r="J1791" s="3">
        <v>5</v>
      </c>
      <c r="K1791" s="2">
        <v>12.78</v>
      </c>
    </row>
    <row r="1792" spans="1:11" x14ac:dyDescent="0.25">
      <c r="A1792" s="4">
        <v>42717</v>
      </c>
      <c r="B1792" s="3">
        <f>YEAR(SalesData[[#This Row],[Order Date]])</f>
        <v>2016</v>
      </c>
      <c r="C1792" s="3">
        <f>MONTH(SalesData[[#This Row],[Order Date]])</f>
        <v>12</v>
      </c>
      <c r="D1792" t="s">
        <v>9</v>
      </c>
      <c r="E1792" t="s">
        <v>44</v>
      </c>
      <c r="F1792" t="s">
        <v>27</v>
      </c>
      <c r="G1792" t="s">
        <v>32</v>
      </c>
      <c r="H1792" t="s">
        <v>33</v>
      </c>
      <c r="I1792" s="2">
        <v>1205.93</v>
      </c>
      <c r="J1792" s="3">
        <v>3</v>
      </c>
      <c r="K1792" s="2">
        <v>302.01</v>
      </c>
    </row>
    <row r="1793" spans="1:11" x14ac:dyDescent="0.25">
      <c r="A1793" s="4">
        <v>42717</v>
      </c>
      <c r="B1793" s="3">
        <f>YEAR(SalesData[[#This Row],[Order Date]])</f>
        <v>2016</v>
      </c>
      <c r="C1793" s="3">
        <f>MONTH(SalesData[[#This Row],[Order Date]])</f>
        <v>12</v>
      </c>
      <c r="D1793" t="s">
        <v>23</v>
      </c>
      <c r="E1793" t="s">
        <v>52</v>
      </c>
      <c r="F1793" t="s">
        <v>27</v>
      </c>
      <c r="G1793" t="s">
        <v>28</v>
      </c>
      <c r="H1793" t="s">
        <v>69</v>
      </c>
      <c r="I1793" s="2">
        <v>2026.51</v>
      </c>
      <c r="J1793" s="3">
        <v>3</v>
      </c>
      <c r="K1793" s="2">
        <v>191.75</v>
      </c>
    </row>
    <row r="1794" spans="1:11" x14ac:dyDescent="0.25">
      <c r="A1794" s="4">
        <v>42718</v>
      </c>
      <c r="B1794" s="3">
        <f>YEAR(SalesData[[#This Row],[Order Date]])</f>
        <v>2016</v>
      </c>
      <c r="C1794" s="3">
        <f>MONTH(SalesData[[#This Row],[Order Date]])</f>
        <v>12</v>
      </c>
      <c r="D1794" t="s">
        <v>30</v>
      </c>
      <c r="E1794" t="s">
        <v>31</v>
      </c>
      <c r="F1794" t="s">
        <v>11</v>
      </c>
      <c r="G1794" t="s">
        <v>21</v>
      </c>
      <c r="H1794" t="s">
        <v>22</v>
      </c>
      <c r="I1794" s="2">
        <v>894.15</v>
      </c>
      <c r="J1794" s="3">
        <v>10</v>
      </c>
      <c r="K1794" s="2">
        <v>42.2</v>
      </c>
    </row>
    <row r="1795" spans="1:11" x14ac:dyDescent="0.25">
      <c r="A1795" s="4">
        <v>42719</v>
      </c>
      <c r="B1795" s="3">
        <f>YEAR(SalesData[[#This Row],[Order Date]])</f>
        <v>2016</v>
      </c>
      <c r="C1795" s="3">
        <f>MONTH(SalesData[[#This Row],[Order Date]])</f>
        <v>12</v>
      </c>
      <c r="D1795" t="s">
        <v>9</v>
      </c>
      <c r="E1795" t="s">
        <v>34</v>
      </c>
      <c r="F1795" t="s">
        <v>27</v>
      </c>
      <c r="G1795" t="s">
        <v>32</v>
      </c>
      <c r="H1795" t="s">
        <v>33</v>
      </c>
      <c r="I1795" s="2">
        <v>2320.17</v>
      </c>
      <c r="J1795" s="3">
        <v>4</v>
      </c>
      <c r="K1795" s="2">
        <v>682.09</v>
      </c>
    </row>
    <row r="1796" spans="1:11" x14ac:dyDescent="0.25">
      <c r="A1796" s="4">
        <v>42719</v>
      </c>
      <c r="B1796" s="3">
        <f>YEAR(SalesData[[#This Row],[Order Date]])</f>
        <v>2016</v>
      </c>
      <c r="C1796" s="3">
        <f>MONTH(SalesData[[#This Row],[Order Date]])</f>
        <v>12</v>
      </c>
      <c r="D1796" t="s">
        <v>9</v>
      </c>
      <c r="E1796" t="s">
        <v>19</v>
      </c>
      <c r="F1796" t="s">
        <v>11</v>
      </c>
      <c r="G1796" t="s">
        <v>24</v>
      </c>
      <c r="H1796" t="s">
        <v>25</v>
      </c>
      <c r="I1796" s="2">
        <v>4431.93</v>
      </c>
      <c r="J1796" s="3">
        <v>3</v>
      </c>
      <c r="K1796" s="2">
        <v>141.41999999999999</v>
      </c>
    </row>
    <row r="1797" spans="1:11" x14ac:dyDescent="0.25">
      <c r="A1797" s="4">
        <v>42719</v>
      </c>
      <c r="B1797" s="3">
        <f>YEAR(SalesData[[#This Row],[Order Date]])</f>
        <v>2016</v>
      </c>
      <c r="C1797" s="3">
        <f>MONTH(SalesData[[#This Row],[Order Date]])</f>
        <v>12</v>
      </c>
      <c r="D1797" t="s">
        <v>23</v>
      </c>
      <c r="E1797" t="s">
        <v>31</v>
      </c>
      <c r="F1797" t="s">
        <v>27</v>
      </c>
      <c r="G1797" t="s">
        <v>32</v>
      </c>
      <c r="H1797" t="s">
        <v>53</v>
      </c>
      <c r="I1797" s="2">
        <v>4661.3100000000004</v>
      </c>
      <c r="J1797" s="3">
        <v>9</v>
      </c>
      <c r="K1797" s="2">
        <v>364.06</v>
      </c>
    </row>
    <row r="1798" spans="1:11" x14ac:dyDescent="0.25">
      <c r="A1798" s="4">
        <v>42720</v>
      </c>
      <c r="B1798" s="3">
        <f>YEAR(SalesData[[#This Row],[Order Date]])</f>
        <v>2016</v>
      </c>
      <c r="C1798" s="3">
        <f>MONTH(SalesData[[#This Row],[Order Date]])</f>
        <v>12</v>
      </c>
      <c r="D1798" t="s">
        <v>23</v>
      </c>
      <c r="E1798" t="s">
        <v>37</v>
      </c>
      <c r="F1798" t="s">
        <v>27</v>
      </c>
      <c r="G1798" t="s">
        <v>48</v>
      </c>
      <c r="H1798" t="s">
        <v>57</v>
      </c>
      <c r="I1798" s="2">
        <v>4331</v>
      </c>
      <c r="J1798" s="3">
        <v>2</v>
      </c>
      <c r="K1798" s="2">
        <v>1180.02</v>
      </c>
    </row>
    <row r="1799" spans="1:11" x14ac:dyDescent="0.25">
      <c r="A1799" s="4">
        <v>42721</v>
      </c>
      <c r="B1799" s="3">
        <f>YEAR(SalesData[[#This Row],[Order Date]])</f>
        <v>2016</v>
      </c>
      <c r="C1799" s="3">
        <f>MONTH(SalesData[[#This Row],[Order Date]])</f>
        <v>12</v>
      </c>
      <c r="D1799" t="s">
        <v>14</v>
      </c>
      <c r="E1799" t="s">
        <v>19</v>
      </c>
      <c r="F1799" t="s">
        <v>15</v>
      </c>
      <c r="G1799" t="s">
        <v>16</v>
      </c>
      <c r="H1799" t="s">
        <v>51</v>
      </c>
      <c r="I1799" s="2">
        <v>3653.49</v>
      </c>
      <c r="J1799" s="3">
        <v>1</v>
      </c>
      <c r="K1799" s="2">
        <v>449.71</v>
      </c>
    </row>
    <row r="1800" spans="1:11" x14ac:dyDescent="0.25">
      <c r="A1800" s="4">
        <v>42721</v>
      </c>
      <c r="B1800" s="3">
        <f>YEAR(SalesData[[#This Row],[Order Date]])</f>
        <v>2016</v>
      </c>
      <c r="C1800" s="3">
        <f>MONTH(SalesData[[#This Row],[Order Date]])</f>
        <v>12</v>
      </c>
      <c r="D1800" t="s">
        <v>47</v>
      </c>
      <c r="E1800" t="s">
        <v>44</v>
      </c>
      <c r="F1800" t="s">
        <v>11</v>
      </c>
      <c r="G1800" t="s">
        <v>24</v>
      </c>
      <c r="H1800" t="s">
        <v>54</v>
      </c>
      <c r="I1800" s="2">
        <v>4507.79</v>
      </c>
      <c r="J1800" s="3">
        <v>9</v>
      </c>
      <c r="K1800" s="2">
        <v>287.82</v>
      </c>
    </row>
    <row r="1801" spans="1:11" x14ac:dyDescent="0.25">
      <c r="A1801" s="4">
        <v>42721</v>
      </c>
      <c r="B1801" s="3">
        <f>YEAR(SalesData[[#This Row],[Order Date]])</f>
        <v>2016</v>
      </c>
      <c r="C1801" s="3">
        <f>MONTH(SalesData[[#This Row],[Order Date]])</f>
        <v>12</v>
      </c>
      <c r="D1801" t="s">
        <v>18</v>
      </c>
      <c r="E1801" t="s">
        <v>19</v>
      </c>
      <c r="F1801" t="s">
        <v>15</v>
      </c>
      <c r="G1801" t="s">
        <v>45</v>
      </c>
      <c r="H1801" t="s">
        <v>46</v>
      </c>
      <c r="I1801" s="2">
        <v>2872.47</v>
      </c>
      <c r="J1801" s="3">
        <v>3</v>
      </c>
      <c r="K1801" s="2">
        <v>277.98</v>
      </c>
    </row>
    <row r="1802" spans="1:11" x14ac:dyDescent="0.25">
      <c r="A1802" s="4">
        <v>42721</v>
      </c>
      <c r="B1802" s="3">
        <f>YEAR(SalesData[[#This Row],[Order Date]])</f>
        <v>2016</v>
      </c>
      <c r="C1802" s="3">
        <f>MONTH(SalesData[[#This Row],[Order Date]])</f>
        <v>12</v>
      </c>
      <c r="D1802" t="s">
        <v>9</v>
      </c>
      <c r="E1802" t="s">
        <v>37</v>
      </c>
      <c r="F1802" t="s">
        <v>11</v>
      </c>
      <c r="G1802" t="s">
        <v>12</v>
      </c>
      <c r="H1802" t="s">
        <v>13</v>
      </c>
      <c r="I1802" s="2">
        <v>234.13</v>
      </c>
      <c r="J1802" s="3">
        <v>4</v>
      </c>
      <c r="K1802" s="2">
        <v>56.06</v>
      </c>
    </row>
    <row r="1803" spans="1:11" x14ac:dyDescent="0.25">
      <c r="A1803" s="4">
        <v>42722</v>
      </c>
      <c r="B1803" s="3">
        <f>YEAR(SalesData[[#This Row],[Order Date]])</f>
        <v>2016</v>
      </c>
      <c r="C1803" s="3">
        <f>MONTH(SalesData[[#This Row],[Order Date]])</f>
        <v>12</v>
      </c>
      <c r="D1803" t="s">
        <v>47</v>
      </c>
      <c r="E1803" t="s">
        <v>37</v>
      </c>
      <c r="F1803" t="s">
        <v>11</v>
      </c>
      <c r="G1803" t="s">
        <v>35</v>
      </c>
      <c r="H1803" t="s">
        <v>36</v>
      </c>
      <c r="I1803" s="2">
        <v>3586.35</v>
      </c>
      <c r="J1803" s="3">
        <v>4</v>
      </c>
      <c r="K1803" s="2">
        <v>394.12</v>
      </c>
    </row>
    <row r="1804" spans="1:11" x14ac:dyDescent="0.25">
      <c r="A1804" s="4">
        <v>42722</v>
      </c>
      <c r="B1804" s="3">
        <f>YEAR(SalesData[[#This Row],[Order Date]])</f>
        <v>2016</v>
      </c>
      <c r="C1804" s="3">
        <f>MONTH(SalesData[[#This Row],[Order Date]])</f>
        <v>12</v>
      </c>
      <c r="D1804" t="s">
        <v>55</v>
      </c>
      <c r="E1804" t="s">
        <v>40</v>
      </c>
      <c r="F1804" t="s">
        <v>27</v>
      </c>
      <c r="G1804" t="s">
        <v>32</v>
      </c>
      <c r="H1804" t="s">
        <v>53</v>
      </c>
      <c r="I1804" s="2">
        <v>58.37</v>
      </c>
      <c r="J1804" s="3">
        <v>2</v>
      </c>
      <c r="K1804" s="2">
        <v>15.82</v>
      </c>
    </row>
    <row r="1805" spans="1:11" x14ac:dyDescent="0.25">
      <c r="A1805" s="4">
        <v>42723</v>
      </c>
      <c r="B1805" s="3">
        <f>YEAR(SalesData[[#This Row],[Order Date]])</f>
        <v>2016</v>
      </c>
      <c r="C1805" s="3">
        <f>MONTH(SalesData[[#This Row],[Order Date]])</f>
        <v>12</v>
      </c>
      <c r="D1805" t="s">
        <v>62</v>
      </c>
      <c r="E1805" t="s">
        <v>52</v>
      </c>
      <c r="F1805" t="s">
        <v>11</v>
      </c>
      <c r="G1805" t="s">
        <v>24</v>
      </c>
      <c r="H1805" t="s">
        <v>25</v>
      </c>
      <c r="I1805" s="2">
        <v>89.82</v>
      </c>
      <c r="J1805" s="3">
        <v>8</v>
      </c>
      <c r="K1805" s="2">
        <v>6.18</v>
      </c>
    </row>
    <row r="1806" spans="1:11" x14ac:dyDescent="0.25">
      <c r="A1806" s="4">
        <v>42724</v>
      </c>
      <c r="B1806" s="3">
        <f>YEAR(SalesData[[#This Row],[Order Date]])</f>
        <v>2016</v>
      </c>
      <c r="C1806" s="3">
        <f>MONTH(SalesData[[#This Row],[Order Date]])</f>
        <v>12</v>
      </c>
      <c r="D1806" t="s">
        <v>43</v>
      </c>
      <c r="E1806" t="s">
        <v>37</v>
      </c>
      <c r="F1806" t="s">
        <v>11</v>
      </c>
      <c r="G1806" t="s">
        <v>35</v>
      </c>
      <c r="H1806" t="s">
        <v>70</v>
      </c>
      <c r="I1806" s="2">
        <v>4551.1099999999997</v>
      </c>
      <c r="J1806" s="3">
        <v>7</v>
      </c>
      <c r="K1806" s="2">
        <v>1244.52</v>
      </c>
    </row>
    <row r="1807" spans="1:11" x14ac:dyDescent="0.25">
      <c r="A1807" s="4">
        <v>42724</v>
      </c>
      <c r="B1807" s="3">
        <f>YEAR(SalesData[[#This Row],[Order Date]])</f>
        <v>2016</v>
      </c>
      <c r="C1807" s="3">
        <f>MONTH(SalesData[[#This Row],[Order Date]])</f>
        <v>12</v>
      </c>
      <c r="D1807" t="s">
        <v>68</v>
      </c>
      <c r="E1807" t="s">
        <v>40</v>
      </c>
      <c r="F1807" t="s">
        <v>27</v>
      </c>
      <c r="G1807" t="s">
        <v>48</v>
      </c>
      <c r="H1807" t="s">
        <v>57</v>
      </c>
      <c r="I1807" s="2">
        <v>189.41</v>
      </c>
      <c r="J1807" s="3">
        <v>5</v>
      </c>
      <c r="K1807" s="2">
        <v>23.18</v>
      </c>
    </row>
    <row r="1808" spans="1:11" x14ac:dyDescent="0.25">
      <c r="A1808" s="4">
        <v>42725</v>
      </c>
      <c r="B1808" s="3">
        <f>YEAR(SalesData[[#This Row],[Order Date]])</f>
        <v>2016</v>
      </c>
      <c r="C1808" s="3">
        <f>MONTH(SalesData[[#This Row],[Order Date]])</f>
        <v>12</v>
      </c>
      <c r="D1808" t="s">
        <v>30</v>
      </c>
      <c r="E1808" t="s">
        <v>52</v>
      </c>
      <c r="F1808" t="s">
        <v>11</v>
      </c>
      <c r="G1808" t="s">
        <v>12</v>
      </c>
      <c r="H1808" t="s">
        <v>65</v>
      </c>
      <c r="I1808" s="2">
        <v>3484</v>
      </c>
      <c r="J1808" s="3">
        <v>2</v>
      </c>
      <c r="K1808" s="2">
        <v>64.34</v>
      </c>
    </row>
    <row r="1809" spans="1:11" x14ac:dyDescent="0.25">
      <c r="A1809" s="4">
        <v>42725</v>
      </c>
      <c r="B1809" s="3">
        <f>YEAR(SalesData[[#This Row],[Order Date]])</f>
        <v>2016</v>
      </c>
      <c r="C1809" s="3">
        <f>MONTH(SalesData[[#This Row],[Order Date]])</f>
        <v>12</v>
      </c>
      <c r="D1809" t="s">
        <v>43</v>
      </c>
      <c r="E1809" t="s">
        <v>26</v>
      </c>
      <c r="F1809" t="s">
        <v>27</v>
      </c>
      <c r="G1809" t="s">
        <v>32</v>
      </c>
      <c r="H1809" t="s">
        <v>33</v>
      </c>
      <c r="I1809" s="2">
        <v>3466.52</v>
      </c>
      <c r="J1809" s="3">
        <v>7</v>
      </c>
      <c r="K1809" s="2">
        <v>289.47000000000003</v>
      </c>
    </row>
    <row r="1810" spans="1:11" x14ac:dyDescent="0.25">
      <c r="A1810" s="4">
        <v>42726</v>
      </c>
      <c r="B1810" s="3">
        <f>YEAR(SalesData[[#This Row],[Order Date]])</f>
        <v>2016</v>
      </c>
      <c r="C1810" s="3">
        <f>MONTH(SalesData[[#This Row],[Order Date]])</f>
        <v>12</v>
      </c>
      <c r="D1810" t="s">
        <v>62</v>
      </c>
      <c r="E1810" t="s">
        <v>19</v>
      </c>
      <c r="F1810" t="s">
        <v>27</v>
      </c>
      <c r="G1810" t="s">
        <v>32</v>
      </c>
      <c r="H1810" t="s">
        <v>33</v>
      </c>
      <c r="I1810" s="2">
        <v>180.19</v>
      </c>
      <c r="J1810" s="3">
        <v>4</v>
      </c>
      <c r="K1810" s="2">
        <v>35.06</v>
      </c>
    </row>
    <row r="1811" spans="1:11" x14ac:dyDescent="0.25">
      <c r="A1811" s="4">
        <v>42726</v>
      </c>
      <c r="B1811" s="3">
        <f>YEAR(SalesData[[#This Row],[Order Date]])</f>
        <v>2016</v>
      </c>
      <c r="C1811" s="3">
        <f>MONTH(SalesData[[#This Row],[Order Date]])</f>
        <v>12</v>
      </c>
      <c r="D1811" t="s">
        <v>18</v>
      </c>
      <c r="E1811" t="s">
        <v>10</v>
      </c>
      <c r="F1811" t="s">
        <v>27</v>
      </c>
      <c r="G1811" t="s">
        <v>32</v>
      </c>
      <c r="H1811" t="s">
        <v>53</v>
      </c>
      <c r="I1811" s="2">
        <v>2322.4899999999998</v>
      </c>
      <c r="J1811" s="3">
        <v>9</v>
      </c>
      <c r="K1811" s="2">
        <v>347.72</v>
      </c>
    </row>
    <row r="1812" spans="1:11" x14ac:dyDescent="0.25">
      <c r="A1812" s="4">
        <v>42726</v>
      </c>
      <c r="B1812" s="3">
        <f>YEAR(SalesData[[#This Row],[Order Date]])</f>
        <v>2016</v>
      </c>
      <c r="C1812" s="3">
        <f>MONTH(SalesData[[#This Row],[Order Date]])</f>
        <v>12</v>
      </c>
      <c r="D1812" t="s">
        <v>50</v>
      </c>
      <c r="E1812" t="s">
        <v>60</v>
      </c>
      <c r="F1812" t="s">
        <v>15</v>
      </c>
      <c r="G1812" t="s">
        <v>63</v>
      </c>
      <c r="H1812" t="s">
        <v>66</v>
      </c>
      <c r="I1812" s="2">
        <v>3055.24</v>
      </c>
      <c r="J1812" s="3">
        <v>10</v>
      </c>
      <c r="K1812" s="2">
        <v>370.76</v>
      </c>
    </row>
    <row r="1813" spans="1:11" x14ac:dyDescent="0.25">
      <c r="A1813" s="4">
        <v>42726</v>
      </c>
      <c r="B1813" s="3">
        <f>YEAR(SalesData[[#This Row],[Order Date]])</f>
        <v>2016</v>
      </c>
      <c r="C1813" s="3">
        <f>MONTH(SalesData[[#This Row],[Order Date]])</f>
        <v>12</v>
      </c>
      <c r="D1813" t="s">
        <v>20</v>
      </c>
      <c r="E1813" t="s">
        <v>52</v>
      </c>
      <c r="F1813" t="s">
        <v>27</v>
      </c>
      <c r="G1813" t="s">
        <v>28</v>
      </c>
      <c r="H1813" t="s">
        <v>58</v>
      </c>
      <c r="I1813" s="2">
        <v>4298.5</v>
      </c>
      <c r="J1813" s="3">
        <v>7</v>
      </c>
      <c r="K1813" s="2">
        <v>691.18</v>
      </c>
    </row>
    <row r="1814" spans="1:11" x14ac:dyDescent="0.25">
      <c r="A1814" s="4">
        <v>42727</v>
      </c>
      <c r="B1814" s="3">
        <f>YEAR(SalesData[[#This Row],[Order Date]])</f>
        <v>2016</v>
      </c>
      <c r="C1814" s="3">
        <f>MONTH(SalesData[[#This Row],[Order Date]])</f>
        <v>12</v>
      </c>
      <c r="D1814" t="s">
        <v>47</v>
      </c>
      <c r="E1814" t="s">
        <v>52</v>
      </c>
      <c r="F1814" t="s">
        <v>27</v>
      </c>
      <c r="G1814" t="s">
        <v>32</v>
      </c>
      <c r="H1814" t="s">
        <v>33</v>
      </c>
      <c r="I1814" s="2">
        <v>1337.52</v>
      </c>
      <c r="J1814" s="3">
        <v>6</v>
      </c>
      <c r="K1814" s="2">
        <v>27.94</v>
      </c>
    </row>
    <row r="1815" spans="1:11" x14ac:dyDescent="0.25">
      <c r="A1815" s="4">
        <v>42728</v>
      </c>
      <c r="B1815" s="3">
        <f>YEAR(SalesData[[#This Row],[Order Date]])</f>
        <v>2016</v>
      </c>
      <c r="C1815" s="3">
        <f>MONTH(SalesData[[#This Row],[Order Date]])</f>
        <v>12</v>
      </c>
      <c r="D1815" t="s">
        <v>18</v>
      </c>
      <c r="E1815" t="s">
        <v>19</v>
      </c>
      <c r="F1815" t="s">
        <v>27</v>
      </c>
      <c r="G1815" t="s">
        <v>28</v>
      </c>
      <c r="H1815" t="s">
        <v>58</v>
      </c>
      <c r="I1815" s="2">
        <v>882.67</v>
      </c>
      <c r="J1815" s="3">
        <v>4</v>
      </c>
      <c r="K1815" s="2">
        <v>215.78</v>
      </c>
    </row>
    <row r="1816" spans="1:11" x14ac:dyDescent="0.25">
      <c r="A1816" s="4">
        <v>42729</v>
      </c>
      <c r="B1816" s="3">
        <f>YEAR(SalesData[[#This Row],[Order Date]])</f>
        <v>2016</v>
      </c>
      <c r="C1816" s="3">
        <f>MONTH(SalesData[[#This Row],[Order Date]])</f>
        <v>12</v>
      </c>
      <c r="D1816" t="s">
        <v>20</v>
      </c>
      <c r="E1816" t="s">
        <v>52</v>
      </c>
      <c r="F1816" t="s">
        <v>15</v>
      </c>
      <c r="G1816" t="s">
        <v>38</v>
      </c>
      <c r="H1816" t="s">
        <v>39</v>
      </c>
      <c r="I1816" s="2">
        <v>4067.05</v>
      </c>
      <c r="J1816" s="3">
        <v>7</v>
      </c>
      <c r="K1816" s="2">
        <v>213.67</v>
      </c>
    </row>
    <row r="1817" spans="1:11" x14ac:dyDescent="0.25">
      <c r="A1817" s="4">
        <v>42730</v>
      </c>
      <c r="B1817" s="3">
        <f>YEAR(SalesData[[#This Row],[Order Date]])</f>
        <v>2016</v>
      </c>
      <c r="C1817" s="3">
        <f>MONTH(SalesData[[#This Row],[Order Date]])</f>
        <v>12</v>
      </c>
      <c r="D1817" t="s">
        <v>50</v>
      </c>
      <c r="E1817" t="s">
        <v>26</v>
      </c>
      <c r="F1817" t="s">
        <v>27</v>
      </c>
      <c r="G1817" t="s">
        <v>28</v>
      </c>
      <c r="H1817" t="s">
        <v>58</v>
      </c>
      <c r="I1817" s="2">
        <v>3337.58</v>
      </c>
      <c r="J1817" s="3">
        <v>7</v>
      </c>
      <c r="K1817" s="2">
        <v>955.77</v>
      </c>
    </row>
    <row r="1818" spans="1:11" x14ac:dyDescent="0.25">
      <c r="A1818" s="4">
        <v>42731</v>
      </c>
      <c r="B1818" s="3">
        <f>YEAR(SalesData[[#This Row],[Order Date]])</f>
        <v>2016</v>
      </c>
      <c r="C1818" s="3">
        <f>MONTH(SalesData[[#This Row],[Order Date]])</f>
        <v>12</v>
      </c>
      <c r="D1818" t="s">
        <v>50</v>
      </c>
      <c r="E1818" t="s">
        <v>26</v>
      </c>
      <c r="F1818" t="s">
        <v>15</v>
      </c>
      <c r="G1818" t="s">
        <v>38</v>
      </c>
      <c r="H1818" t="s">
        <v>39</v>
      </c>
      <c r="I1818" s="2">
        <v>110.28</v>
      </c>
      <c r="J1818" s="3">
        <v>10</v>
      </c>
      <c r="K1818" s="2">
        <v>18.12</v>
      </c>
    </row>
    <row r="1819" spans="1:11" x14ac:dyDescent="0.25">
      <c r="A1819" s="4">
        <v>42732</v>
      </c>
      <c r="B1819" s="3">
        <f>YEAR(SalesData[[#This Row],[Order Date]])</f>
        <v>2016</v>
      </c>
      <c r="C1819" s="3">
        <f>MONTH(SalesData[[#This Row],[Order Date]])</f>
        <v>12</v>
      </c>
      <c r="D1819" t="s">
        <v>20</v>
      </c>
      <c r="E1819" t="s">
        <v>34</v>
      </c>
      <c r="F1819" t="s">
        <v>15</v>
      </c>
      <c r="G1819" t="s">
        <v>38</v>
      </c>
      <c r="H1819" t="s">
        <v>39</v>
      </c>
      <c r="I1819" s="2">
        <v>1596.93</v>
      </c>
      <c r="J1819" s="3">
        <v>7</v>
      </c>
      <c r="K1819" s="2">
        <v>87.97</v>
      </c>
    </row>
    <row r="1820" spans="1:11" x14ac:dyDescent="0.25">
      <c r="A1820" s="4">
        <v>42732</v>
      </c>
      <c r="B1820" s="3">
        <f>YEAR(SalesData[[#This Row],[Order Date]])</f>
        <v>2016</v>
      </c>
      <c r="C1820" s="3">
        <f>MONTH(SalesData[[#This Row],[Order Date]])</f>
        <v>12</v>
      </c>
      <c r="D1820" t="s">
        <v>30</v>
      </c>
      <c r="E1820" t="s">
        <v>19</v>
      </c>
      <c r="F1820" t="s">
        <v>11</v>
      </c>
      <c r="G1820" t="s">
        <v>35</v>
      </c>
      <c r="H1820" t="s">
        <v>71</v>
      </c>
      <c r="I1820" s="2">
        <v>2228.8200000000002</v>
      </c>
      <c r="J1820" s="3">
        <v>5</v>
      </c>
      <c r="K1820" s="2">
        <v>386.28</v>
      </c>
    </row>
    <row r="1821" spans="1:11" x14ac:dyDescent="0.25">
      <c r="A1821" s="4">
        <v>42733</v>
      </c>
      <c r="B1821" s="3">
        <f>YEAR(SalesData[[#This Row],[Order Date]])</f>
        <v>2016</v>
      </c>
      <c r="C1821" s="3">
        <f>MONTH(SalesData[[#This Row],[Order Date]])</f>
        <v>12</v>
      </c>
      <c r="D1821" t="s">
        <v>30</v>
      </c>
      <c r="E1821" t="s">
        <v>34</v>
      </c>
      <c r="F1821" t="s">
        <v>27</v>
      </c>
      <c r="G1821" t="s">
        <v>28</v>
      </c>
      <c r="H1821" t="s">
        <v>29</v>
      </c>
      <c r="I1821" s="2">
        <v>1625.09</v>
      </c>
      <c r="J1821" s="3">
        <v>2</v>
      </c>
      <c r="K1821" s="2">
        <v>486.92</v>
      </c>
    </row>
    <row r="1822" spans="1:11" x14ac:dyDescent="0.25">
      <c r="A1822" s="4">
        <v>42734</v>
      </c>
      <c r="B1822" s="3">
        <f>YEAR(SalesData[[#This Row],[Order Date]])</f>
        <v>2016</v>
      </c>
      <c r="C1822" s="3">
        <f>MONTH(SalesData[[#This Row],[Order Date]])</f>
        <v>12</v>
      </c>
      <c r="D1822" t="s">
        <v>23</v>
      </c>
      <c r="E1822" t="s">
        <v>10</v>
      </c>
      <c r="F1822" t="s">
        <v>11</v>
      </c>
      <c r="G1822" t="s">
        <v>12</v>
      </c>
      <c r="H1822" t="s">
        <v>13</v>
      </c>
      <c r="I1822" s="2">
        <v>3199.65</v>
      </c>
      <c r="J1822" s="3">
        <v>6</v>
      </c>
      <c r="K1822" s="2">
        <v>429.19</v>
      </c>
    </row>
    <row r="1823" spans="1:11" x14ac:dyDescent="0.25">
      <c r="A1823" s="4">
        <v>42735</v>
      </c>
      <c r="B1823" s="3">
        <f>YEAR(SalesData[[#This Row],[Order Date]])</f>
        <v>2016</v>
      </c>
      <c r="C1823" s="3">
        <f>MONTH(SalesData[[#This Row],[Order Date]])</f>
        <v>12</v>
      </c>
      <c r="D1823" t="s">
        <v>30</v>
      </c>
      <c r="E1823" t="s">
        <v>19</v>
      </c>
      <c r="F1823" t="s">
        <v>15</v>
      </c>
      <c r="G1823" t="s">
        <v>16</v>
      </c>
      <c r="H1823" t="s">
        <v>51</v>
      </c>
      <c r="I1823" s="2">
        <v>3453.15</v>
      </c>
      <c r="J1823" s="3">
        <v>9</v>
      </c>
      <c r="K1823" s="2">
        <v>590.14</v>
      </c>
    </row>
    <row r="1824" spans="1:11" x14ac:dyDescent="0.25">
      <c r="A1824" s="4">
        <v>42735</v>
      </c>
      <c r="B1824" s="3">
        <f>YEAR(SalesData[[#This Row],[Order Date]])</f>
        <v>2016</v>
      </c>
      <c r="C1824" s="3">
        <f>MONTH(SalesData[[#This Row],[Order Date]])</f>
        <v>12</v>
      </c>
      <c r="D1824" t="s">
        <v>9</v>
      </c>
      <c r="E1824" t="s">
        <v>52</v>
      </c>
      <c r="F1824" t="s">
        <v>27</v>
      </c>
      <c r="G1824" t="s">
        <v>28</v>
      </c>
      <c r="H1824" t="s">
        <v>69</v>
      </c>
      <c r="I1824" s="2">
        <v>2831.26</v>
      </c>
      <c r="J1824" s="3">
        <v>3</v>
      </c>
      <c r="K1824" s="2">
        <v>432.48</v>
      </c>
    </row>
    <row r="1825" spans="1:11" x14ac:dyDescent="0.25">
      <c r="A1825" s="4">
        <v>42736</v>
      </c>
      <c r="B1825" s="3">
        <f>YEAR(SalesData[[#This Row],[Order Date]])</f>
        <v>2017</v>
      </c>
      <c r="C1825" s="3">
        <f>MONTH(SalesData[[#This Row],[Order Date]])</f>
        <v>1</v>
      </c>
      <c r="D1825" t="s">
        <v>55</v>
      </c>
      <c r="E1825" t="s">
        <v>19</v>
      </c>
      <c r="F1825" t="s">
        <v>11</v>
      </c>
      <c r="G1825" t="s">
        <v>35</v>
      </c>
      <c r="H1825" t="s">
        <v>71</v>
      </c>
      <c r="I1825" s="2">
        <v>951.08</v>
      </c>
      <c r="J1825" s="3">
        <v>7</v>
      </c>
      <c r="K1825" s="2">
        <v>219.28</v>
      </c>
    </row>
    <row r="1826" spans="1:11" x14ac:dyDescent="0.25">
      <c r="A1826" s="4">
        <v>42736</v>
      </c>
      <c r="B1826" s="3">
        <f>YEAR(SalesData[[#This Row],[Order Date]])</f>
        <v>2017</v>
      </c>
      <c r="C1826" s="3">
        <f>MONTH(SalesData[[#This Row],[Order Date]])</f>
        <v>1</v>
      </c>
      <c r="D1826" t="s">
        <v>68</v>
      </c>
      <c r="E1826" t="s">
        <v>10</v>
      </c>
      <c r="F1826" t="s">
        <v>27</v>
      </c>
      <c r="G1826" t="s">
        <v>28</v>
      </c>
      <c r="H1826" t="s">
        <v>29</v>
      </c>
      <c r="I1826" s="2">
        <v>3828.99</v>
      </c>
      <c r="J1826" s="3">
        <v>5</v>
      </c>
      <c r="K1826" s="2">
        <v>48.29</v>
      </c>
    </row>
    <row r="1827" spans="1:11" x14ac:dyDescent="0.25">
      <c r="A1827" s="4">
        <v>42737</v>
      </c>
      <c r="B1827" s="3">
        <f>YEAR(SalesData[[#This Row],[Order Date]])</f>
        <v>2017</v>
      </c>
      <c r="C1827" s="3">
        <f>MONTH(SalesData[[#This Row],[Order Date]])</f>
        <v>1</v>
      </c>
      <c r="D1827" t="s">
        <v>23</v>
      </c>
      <c r="E1827" t="s">
        <v>19</v>
      </c>
      <c r="F1827" t="s">
        <v>11</v>
      </c>
      <c r="G1827" t="s">
        <v>12</v>
      </c>
      <c r="H1827" t="s">
        <v>13</v>
      </c>
      <c r="I1827" s="2">
        <v>4587.03</v>
      </c>
      <c r="J1827" s="3">
        <v>10</v>
      </c>
      <c r="K1827" s="2">
        <v>632.15</v>
      </c>
    </row>
    <row r="1828" spans="1:11" x14ac:dyDescent="0.25">
      <c r="A1828" s="4">
        <v>42738</v>
      </c>
      <c r="B1828" s="3">
        <f>YEAR(SalesData[[#This Row],[Order Date]])</f>
        <v>2017</v>
      </c>
      <c r="C1828" s="3">
        <f>MONTH(SalesData[[#This Row],[Order Date]])</f>
        <v>1</v>
      </c>
      <c r="D1828" t="s">
        <v>55</v>
      </c>
      <c r="E1828" t="s">
        <v>60</v>
      </c>
      <c r="F1828" t="s">
        <v>27</v>
      </c>
      <c r="G1828" t="s">
        <v>48</v>
      </c>
      <c r="H1828" t="s">
        <v>49</v>
      </c>
      <c r="I1828" s="2">
        <v>649.42999999999995</v>
      </c>
      <c r="J1828" s="3">
        <v>4</v>
      </c>
      <c r="K1828" s="2">
        <v>175.06</v>
      </c>
    </row>
    <row r="1829" spans="1:11" x14ac:dyDescent="0.25">
      <c r="A1829" s="4">
        <v>42738</v>
      </c>
      <c r="B1829" s="3">
        <f>YEAR(SalesData[[#This Row],[Order Date]])</f>
        <v>2017</v>
      </c>
      <c r="C1829" s="3">
        <f>MONTH(SalesData[[#This Row],[Order Date]])</f>
        <v>1</v>
      </c>
      <c r="D1829" t="s">
        <v>62</v>
      </c>
      <c r="E1829" t="s">
        <v>10</v>
      </c>
      <c r="F1829" t="s">
        <v>11</v>
      </c>
      <c r="G1829" t="s">
        <v>24</v>
      </c>
      <c r="H1829" t="s">
        <v>25</v>
      </c>
      <c r="I1829" s="2">
        <v>4053.91</v>
      </c>
      <c r="J1829" s="3">
        <v>2</v>
      </c>
      <c r="K1829" s="2">
        <v>1161.47</v>
      </c>
    </row>
    <row r="1830" spans="1:11" x14ac:dyDescent="0.25">
      <c r="A1830" s="4">
        <v>42738</v>
      </c>
      <c r="B1830" s="3">
        <f>YEAR(SalesData[[#This Row],[Order Date]])</f>
        <v>2017</v>
      </c>
      <c r="C1830" s="3">
        <f>MONTH(SalesData[[#This Row],[Order Date]])</f>
        <v>1</v>
      </c>
      <c r="D1830" t="s">
        <v>18</v>
      </c>
      <c r="E1830" t="s">
        <v>37</v>
      </c>
      <c r="F1830" t="s">
        <v>11</v>
      </c>
      <c r="G1830" t="s">
        <v>21</v>
      </c>
      <c r="H1830" t="s">
        <v>22</v>
      </c>
      <c r="I1830" s="2">
        <v>3152.11</v>
      </c>
      <c r="J1830" s="3">
        <v>7</v>
      </c>
      <c r="K1830" s="2">
        <v>46.87</v>
      </c>
    </row>
    <row r="1831" spans="1:11" x14ac:dyDescent="0.25">
      <c r="A1831" s="4">
        <v>42738</v>
      </c>
      <c r="B1831" s="3">
        <f>YEAR(SalesData[[#This Row],[Order Date]])</f>
        <v>2017</v>
      </c>
      <c r="C1831" s="3">
        <f>MONTH(SalesData[[#This Row],[Order Date]])</f>
        <v>1</v>
      </c>
      <c r="D1831" t="s">
        <v>50</v>
      </c>
      <c r="E1831" t="s">
        <v>19</v>
      </c>
      <c r="F1831" t="s">
        <v>27</v>
      </c>
      <c r="G1831" t="s">
        <v>32</v>
      </c>
      <c r="H1831" t="s">
        <v>33</v>
      </c>
      <c r="I1831" s="2">
        <v>99.03</v>
      </c>
      <c r="J1831" s="3">
        <v>3</v>
      </c>
      <c r="K1831" s="2">
        <v>19.2</v>
      </c>
    </row>
    <row r="1832" spans="1:11" x14ac:dyDescent="0.25">
      <c r="A1832" s="4">
        <v>42739</v>
      </c>
      <c r="B1832" s="3">
        <f>YEAR(SalesData[[#This Row],[Order Date]])</f>
        <v>2017</v>
      </c>
      <c r="C1832" s="3">
        <f>MONTH(SalesData[[#This Row],[Order Date]])</f>
        <v>1</v>
      </c>
      <c r="D1832" t="s">
        <v>68</v>
      </c>
      <c r="E1832" t="s">
        <v>31</v>
      </c>
      <c r="F1832" t="s">
        <v>11</v>
      </c>
      <c r="G1832" t="s">
        <v>21</v>
      </c>
      <c r="H1832" t="s">
        <v>22</v>
      </c>
      <c r="I1832" s="2">
        <v>551.58000000000004</v>
      </c>
      <c r="J1832" s="3">
        <v>6</v>
      </c>
      <c r="K1832" s="2">
        <v>35.19</v>
      </c>
    </row>
    <row r="1833" spans="1:11" x14ac:dyDescent="0.25">
      <c r="A1833" s="4">
        <v>42740</v>
      </c>
      <c r="B1833" s="3">
        <f>YEAR(SalesData[[#This Row],[Order Date]])</f>
        <v>2017</v>
      </c>
      <c r="C1833" s="3">
        <f>MONTH(SalesData[[#This Row],[Order Date]])</f>
        <v>1</v>
      </c>
      <c r="D1833" t="s">
        <v>47</v>
      </c>
      <c r="E1833" t="s">
        <v>26</v>
      </c>
      <c r="F1833" t="s">
        <v>11</v>
      </c>
      <c r="G1833" t="s">
        <v>24</v>
      </c>
      <c r="H1833" t="s">
        <v>25</v>
      </c>
      <c r="I1833" s="2">
        <v>4442.2700000000004</v>
      </c>
      <c r="J1833" s="3">
        <v>7</v>
      </c>
      <c r="K1833" s="2">
        <v>1308.18</v>
      </c>
    </row>
    <row r="1834" spans="1:11" x14ac:dyDescent="0.25">
      <c r="A1834" s="4">
        <v>42740</v>
      </c>
      <c r="B1834" s="3">
        <f>YEAR(SalesData[[#This Row],[Order Date]])</f>
        <v>2017</v>
      </c>
      <c r="C1834" s="3">
        <f>MONTH(SalesData[[#This Row],[Order Date]])</f>
        <v>1</v>
      </c>
      <c r="D1834" t="s">
        <v>43</v>
      </c>
      <c r="E1834" t="s">
        <v>40</v>
      </c>
      <c r="F1834" t="s">
        <v>27</v>
      </c>
      <c r="G1834" t="s">
        <v>28</v>
      </c>
      <c r="H1834" t="s">
        <v>29</v>
      </c>
      <c r="I1834" s="2">
        <v>2958.16</v>
      </c>
      <c r="J1834" s="3">
        <v>5</v>
      </c>
      <c r="K1834" s="2">
        <v>275.05</v>
      </c>
    </row>
    <row r="1835" spans="1:11" x14ac:dyDescent="0.25">
      <c r="A1835" s="4">
        <v>42740</v>
      </c>
      <c r="B1835" s="3">
        <f>YEAR(SalesData[[#This Row],[Order Date]])</f>
        <v>2017</v>
      </c>
      <c r="C1835" s="3">
        <f>MONTH(SalesData[[#This Row],[Order Date]])</f>
        <v>1</v>
      </c>
      <c r="D1835" t="s">
        <v>18</v>
      </c>
      <c r="E1835" t="s">
        <v>37</v>
      </c>
      <c r="F1835" t="s">
        <v>11</v>
      </c>
      <c r="G1835" t="s">
        <v>24</v>
      </c>
      <c r="H1835" t="s">
        <v>54</v>
      </c>
      <c r="I1835" s="2">
        <v>130.69999999999999</v>
      </c>
      <c r="J1835" s="3">
        <v>6</v>
      </c>
      <c r="K1835" s="2">
        <v>7.47</v>
      </c>
    </row>
    <row r="1836" spans="1:11" x14ac:dyDescent="0.25">
      <c r="A1836" s="4">
        <v>42740</v>
      </c>
      <c r="B1836" s="3">
        <f>YEAR(SalesData[[#This Row],[Order Date]])</f>
        <v>2017</v>
      </c>
      <c r="C1836" s="3">
        <f>MONTH(SalesData[[#This Row],[Order Date]])</f>
        <v>1</v>
      </c>
      <c r="D1836" t="s">
        <v>9</v>
      </c>
      <c r="E1836" t="s">
        <v>31</v>
      </c>
      <c r="F1836" t="s">
        <v>27</v>
      </c>
      <c r="G1836" t="s">
        <v>32</v>
      </c>
      <c r="H1836" t="s">
        <v>53</v>
      </c>
      <c r="I1836" s="2">
        <v>205.57</v>
      </c>
      <c r="J1836" s="3">
        <v>6</v>
      </c>
      <c r="K1836" s="2">
        <v>59.5</v>
      </c>
    </row>
    <row r="1837" spans="1:11" x14ac:dyDescent="0.25">
      <c r="A1837" s="4">
        <v>42741</v>
      </c>
      <c r="B1837" s="3">
        <f>YEAR(SalesData[[#This Row],[Order Date]])</f>
        <v>2017</v>
      </c>
      <c r="C1837" s="3">
        <f>MONTH(SalesData[[#This Row],[Order Date]])</f>
        <v>1</v>
      </c>
      <c r="D1837" t="s">
        <v>68</v>
      </c>
      <c r="E1837" t="s">
        <v>34</v>
      </c>
      <c r="F1837" t="s">
        <v>27</v>
      </c>
      <c r="G1837" t="s">
        <v>28</v>
      </c>
      <c r="H1837" t="s">
        <v>69</v>
      </c>
      <c r="I1837" s="2">
        <v>4524.05</v>
      </c>
      <c r="J1837" s="3">
        <v>9</v>
      </c>
      <c r="K1837" s="2">
        <v>536.55999999999995</v>
      </c>
    </row>
    <row r="1838" spans="1:11" x14ac:dyDescent="0.25">
      <c r="A1838" s="4">
        <v>42741</v>
      </c>
      <c r="B1838" s="3">
        <f>YEAR(SalesData[[#This Row],[Order Date]])</f>
        <v>2017</v>
      </c>
      <c r="C1838" s="3">
        <f>MONTH(SalesData[[#This Row],[Order Date]])</f>
        <v>1</v>
      </c>
      <c r="D1838" t="s">
        <v>50</v>
      </c>
      <c r="E1838" t="s">
        <v>10</v>
      </c>
      <c r="F1838" t="s">
        <v>11</v>
      </c>
      <c r="G1838" t="s">
        <v>35</v>
      </c>
      <c r="H1838" t="s">
        <v>71</v>
      </c>
      <c r="I1838" s="2">
        <v>1115.76</v>
      </c>
      <c r="J1838" s="3">
        <v>4</v>
      </c>
      <c r="K1838" s="2">
        <v>275.37</v>
      </c>
    </row>
    <row r="1839" spans="1:11" x14ac:dyDescent="0.25">
      <c r="A1839" s="4">
        <v>42743</v>
      </c>
      <c r="B1839" s="3">
        <f>YEAR(SalesData[[#This Row],[Order Date]])</f>
        <v>2017</v>
      </c>
      <c r="C1839" s="3">
        <f>MONTH(SalesData[[#This Row],[Order Date]])</f>
        <v>1</v>
      </c>
      <c r="D1839" t="s">
        <v>55</v>
      </c>
      <c r="E1839" t="s">
        <v>26</v>
      </c>
      <c r="F1839" t="s">
        <v>27</v>
      </c>
      <c r="G1839" t="s">
        <v>48</v>
      </c>
      <c r="H1839" t="s">
        <v>57</v>
      </c>
      <c r="I1839" s="2">
        <v>2068.8200000000002</v>
      </c>
      <c r="J1839" s="3">
        <v>10</v>
      </c>
      <c r="K1839" s="2">
        <v>254.89</v>
      </c>
    </row>
    <row r="1840" spans="1:11" x14ac:dyDescent="0.25">
      <c r="A1840" s="4">
        <v>42743</v>
      </c>
      <c r="B1840" s="3">
        <f>YEAR(SalesData[[#This Row],[Order Date]])</f>
        <v>2017</v>
      </c>
      <c r="C1840" s="3">
        <f>MONTH(SalesData[[#This Row],[Order Date]])</f>
        <v>1</v>
      </c>
      <c r="D1840" t="s">
        <v>14</v>
      </c>
      <c r="E1840" t="s">
        <v>40</v>
      </c>
      <c r="F1840" t="s">
        <v>27</v>
      </c>
      <c r="G1840" t="s">
        <v>28</v>
      </c>
      <c r="H1840" t="s">
        <v>69</v>
      </c>
      <c r="I1840" s="2">
        <v>1715.3</v>
      </c>
      <c r="J1840" s="3">
        <v>6</v>
      </c>
      <c r="K1840" s="2">
        <v>392.45</v>
      </c>
    </row>
    <row r="1841" spans="1:11" x14ac:dyDescent="0.25">
      <c r="A1841" s="4">
        <v>42744</v>
      </c>
      <c r="B1841" s="3">
        <f>YEAR(SalesData[[#This Row],[Order Date]])</f>
        <v>2017</v>
      </c>
      <c r="C1841" s="3">
        <f>MONTH(SalesData[[#This Row],[Order Date]])</f>
        <v>1</v>
      </c>
      <c r="D1841" t="s">
        <v>47</v>
      </c>
      <c r="E1841" t="s">
        <v>34</v>
      </c>
      <c r="F1841" t="s">
        <v>11</v>
      </c>
      <c r="G1841" t="s">
        <v>12</v>
      </c>
      <c r="H1841" t="s">
        <v>65</v>
      </c>
      <c r="I1841" s="2">
        <v>4899.21</v>
      </c>
      <c r="J1841" s="3">
        <v>7</v>
      </c>
      <c r="K1841" s="2">
        <v>458.21</v>
      </c>
    </row>
    <row r="1842" spans="1:11" x14ac:dyDescent="0.25">
      <c r="A1842" s="4">
        <v>42746</v>
      </c>
      <c r="B1842" s="3">
        <f>YEAR(SalesData[[#This Row],[Order Date]])</f>
        <v>2017</v>
      </c>
      <c r="C1842" s="3">
        <f>MONTH(SalesData[[#This Row],[Order Date]])</f>
        <v>1</v>
      </c>
      <c r="D1842" t="s">
        <v>18</v>
      </c>
      <c r="E1842" t="s">
        <v>52</v>
      </c>
      <c r="F1842" t="s">
        <v>15</v>
      </c>
      <c r="G1842" t="s">
        <v>38</v>
      </c>
      <c r="H1842" t="s">
        <v>56</v>
      </c>
      <c r="I1842" s="2">
        <v>1335.17</v>
      </c>
      <c r="J1842" s="3">
        <v>4</v>
      </c>
      <c r="K1842" s="2">
        <v>339.47</v>
      </c>
    </row>
    <row r="1843" spans="1:11" x14ac:dyDescent="0.25">
      <c r="A1843" s="4">
        <v>42746</v>
      </c>
      <c r="B1843" s="3">
        <f>YEAR(SalesData[[#This Row],[Order Date]])</f>
        <v>2017</v>
      </c>
      <c r="C1843" s="3">
        <f>MONTH(SalesData[[#This Row],[Order Date]])</f>
        <v>1</v>
      </c>
      <c r="D1843" t="s">
        <v>43</v>
      </c>
      <c r="E1843" t="s">
        <v>44</v>
      </c>
      <c r="F1843" t="s">
        <v>27</v>
      </c>
      <c r="G1843" t="s">
        <v>28</v>
      </c>
      <c r="H1843" t="s">
        <v>58</v>
      </c>
      <c r="I1843" s="2">
        <v>156.97</v>
      </c>
      <c r="J1843" s="3">
        <v>2</v>
      </c>
      <c r="K1843" s="2">
        <v>19.14</v>
      </c>
    </row>
    <row r="1844" spans="1:11" x14ac:dyDescent="0.25">
      <c r="A1844" s="4">
        <v>42746</v>
      </c>
      <c r="B1844" s="3">
        <f>YEAR(SalesData[[#This Row],[Order Date]])</f>
        <v>2017</v>
      </c>
      <c r="C1844" s="3">
        <f>MONTH(SalesData[[#This Row],[Order Date]])</f>
        <v>1</v>
      </c>
      <c r="D1844" t="s">
        <v>30</v>
      </c>
      <c r="E1844" t="s">
        <v>26</v>
      </c>
      <c r="F1844" t="s">
        <v>15</v>
      </c>
      <c r="G1844" t="s">
        <v>41</v>
      </c>
      <c r="H1844" t="s">
        <v>61</v>
      </c>
      <c r="I1844" s="2">
        <v>1852.15</v>
      </c>
      <c r="J1844" s="3">
        <v>3</v>
      </c>
      <c r="K1844" s="2">
        <v>212.7</v>
      </c>
    </row>
    <row r="1845" spans="1:11" x14ac:dyDescent="0.25">
      <c r="A1845" s="4">
        <v>42746</v>
      </c>
      <c r="B1845" s="3">
        <f>YEAR(SalesData[[#This Row],[Order Date]])</f>
        <v>2017</v>
      </c>
      <c r="C1845" s="3">
        <f>MONTH(SalesData[[#This Row],[Order Date]])</f>
        <v>1</v>
      </c>
      <c r="D1845" t="s">
        <v>55</v>
      </c>
      <c r="E1845" t="s">
        <v>10</v>
      </c>
      <c r="F1845" t="s">
        <v>15</v>
      </c>
      <c r="G1845" t="s">
        <v>63</v>
      </c>
      <c r="H1845" t="s">
        <v>64</v>
      </c>
      <c r="I1845" s="2">
        <v>4456.9399999999996</v>
      </c>
      <c r="J1845" s="3">
        <v>8</v>
      </c>
      <c r="K1845" s="2">
        <v>963.59</v>
      </c>
    </row>
    <row r="1846" spans="1:11" x14ac:dyDescent="0.25">
      <c r="A1846" s="4">
        <v>42747</v>
      </c>
      <c r="B1846" s="3">
        <f>YEAR(SalesData[[#This Row],[Order Date]])</f>
        <v>2017</v>
      </c>
      <c r="C1846" s="3">
        <f>MONTH(SalesData[[#This Row],[Order Date]])</f>
        <v>1</v>
      </c>
      <c r="D1846" t="s">
        <v>43</v>
      </c>
      <c r="E1846" t="s">
        <v>34</v>
      </c>
      <c r="F1846" t="s">
        <v>15</v>
      </c>
      <c r="G1846" t="s">
        <v>41</v>
      </c>
      <c r="H1846" t="s">
        <v>42</v>
      </c>
      <c r="I1846" s="2">
        <v>2767.28</v>
      </c>
      <c r="J1846" s="3">
        <v>7</v>
      </c>
      <c r="K1846" s="2">
        <v>655.89</v>
      </c>
    </row>
    <row r="1847" spans="1:11" x14ac:dyDescent="0.25">
      <c r="A1847" s="4">
        <v>42748</v>
      </c>
      <c r="B1847" s="3">
        <f>YEAR(SalesData[[#This Row],[Order Date]])</f>
        <v>2017</v>
      </c>
      <c r="C1847" s="3">
        <f>MONTH(SalesData[[#This Row],[Order Date]])</f>
        <v>1</v>
      </c>
      <c r="D1847" t="s">
        <v>50</v>
      </c>
      <c r="E1847" t="s">
        <v>10</v>
      </c>
      <c r="F1847" t="s">
        <v>11</v>
      </c>
      <c r="G1847" t="s">
        <v>21</v>
      </c>
      <c r="H1847" t="s">
        <v>22</v>
      </c>
      <c r="I1847" s="2">
        <v>1752.44</v>
      </c>
      <c r="J1847" s="3">
        <v>6</v>
      </c>
      <c r="K1847" s="2">
        <v>144.81</v>
      </c>
    </row>
    <row r="1848" spans="1:11" x14ac:dyDescent="0.25">
      <c r="A1848" s="4">
        <v>42749</v>
      </c>
      <c r="B1848" s="3">
        <f>YEAR(SalesData[[#This Row],[Order Date]])</f>
        <v>2017</v>
      </c>
      <c r="C1848" s="3">
        <f>MONTH(SalesData[[#This Row],[Order Date]])</f>
        <v>1</v>
      </c>
      <c r="D1848" t="s">
        <v>9</v>
      </c>
      <c r="E1848" t="s">
        <v>52</v>
      </c>
      <c r="F1848" t="s">
        <v>15</v>
      </c>
      <c r="G1848" t="s">
        <v>41</v>
      </c>
      <c r="H1848" t="s">
        <v>42</v>
      </c>
      <c r="I1848" s="2">
        <v>970.2</v>
      </c>
      <c r="J1848" s="3">
        <v>10</v>
      </c>
      <c r="K1848" s="2">
        <v>244.56</v>
      </c>
    </row>
    <row r="1849" spans="1:11" x14ac:dyDescent="0.25">
      <c r="A1849" s="4">
        <v>42749</v>
      </c>
      <c r="B1849" s="3">
        <f>YEAR(SalesData[[#This Row],[Order Date]])</f>
        <v>2017</v>
      </c>
      <c r="C1849" s="3">
        <f>MONTH(SalesData[[#This Row],[Order Date]])</f>
        <v>1</v>
      </c>
      <c r="D1849" t="s">
        <v>14</v>
      </c>
      <c r="E1849" t="s">
        <v>44</v>
      </c>
      <c r="F1849" t="s">
        <v>11</v>
      </c>
      <c r="G1849" t="s">
        <v>12</v>
      </c>
      <c r="H1849" t="s">
        <v>13</v>
      </c>
      <c r="I1849" s="2">
        <v>3423.57</v>
      </c>
      <c r="J1849" s="3">
        <v>2</v>
      </c>
      <c r="K1849" s="2">
        <v>929.54</v>
      </c>
    </row>
    <row r="1850" spans="1:11" x14ac:dyDescent="0.25">
      <c r="A1850" s="4">
        <v>42749</v>
      </c>
      <c r="B1850" s="3">
        <f>YEAR(SalesData[[#This Row],[Order Date]])</f>
        <v>2017</v>
      </c>
      <c r="C1850" s="3">
        <f>MONTH(SalesData[[#This Row],[Order Date]])</f>
        <v>1</v>
      </c>
      <c r="D1850" t="s">
        <v>55</v>
      </c>
      <c r="E1850" t="s">
        <v>44</v>
      </c>
      <c r="F1850" t="s">
        <v>15</v>
      </c>
      <c r="G1850" t="s">
        <v>45</v>
      </c>
      <c r="H1850" t="s">
        <v>59</v>
      </c>
      <c r="I1850" s="2">
        <v>2412.66</v>
      </c>
      <c r="J1850" s="3">
        <v>10</v>
      </c>
      <c r="K1850" s="2">
        <v>390.91</v>
      </c>
    </row>
    <row r="1851" spans="1:11" x14ac:dyDescent="0.25">
      <c r="A1851" s="4">
        <v>42749</v>
      </c>
      <c r="B1851" s="3">
        <f>YEAR(SalesData[[#This Row],[Order Date]])</f>
        <v>2017</v>
      </c>
      <c r="C1851" s="3">
        <f>MONTH(SalesData[[#This Row],[Order Date]])</f>
        <v>1</v>
      </c>
      <c r="D1851" t="s">
        <v>9</v>
      </c>
      <c r="E1851" t="s">
        <v>10</v>
      </c>
      <c r="F1851" t="s">
        <v>15</v>
      </c>
      <c r="G1851" t="s">
        <v>38</v>
      </c>
      <c r="H1851" t="s">
        <v>39</v>
      </c>
      <c r="I1851" s="2">
        <v>2342.9299999999998</v>
      </c>
      <c r="J1851" s="3">
        <v>10</v>
      </c>
      <c r="K1851" s="2">
        <v>70.44</v>
      </c>
    </row>
    <row r="1852" spans="1:11" x14ac:dyDescent="0.25">
      <c r="A1852" s="4">
        <v>42750</v>
      </c>
      <c r="B1852" s="3">
        <f>YEAR(SalesData[[#This Row],[Order Date]])</f>
        <v>2017</v>
      </c>
      <c r="C1852" s="3">
        <f>MONTH(SalesData[[#This Row],[Order Date]])</f>
        <v>1</v>
      </c>
      <c r="D1852" t="s">
        <v>43</v>
      </c>
      <c r="E1852" t="s">
        <v>60</v>
      </c>
      <c r="F1852" t="s">
        <v>27</v>
      </c>
      <c r="G1852" t="s">
        <v>28</v>
      </c>
      <c r="H1852" t="s">
        <v>58</v>
      </c>
      <c r="I1852" s="2">
        <v>4613.8500000000004</v>
      </c>
      <c r="J1852" s="3">
        <v>5</v>
      </c>
      <c r="K1852" s="2">
        <v>2.2799999999999998</v>
      </c>
    </row>
    <row r="1853" spans="1:11" x14ac:dyDescent="0.25">
      <c r="A1853" s="4">
        <v>42750</v>
      </c>
      <c r="B1853" s="3">
        <f>YEAR(SalesData[[#This Row],[Order Date]])</f>
        <v>2017</v>
      </c>
      <c r="C1853" s="3">
        <f>MONTH(SalesData[[#This Row],[Order Date]])</f>
        <v>1</v>
      </c>
      <c r="D1853" t="s">
        <v>14</v>
      </c>
      <c r="E1853" t="s">
        <v>10</v>
      </c>
      <c r="F1853" t="s">
        <v>27</v>
      </c>
      <c r="G1853" t="s">
        <v>32</v>
      </c>
      <c r="H1853" t="s">
        <v>33</v>
      </c>
      <c r="I1853" s="2">
        <v>194.01</v>
      </c>
      <c r="J1853" s="3">
        <v>8</v>
      </c>
      <c r="K1853" s="2">
        <v>42.16</v>
      </c>
    </row>
    <row r="1854" spans="1:11" x14ac:dyDescent="0.25">
      <c r="A1854" s="4">
        <v>42750</v>
      </c>
      <c r="B1854" s="3">
        <f>YEAR(SalesData[[#This Row],[Order Date]])</f>
        <v>2017</v>
      </c>
      <c r="C1854" s="3">
        <f>MONTH(SalesData[[#This Row],[Order Date]])</f>
        <v>1</v>
      </c>
      <c r="D1854" t="s">
        <v>30</v>
      </c>
      <c r="E1854" t="s">
        <v>44</v>
      </c>
      <c r="F1854" t="s">
        <v>11</v>
      </c>
      <c r="G1854" t="s">
        <v>12</v>
      </c>
      <c r="H1854" t="s">
        <v>65</v>
      </c>
      <c r="I1854" s="2">
        <v>4799.32</v>
      </c>
      <c r="J1854" s="3">
        <v>9</v>
      </c>
      <c r="K1854" s="2">
        <v>765.83</v>
      </c>
    </row>
    <row r="1855" spans="1:11" x14ac:dyDescent="0.25">
      <c r="A1855" s="4">
        <v>42750</v>
      </c>
      <c r="B1855" s="3">
        <f>YEAR(SalesData[[#This Row],[Order Date]])</f>
        <v>2017</v>
      </c>
      <c r="C1855" s="3">
        <f>MONTH(SalesData[[#This Row],[Order Date]])</f>
        <v>1</v>
      </c>
      <c r="D1855" t="s">
        <v>20</v>
      </c>
      <c r="E1855" t="s">
        <v>37</v>
      </c>
      <c r="F1855" t="s">
        <v>27</v>
      </c>
      <c r="G1855" t="s">
        <v>28</v>
      </c>
      <c r="H1855" t="s">
        <v>69</v>
      </c>
      <c r="I1855" s="2">
        <v>3194.57</v>
      </c>
      <c r="J1855" s="3">
        <v>1</v>
      </c>
      <c r="K1855" s="2">
        <v>232.72</v>
      </c>
    </row>
    <row r="1856" spans="1:11" x14ac:dyDescent="0.25">
      <c r="A1856" s="4">
        <v>42751</v>
      </c>
      <c r="B1856" s="3">
        <f>YEAR(SalesData[[#This Row],[Order Date]])</f>
        <v>2017</v>
      </c>
      <c r="C1856" s="3">
        <f>MONTH(SalesData[[#This Row],[Order Date]])</f>
        <v>1</v>
      </c>
      <c r="D1856" t="s">
        <v>20</v>
      </c>
      <c r="E1856" t="s">
        <v>52</v>
      </c>
      <c r="F1856" t="s">
        <v>15</v>
      </c>
      <c r="G1856" t="s">
        <v>63</v>
      </c>
      <c r="H1856" t="s">
        <v>64</v>
      </c>
      <c r="I1856" s="2">
        <v>2071.9499999999998</v>
      </c>
      <c r="J1856" s="3">
        <v>4</v>
      </c>
      <c r="K1856" s="2">
        <v>548.41999999999996</v>
      </c>
    </row>
    <row r="1857" spans="1:11" x14ac:dyDescent="0.25">
      <c r="A1857" s="4">
        <v>42751</v>
      </c>
      <c r="B1857" s="3">
        <f>YEAR(SalesData[[#This Row],[Order Date]])</f>
        <v>2017</v>
      </c>
      <c r="C1857" s="3">
        <f>MONTH(SalesData[[#This Row],[Order Date]])</f>
        <v>1</v>
      </c>
      <c r="D1857" t="s">
        <v>9</v>
      </c>
      <c r="E1857" t="s">
        <v>37</v>
      </c>
      <c r="F1857" t="s">
        <v>15</v>
      </c>
      <c r="G1857" t="s">
        <v>45</v>
      </c>
      <c r="H1857" t="s">
        <v>46</v>
      </c>
      <c r="I1857" s="2">
        <v>909.89</v>
      </c>
      <c r="J1857" s="3">
        <v>9</v>
      </c>
      <c r="K1857" s="2">
        <v>94.9</v>
      </c>
    </row>
    <row r="1858" spans="1:11" x14ac:dyDescent="0.25">
      <c r="A1858" s="4">
        <v>42752</v>
      </c>
      <c r="B1858" s="3">
        <f>YEAR(SalesData[[#This Row],[Order Date]])</f>
        <v>2017</v>
      </c>
      <c r="C1858" s="3">
        <f>MONTH(SalesData[[#This Row],[Order Date]])</f>
        <v>1</v>
      </c>
      <c r="D1858" t="s">
        <v>9</v>
      </c>
      <c r="E1858" t="s">
        <v>37</v>
      </c>
      <c r="F1858" t="s">
        <v>27</v>
      </c>
      <c r="G1858" t="s">
        <v>48</v>
      </c>
      <c r="H1858" t="s">
        <v>49</v>
      </c>
      <c r="I1858" s="2">
        <v>4920.8599999999997</v>
      </c>
      <c r="J1858" s="3">
        <v>10</v>
      </c>
      <c r="K1858" s="2">
        <v>934.63</v>
      </c>
    </row>
    <row r="1859" spans="1:11" x14ac:dyDescent="0.25">
      <c r="A1859" s="4">
        <v>42752</v>
      </c>
      <c r="B1859" s="3">
        <f>YEAR(SalesData[[#This Row],[Order Date]])</f>
        <v>2017</v>
      </c>
      <c r="C1859" s="3">
        <f>MONTH(SalesData[[#This Row],[Order Date]])</f>
        <v>1</v>
      </c>
      <c r="D1859" t="s">
        <v>30</v>
      </c>
      <c r="E1859" t="s">
        <v>26</v>
      </c>
      <c r="F1859" t="s">
        <v>15</v>
      </c>
      <c r="G1859" t="s">
        <v>16</v>
      </c>
      <c r="H1859" t="s">
        <v>17</v>
      </c>
      <c r="I1859" s="2">
        <v>2334.35</v>
      </c>
      <c r="J1859" s="3">
        <v>8</v>
      </c>
      <c r="K1859" s="2">
        <v>699.52</v>
      </c>
    </row>
    <row r="1860" spans="1:11" x14ac:dyDescent="0.25">
      <c r="A1860" s="4">
        <v>42753</v>
      </c>
      <c r="B1860" s="3">
        <f>YEAR(SalesData[[#This Row],[Order Date]])</f>
        <v>2017</v>
      </c>
      <c r="C1860" s="3">
        <f>MONTH(SalesData[[#This Row],[Order Date]])</f>
        <v>1</v>
      </c>
      <c r="D1860" t="s">
        <v>20</v>
      </c>
      <c r="E1860" t="s">
        <v>31</v>
      </c>
      <c r="F1860" t="s">
        <v>27</v>
      </c>
      <c r="G1860" t="s">
        <v>32</v>
      </c>
      <c r="H1860" t="s">
        <v>33</v>
      </c>
      <c r="I1860" s="2">
        <v>2948.44</v>
      </c>
      <c r="J1860" s="3">
        <v>1</v>
      </c>
      <c r="K1860" s="2">
        <v>314.23</v>
      </c>
    </row>
    <row r="1861" spans="1:11" x14ac:dyDescent="0.25">
      <c r="A1861" s="4">
        <v>42753</v>
      </c>
      <c r="B1861" s="3">
        <f>YEAR(SalesData[[#This Row],[Order Date]])</f>
        <v>2017</v>
      </c>
      <c r="C1861" s="3">
        <f>MONTH(SalesData[[#This Row],[Order Date]])</f>
        <v>1</v>
      </c>
      <c r="D1861" t="s">
        <v>23</v>
      </c>
      <c r="E1861" t="s">
        <v>44</v>
      </c>
      <c r="F1861" t="s">
        <v>15</v>
      </c>
      <c r="G1861" t="s">
        <v>38</v>
      </c>
      <c r="H1861" t="s">
        <v>39</v>
      </c>
      <c r="I1861" s="2">
        <v>796.25</v>
      </c>
      <c r="J1861" s="3">
        <v>2</v>
      </c>
      <c r="K1861" s="2">
        <v>39.4</v>
      </c>
    </row>
    <row r="1862" spans="1:11" x14ac:dyDescent="0.25">
      <c r="A1862" s="4">
        <v>42753</v>
      </c>
      <c r="B1862" s="3">
        <f>YEAR(SalesData[[#This Row],[Order Date]])</f>
        <v>2017</v>
      </c>
      <c r="C1862" s="3">
        <f>MONTH(SalesData[[#This Row],[Order Date]])</f>
        <v>1</v>
      </c>
      <c r="D1862" t="s">
        <v>62</v>
      </c>
      <c r="E1862" t="s">
        <v>26</v>
      </c>
      <c r="F1862" t="s">
        <v>27</v>
      </c>
      <c r="G1862" t="s">
        <v>28</v>
      </c>
      <c r="H1862" t="s">
        <v>69</v>
      </c>
      <c r="I1862" s="2">
        <v>452.41</v>
      </c>
      <c r="J1862" s="3">
        <v>2</v>
      </c>
      <c r="K1862" s="2">
        <v>75.83</v>
      </c>
    </row>
    <row r="1863" spans="1:11" x14ac:dyDescent="0.25">
      <c r="A1863" s="4">
        <v>42756</v>
      </c>
      <c r="B1863" s="3">
        <f>YEAR(SalesData[[#This Row],[Order Date]])</f>
        <v>2017</v>
      </c>
      <c r="C1863" s="3">
        <f>MONTH(SalesData[[#This Row],[Order Date]])</f>
        <v>1</v>
      </c>
      <c r="D1863" t="s">
        <v>62</v>
      </c>
      <c r="E1863" t="s">
        <v>31</v>
      </c>
      <c r="F1863" t="s">
        <v>27</v>
      </c>
      <c r="G1863" t="s">
        <v>32</v>
      </c>
      <c r="H1863" t="s">
        <v>53</v>
      </c>
      <c r="I1863" s="2">
        <v>1426.67</v>
      </c>
      <c r="J1863" s="3">
        <v>10</v>
      </c>
      <c r="K1863" s="2">
        <v>109.41</v>
      </c>
    </row>
    <row r="1864" spans="1:11" x14ac:dyDescent="0.25">
      <c r="A1864" s="4">
        <v>42758</v>
      </c>
      <c r="B1864" s="3">
        <f>YEAR(SalesData[[#This Row],[Order Date]])</f>
        <v>2017</v>
      </c>
      <c r="C1864" s="3">
        <f>MONTH(SalesData[[#This Row],[Order Date]])</f>
        <v>1</v>
      </c>
      <c r="D1864" t="s">
        <v>18</v>
      </c>
      <c r="E1864" t="s">
        <v>52</v>
      </c>
      <c r="F1864" t="s">
        <v>11</v>
      </c>
      <c r="G1864" t="s">
        <v>12</v>
      </c>
      <c r="H1864" t="s">
        <v>65</v>
      </c>
      <c r="I1864" s="2">
        <v>2191.0700000000002</v>
      </c>
      <c r="J1864" s="3">
        <v>7</v>
      </c>
      <c r="K1864" s="2">
        <v>520.75</v>
      </c>
    </row>
    <row r="1865" spans="1:11" x14ac:dyDescent="0.25">
      <c r="A1865" s="4">
        <v>42758</v>
      </c>
      <c r="B1865" s="3">
        <f>YEAR(SalesData[[#This Row],[Order Date]])</f>
        <v>2017</v>
      </c>
      <c r="C1865" s="3">
        <f>MONTH(SalesData[[#This Row],[Order Date]])</f>
        <v>1</v>
      </c>
      <c r="D1865" t="s">
        <v>43</v>
      </c>
      <c r="E1865" t="s">
        <v>44</v>
      </c>
      <c r="F1865" t="s">
        <v>27</v>
      </c>
      <c r="G1865" t="s">
        <v>32</v>
      </c>
      <c r="H1865" t="s">
        <v>33</v>
      </c>
      <c r="I1865" s="2">
        <v>3369.36</v>
      </c>
      <c r="J1865" s="3">
        <v>3</v>
      </c>
      <c r="K1865" s="2">
        <v>561.63</v>
      </c>
    </row>
    <row r="1866" spans="1:11" x14ac:dyDescent="0.25">
      <c r="A1866" s="4">
        <v>42758</v>
      </c>
      <c r="B1866" s="3">
        <f>YEAR(SalesData[[#This Row],[Order Date]])</f>
        <v>2017</v>
      </c>
      <c r="C1866" s="3">
        <f>MONTH(SalesData[[#This Row],[Order Date]])</f>
        <v>1</v>
      </c>
      <c r="D1866" t="s">
        <v>50</v>
      </c>
      <c r="E1866" t="s">
        <v>37</v>
      </c>
      <c r="F1866" t="s">
        <v>15</v>
      </c>
      <c r="G1866" t="s">
        <v>45</v>
      </c>
      <c r="H1866" t="s">
        <v>59</v>
      </c>
      <c r="I1866" s="2">
        <v>3200.19</v>
      </c>
      <c r="J1866" s="3">
        <v>5</v>
      </c>
      <c r="K1866" s="2">
        <v>229.42</v>
      </c>
    </row>
    <row r="1867" spans="1:11" x14ac:dyDescent="0.25">
      <c r="A1867" s="4">
        <v>42759</v>
      </c>
      <c r="B1867" s="3">
        <f>YEAR(SalesData[[#This Row],[Order Date]])</f>
        <v>2017</v>
      </c>
      <c r="C1867" s="3">
        <f>MONTH(SalesData[[#This Row],[Order Date]])</f>
        <v>1</v>
      </c>
      <c r="D1867" t="s">
        <v>55</v>
      </c>
      <c r="E1867" t="s">
        <v>19</v>
      </c>
      <c r="F1867" t="s">
        <v>11</v>
      </c>
      <c r="G1867" t="s">
        <v>12</v>
      </c>
      <c r="H1867" t="s">
        <v>13</v>
      </c>
      <c r="I1867" s="2">
        <v>638.95000000000005</v>
      </c>
      <c r="J1867" s="3">
        <v>5</v>
      </c>
      <c r="K1867" s="2">
        <v>111.17</v>
      </c>
    </row>
    <row r="1868" spans="1:11" x14ac:dyDescent="0.25">
      <c r="A1868" s="4">
        <v>42760</v>
      </c>
      <c r="B1868" s="3">
        <f>YEAR(SalesData[[#This Row],[Order Date]])</f>
        <v>2017</v>
      </c>
      <c r="C1868" s="3">
        <f>MONTH(SalesData[[#This Row],[Order Date]])</f>
        <v>1</v>
      </c>
      <c r="D1868" t="s">
        <v>20</v>
      </c>
      <c r="E1868" t="s">
        <v>44</v>
      </c>
      <c r="F1868" t="s">
        <v>27</v>
      </c>
      <c r="G1868" t="s">
        <v>48</v>
      </c>
      <c r="H1868" t="s">
        <v>49</v>
      </c>
      <c r="I1868" s="2">
        <v>1470.28</v>
      </c>
      <c r="J1868" s="3">
        <v>2</v>
      </c>
      <c r="K1868" s="2">
        <v>430.05</v>
      </c>
    </row>
    <row r="1869" spans="1:11" x14ac:dyDescent="0.25">
      <c r="A1869" s="4">
        <v>42761</v>
      </c>
      <c r="B1869" s="3">
        <f>YEAR(SalesData[[#This Row],[Order Date]])</f>
        <v>2017</v>
      </c>
      <c r="C1869" s="3">
        <f>MONTH(SalesData[[#This Row],[Order Date]])</f>
        <v>1</v>
      </c>
      <c r="D1869" t="s">
        <v>23</v>
      </c>
      <c r="E1869" t="s">
        <v>10</v>
      </c>
      <c r="F1869" t="s">
        <v>15</v>
      </c>
      <c r="G1869" t="s">
        <v>38</v>
      </c>
      <c r="H1869" t="s">
        <v>39</v>
      </c>
      <c r="I1869" s="2">
        <v>3157.74</v>
      </c>
      <c r="J1869" s="3">
        <v>6</v>
      </c>
      <c r="K1869" s="2">
        <v>788.96</v>
      </c>
    </row>
    <row r="1870" spans="1:11" x14ac:dyDescent="0.25">
      <c r="A1870" s="4">
        <v>42761</v>
      </c>
      <c r="B1870" s="3">
        <f>YEAR(SalesData[[#This Row],[Order Date]])</f>
        <v>2017</v>
      </c>
      <c r="C1870" s="3">
        <f>MONTH(SalesData[[#This Row],[Order Date]])</f>
        <v>1</v>
      </c>
      <c r="D1870" t="s">
        <v>43</v>
      </c>
      <c r="E1870" t="s">
        <v>10</v>
      </c>
      <c r="F1870" t="s">
        <v>11</v>
      </c>
      <c r="G1870" t="s">
        <v>21</v>
      </c>
      <c r="H1870" t="s">
        <v>22</v>
      </c>
      <c r="I1870" s="2">
        <v>4004.73</v>
      </c>
      <c r="J1870" s="3">
        <v>7</v>
      </c>
      <c r="K1870" s="2">
        <v>83.66</v>
      </c>
    </row>
    <row r="1871" spans="1:11" x14ac:dyDescent="0.25">
      <c r="A1871" s="4">
        <v>42761</v>
      </c>
      <c r="B1871" s="3">
        <f>YEAR(SalesData[[#This Row],[Order Date]])</f>
        <v>2017</v>
      </c>
      <c r="C1871" s="3">
        <f>MONTH(SalesData[[#This Row],[Order Date]])</f>
        <v>1</v>
      </c>
      <c r="D1871" t="s">
        <v>18</v>
      </c>
      <c r="E1871" t="s">
        <v>37</v>
      </c>
      <c r="F1871" t="s">
        <v>15</v>
      </c>
      <c r="G1871" t="s">
        <v>63</v>
      </c>
      <c r="H1871" t="s">
        <v>66</v>
      </c>
      <c r="I1871" s="2">
        <v>2362.2199999999998</v>
      </c>
      <c r="J1871" s="3">
        <v>6</v>
      </c>
      <c r="K1871" s="2">
        <v>306.33999999999997</v>
      </c>
    </row>
    <row r="1872" spans="1:11" x14ac:dyDescent="0.25">
      <c r="A1872" s="4">
        <v>42764</v>
      </c>
      <c r="B1872" s="3">
        <f>YEAR(SalesData[[#This Row],[Order Date]])</f>
        <v>2017</v>
      </c>
      <c r="C1872" s="3">
        <f>MONTH(SalesData[[#This Row],[Order Date]])</f>
        <v>1</v>
      </c>
      <c r="D1872" t="s">
        <v>23</v>
      </c>
      <c r="E1872" t="s">
        <v>19</v>
      </c>
      <c r="F1872" t="s">
        <v>15</v>
      </c>
      <c r="G1872" t="s">
        <v>45</v>
      </c>
      <c r="H1872" t="s">
        <v>46</v>
      </c>
      <c r="I1872" s="2">
        <v>618.51</v>
      </c>
      <c r="J1872" s="3">
        <v>8</v>
      </c>
      <c r="K1872" s="2">
        <v>76.099999999999994</v>
      </c>
    </row>
    <row r="1873" spans="1:11" x14ac:dyDescent="0.25">
      <c r="A1873" s="4">
        <v>42765</v>
      </c>
      <c r="B1873" s="3">
        <f>YEAR(SalesData[[#This Row],[Order Date]])</f>
        <v>2017</v>
      </c>
      <c r="C1873" s="3">
        <f>MONTH(SalesData[[#This Row],[Order Date]])</f>
        <v>1</v>
      </c>
      <c r="D1873" t="s">
        <v>18</v>
      </c>
      <c r="E1873" t="s">
        <v>34</v>
      </c>
      <c r="F1873" t="s">
        <v>15</v>
      </c>
      <c r="G1873" t="s">
        <v>16</v>
      </c>
      <c r="H1873" t="s">
        <v>51</v>
      </c>
      <c r="I1873" s="2">
        <v>2221.4899999999998</v>
      </c>
      <c r="J1873" s="3">
        <v>10</v>
      </c>
      <c r="K1873" s="2">
        <v>559.65</v>
      </c>
    </row>
    <row r="1874" spans="1:11" x14ac:dyDescent="0.25">
      <c r="A1874" s="4">
        <v>42766</v>
      </c>
      <c r="B1874" s="3">
        <f>YEAR(SalesData[[#This Row],[Order Date]])</f>
        <v>2017</v>
      </c>
      <c r="C1874" s="3">
        <f>MONTH(SalesData[[#This Row],[Order Date]])</f>
        <v>1</v>
      </c>
      <c r="D1874" t="s">
        <v>30</v>
      </c>
      <c r="E1874" t="s">
        <v>44</v>
      </c>
      <c r="F1874" t="s">
        <v>27</v>
      </c>
      <c r="G1874" t="s">
        <v>32</v>
      </c>
      <c r="H1874" t="s">
        <v>53</v>
      </c>
      <c r="I1874" s="2">
        <v>4439.4399999999996</v>
      </c>
      <c r="J1874" s="3">
        <v>10</v>
      </c>
      <c r="K1874" s="2">
        <v>63.64</v>
      </c>
    </row>
    <row r="1875" spans="1:11" x14ac:dyDescent="0.25">
      <c r="A1875" s="4">
        <v>42766</v>
      </c>
      <c r="B1875" s="3">
        <f>YEAR(SalesData[[#This Row],[Order Date]])</f>
        <v>2017</v>
      </c>
      <c r="C1875" s="3">
        <f>MONTH(SalesData[[#This Row],[Order Date]])</f>
        <v>1</v>
      </c>
      <c r="D1875" t="s">
        <v>55</v>
      </c>
      <c r="E1875" t="s">
        <v>34</v>
      </c>
      <c r="F1875" t="s">
        <v>11</v>
      </c>
      <c r="G1875" t="s">
        <v>24</v>
      </c>
      <c r="H1875" t="s">
        <v>25</v>
      </c>
      <c r="I1875" s="2">
        <v>1907.92</v>
      </c>
      <c r="J1875" s="3">
        <v>3</v>
      </c>
      <c r="K1875" s="2">
        <v>514.11</v>
      </c>
    </row>
    <row r="1876" spans="1:11" x14ac:dyDescent="0.25">
      <c r="A1876" s="4">
        <v>42766</v>
      </c>
      <c r="B1876" s="3">
        <f>YEAR(SalesData[[#This Row],[Order Date]])</f>
        <v>2017</v>
      </c>
      <c r="C1876" s="3">
        <f>MONTH(SalesData[[#This Row],[Order Date]])</f>
        <v>1</v>
      </c>
      <c r="D1876" t="s">
        <v>14</v>
      </c>
      <c r="E1876" t="s">
        <v>40</v>
      </c>
      <c r="F1876" t="s">
        <v>27</v>
      </c>
      <c r="G1876" t="s">
        <v>32</v>
      </c>
      <c r="H1876" t="s">
        <v>33</v>
      </c>
      <c r="I1876" s="2">
        <v>1211.48</v>
      </c>
      <c r="J1876" s="3">
        <v>9</v>
      </c>
      <c r="K1876" s="2">
        <v>328.52</v>
      </c>
    </row>
    <row r="1877" spans="1:11" x14ac:dyDescent="0.25">
      <c r="A1877" s="4">
        <v>42767</v>
      </c>
      <c r="B1877" s="3">
        <f>YEAR(SalesData[[#This Row],[Order Date]])</f>
        <v>2017</v>
      </c>
      <c r="C1877" s="3">
        <f>MONTH(SalesData[[#This Row],[Order Date]])</f>
        <v>2</v>
      </c>
      <c r="D1877" t="s">
        <v>62</v>
      </c>
      <c r="E1877" t="s">
        <v>26</v>
      </c>
      <c r="F1877" t="s">
        <v>27</v>
      </c>
      <c r="G1877" t="s">
        <v>28</v>
      </c>
      <c r="H1877" t="s">
        <v>58</v>
      </c>
      <c r="I1877" s="2">
        <v>1630.91</v>
      </c>
      <c r="J1877" s="3">
        <v>5</v>
      </c>
      <c r="K1877" s="2">
        <v>463.44</v>
      </c>
    </row>
    <row r="1878" spans="1:11" x14ac:dyDescent="0.25">
      <c r="A1878" s="4">
        <v>42768</v>
      </c>
      <c r="B1878" s="3">
        <f>YEAR(SalesData[[#This Row],[Order Date]])</f>
        <v>2017</v>
      </c>
      <c r="C1878" s="3">
        <f>MONTH(SalesData[[#This Row],[Order Date]])</f>
        <v>2</v>
      </c>
      <c r="D1878" t="s">
        <v>47</v>
      </c>
      <c r="E1878" t="s">
        <v>40</v>
      </c>
      <c r="F1878" t="s">
        <v>15</v>
      </c>
      <c r="G1878" t="s">
        <v>41</v>
      </c>
      <c r="H1878" t="s">
        <v>61</v>
      </c>
      <c r="I1878" s="2">
        <v>2944.65</v>
      </c>
      <c r="J1878" s="3">
        <v>5</v>
      </c>
      <c r="K1878" s="2">
        <v>857.52</v>
      </c>
    </row>
    <row r="1879" spans="1:11" x14ac:dyDescent="0.25">
      <c r="A1879" s="4">
        <v>42768</v>
      </c>
      <c r="B1879" s="3">
        <f>YEAR(SalesData[[#This Row],[Order Date]])</f>
        <v>2017</v>
      </c>
      <c r="C1879" s="3">
        <f>MONTH(SalesData[[#This Row],[Order Date]])</f>
        <v>2</v>
      </c>
      <c r="D1879" t="s">
        <v>20</v>
      </c>
      <c r="E1879" t="s">
        <v>19</v>
      </c>
      <c r="F1879" t="s">
        <v>15</v>
      </c>
      <c r="G1879" t="s">
        <v>45</v>
      </c>
      <c r="H1879" t="s">
        <v>59</v>
      </c>
      <c r="I1879" s="2">
        <v>298.43</v>
      </c>
      <c r="J1879" s="3">
        <v>8</v>
      </c>
      <c r="K1879" s="2">
        <v>20.149999999999999</v>
      </c>
    </row>
    <row r="1880" spans="1:11" x14ac:dyDescent="0.25">
      <c r="A1880" s="4">
        <v>42771</v>
      </c>
      <c r="B1880" s="3">
        <f>YEAR(SalesData[[#This Row],[Order Date]])</f>
        <v>2017</v>
      </c>
      <c r="C1880" s="3">
        <f>MONTH(SalesData[[#This Row],[Order Date]])</f>
        <v>2</v>
      </c>
      <c r="D1880" t="s">
        <v>9</v>
      </c>
      <c r="E1880" t="s">
        <v>10</v>
      </c>
      <c r="F1880" t="s">
        <v>11</v>
      </c>
      <c r="G1880" t="s">
        <v>12</v>
      </c>
      <c r="H1880" t="s">
        <v>13</v>
      </c>
      <c r="I1880" s="2">
        <v>2901.99</v>
      </c>
      <c r="J1880" s="3">
        <v>10</v>
      </c>
      <c r="K1880" s="2">
        <v>776.7</v>
      </c>
    </row>
    <row r="1881" spans="1:11" x14ac:dyDescent="0.25">
      <c r="A1881" s="4">
        <v>42773</v>
      </c>
      <c r="B1881" s="3">
        <f>YEAR(SalesData[[#This Row],[Order Date]])</f>
        <v>2017</v>
      </c>
      <c r="C1881" s="3">
        <f>MONTH(SalesData[[#This Row],[Order Date]])</f>
        <v>2</v>
      </c>
      <c r="D1881" t="s">
        <v>62</v>
      </c>
      <c r="E1881" t="s">
        <v>37</v>
      </c>
      <c r="F1881" t="s">
        <v>15</v>
      </c>
      <c r="G1881" t="s">
        <v>41</v>
      </c>
      <c r="H1881" t="s">
        <v>42</v>
      </c>
      <c r="I1881" s="2">
        <v>3540.34</v>
      </c>
      <c r="J1881" s="3">
        <v>9</v>
      </c>
      <c r="K1881" s="2">
        <v>1034.6400000000001</v>
      </c>
    </row>
    <row r="1882" spans="1:11" x14ac:dyDescent="0.25">
      <c r="A1882" s="4">
        <v>42773</v>
      </c>
      <c r="B1882" s="3">
        <f>YEAR(SalesData[[#This Row],[Order Date]])</f>
        <v>2017</v>
      </c>
      <c r="C1882" s="3">
        <f>MONTH(SalesData[[#This Row],[Order Date]])</f>
        <v>2</v>
      </c>
      <c r="D1882" t="s">
        <v>30</v>
      </c>
      <c r="E1882" t="s">
        <v>10</v>
      </c>
      <c r="F1882" t="s">
        <v>27</v>
      </c>
      <c r="G1882" t="s">
        <v>32</v>
      </c>
      <c r="H1882" t="s">
        <v>53</v>
      </c>
      <c r="I1882" s="2">
        <v>2968.41</v>
      </c>
      <c r="J1882" s="3">
        <v>2</v>
      </c>
      <c r="K1882" s="2">
        <v>137.94999999999999</v>
      </c>
    </row>
    <row r="1883" spans="1:11" x14ac:dyDescent="0.25">
      <c r="A1883" s="4">
        <v>42773</v>
      </c>
      <c r="B1883" s="3">
        <f>YEAR(SalesData[[#This Row],[Order Date]])</f>
        <v>2017</v>
      </c>
      <c r="C1883" s="3">
        <f>MONTH(SalesData[[#This Row],[Order Date]])</f>
        <v>2</v>
      </c>
      <c r="D1883" t="s">
        <v>55</v>
      </c>
      <c r="E1883" t="s">
        <v>52</v>
      </c>
      <c r="F1883" t="s">
        <v>15</v>
      </c>
      <c r="G1883" t="s">
        <v>38</v>
      </c>
      <c r="H1883" t="s">
        <v>39</v>
      </c>
      <c r="I1883" s="2">
        <v>2817.48</v>
      </c>
      <c r="J1883" s="3">
        <v>10</v>
      </c>
      <c r="K1883" s="2">
        <v>708.26</v>
      </c>
    </row>
    <row r="1884" spans="1:11" x14ac:dyDescent="0.25">
      <c r="A1884" s="4">
        <v>42775</v>
      </c>
      <c r="B1884" s="3">
        <f>YEAR(SalesData[[#This Row],[Order Date]])</f>
        <v>2017</v>
      </c>
      <c r="C1884" s="3">
        <f>MONTH(SalesData[[#This Row],[Order Date]])</f>
        <v>2</v>
      </c>
      <c r="D1884" t="s">
        <v>47</v>
      </c>
      <c r="E1884" t="s">
        <v>31</v>
      </c>
      <c r="F1884" t="s">
        <v>27</v>
      </c>
      <c r="G1884" t="s">
        <v>32</v>
      </c>
      <c r="H1884" t="s">
        <v>33</v>
      </c>
      <c r="I1884" s="2">
        <v>3221.82</v>
      </c>
      <c r="J1884" s="3">
        <v>1</v>
      </c>
      <c r="K1884" s="2">
        <v>529.38</v>
      </c>
    </row>
    <row r="1885" spans="1:11" x14ac:dyDescent="0.25">
      <c r="A1885" s="4">
        <v>42775</v>
      </c>
      <c r="B1885" s="3">
        <f>YEAR(SalesData[[#This Row],[Order Date]])</f>
        <v>2017</v>
      </c>
      <c r="C1885" s="3">
        <f>MONTH(SalesData[[#This Row],[Order Date]])</f>
        <v>2</v>
      </c>
      <c r="D1885" t="s">
        <v>23</v>
      </c>
      <c r="E1885" t="s">
        <v>10</v>
      </c>
      <c r="F1885" t="s">
        <v>11</v>
      </c>
      <c r="G1885" t="s">
        <v>35</v>
      </c>
      <c r="H1885" t="s">
        <v>70</v>
      </c>
      <c r="I1885" s="2">
        <v>2008.14</v>
      </c>
      <c r="J1885" s="3">
        <v>6</v>
      </c>
      <c r="K1885" s="2">
        <v>345.49</v>
      </c>
    </row>
    <row r="1886" spans="1:11" x14ac:dyDescent="0.25">
      <c r="A1886" s="4">
        <v>42776</v>
      </c>
      <c r="B1886" s="3">
        <f>YEAR(SalesData[[#This Row],[Order Date]])</f>
        <v>2017</v>
      </c>
      <c r="C1886" s="3">
        <f>MONTH(SalesData[[#This Row],[Order Date]])</f>
        <v>2</v>
      </c>
      <c r="D1886" t="s">
        <v>68</v>
      </c>
      <c r="E1886" t="s">
        <v>31</v>
      </c>
      <c r="F1886" t="s">
        <v>15</v>
      </c>
      <c r="G1886" t="s">
        <v>16</v>
      </c>
      <c r="H1886" t="s">
        <v>51</v>
      </c>
      <c r="I1886" s="2">
        <v>1905.46</v>
      </c>
      <c r="J1886" s="3">
        <v>10</v>
      </c>
      <c r="K1886" s="2">
        <v>341.98</v>
      </c>
    </row>
    <row r="1887" spans="1:11" x14ac:dyDescent="0.25">
      <c r="A1887" s="4">
        <v>42776</v>
      </c>
      <c r="B1887" s="3">
        <f>YEAR(SalesData[[#This Row],[Order Date]])</f>
        <v>2017</v>
      </c>
      <c r="C1887" s="3">
        <f>MONTH(SalesData[[#This Row],[Order Date]])</f>
        <v>2</v>
      </c>
      <c r="D1887" t="s">
        <v>43</v>
      </c>
      <c r="E1887" t="s">
        <v>60</v>
      </c>
      <c r="F1887" t="s">
        <v>15</v>
      </c>
      <c r="G1887" t="s">
        <v>41</v>
      </c>
      <c r="H1887" t="s">
        <v>61</v>
      </c>
      <c r="I1887" s="2">
        <v>694.28</v>
      </c>
      <c r="J1887" s="3">
        <v>10</v>
      </c>
      <c r="K1887" s="2">
        <v>28.74</v>
      </c>
    </row>
    <row r="1888" spans="1:11" x14ac:dyDescent="0.25">
      <c r="A1888" s="4">
        <v>42777</v>
      </c>
      <c r="B1888" s="3">
        <f>YEAR(SalesData[[#This Row],[Order Date]])</f>
        <v>2017</v>
      </c>
      <c r="C1888" s="3">
        <f>MONTH(SalesData[[#This Row],[Order Date]])</f>
        <v>2</v>
      </c>
      <c r="D1888" t="s">
        <v>50</v>
      </c>
      <c r="E1888" t="s">
        <v>26</v>
      </c>
      <c r="F1888" t="s">
        <v>11</v>
      </c>
      <c r="G1888" t="s">
        <v>21</v>
      </c>
      <c r="H1888" t="s">
        <v>67</v>
      </c>
      <c r="I1888" s="2">
        <v>2482.84</v>
      </c>
      <c r="J1888" s="3">
        <v>2</v>
      </c>
      <c r="K1888" s="2">
        <v>696.92</v>
      </c>
    </row>
    <row r="1889" spans="1:11" x14ac:dyDescent="0.25">
      <c r="A1889" s="4">
        <v>42777</v>
      </c>
      <c r="B1889" s="3">
        <f>YEAR(SalesData[[#This Row],[Order Date]])</f>
        <v>2017</v>
      </c>
      <c r="C1889" s="3">
        <f>MONTH(SalesData[[#This Row],[Order Date]])</f>
        <v>2</v>
      </c>
      <c r="D1889" t="s">
        <v>68</v>
      </c>
      <c r="E1889" t="s">
        <v>52</v>
      </c>
      <c r="F1889" t="s">
        <v>11</v>
      </c>
      <c r="G1889" t="s">
        <v>21</v>
      </c>
      <c r="H1889" t="s">
        <v>67</v>
      </c>
      <c r="I1889" s="2">
        <v>4250.96</v>
      </c>
      <c r="J1889" s="3">
        <v>7</v>
      </c>
      <c r="K1889" s="2">
        <v>301.14999999999998</v>
      </c>
    </row>
    <row r="1890" spans="1:11" x14ac:dyDescent="0.25">
      <c r="A1890" s="4">
        <v>42778</v>
      </c>
      <c r="B1890" s="3">
        <f>YEAR(SalesData[[#This Row],[Order Date]])</f>
        <v>2017</v>
      </c>
      <c r="C1890" s="3">
        <f>MONTH(SalesData[[#This Row],[Order Date]])</f>
        <v>2</v>
      </c>
      <c r="D1890" t="s">
        <v>9</v>
      </c>
      <c r="E1890" t="s">
        <v>19</v>
      </c>
      <c r="F1890" t="s">
        <v>27</v>
      </c>
      <c r="G1890" t="s">
        <v>28</v>
      </c>
      <c r="H1890" t="s">
        <v>69</v>
      </c>
      <c r="I1890" s="2">
        <v>4998.63</v>
      </c>
      <c r="J1890" s="3">
        <v>9</v>
      </c>
      <c r="K1890" s="2">
        <v>1013.81</v>
      </c>
    </row>
    <row r="1891" spans="1:11" x14ac:dyDescent="0.25">
      <c r="A1891" s="4">
        <v>42778</v>
      </c>
      <c r="B1891" s="3">
        <f>YEAR(SalesData[[#This Row],[Order Date]])</f>
        <v>2017</v>
      </c>
      <c r="C1891" s="3">
        <f>MONTH(SalesData[[#This Row],[Order Date]])</f>
        <v>2</v>
      </c>
      <c r="D1891" t="s">
        <v>47</v>
      </c>
      <c r="E1891" t="s">
        <v>60</v>
      </c>
      <c r="F1891" t="s">
        <v>11</v>
      </c>
      <c r="G1891" t="s">
        <v>12</v>
      </c>
      <c r="H1891" t="s">
        <v>65</v>
      </c>
      <c r="I1891" s="2">
        <v>2122.17</v>
      </c>
      <c r="J1891" s="3">
        <v>6</v>
      </c>
      <c r="K1891" s="2">
        <v>283.33</v>
      </c>
    </row>
    <row r="1892" spans="1:11" x14ac:dyDescent="0.25">
      <c r="A1892" s="4">
        <v>42780</v>
      </c>
      <c r="B1892" s="3">
        <f>YEAR(SalesData[[#This Row],[Order Date]])</f>
        <v>2017</v>
      </c>
      <c r="C1892" s="3">
        <f>MONTH(SalesData[[#This Row],[Order Date]])</f>
        <v>2</v>
      </c>
      <c r="D1892" t="s">
        <v>30</v>
      </c>
      <c r="E1892" t="s">
        <v>40</v>
      </c>
      <c r="F1892" t="s">
        <v>15</v>
      </c>
      <c r="G1892" t="s">
        <v>63</v>
      </c>
      <c r="H1892" t="s">
        <v>64</v>
      </c>
      <c r="I1892" s="2">
        <v>1588.95</v>
      </c>
      <c r="J1892" s="3">
        <v>5</v>
      </c>
      <c r="K1892" s="2">
        <v>12.53</v>
      </c>
    </row>
    <row r="1893" spans="1:11" x14ac:dyDescent="0.25">
      <c r="A1893" s="4">
        <v>42780</v>
      </c>
      <c r="B1893" s="3">
        <f>YEAR(SalesData[[#This Row],[Order Date]])</f>
        <v>2017</v>
      </c>
      <c r="C1893" s="3">
        <f>MONTH(SalesData[[#This Row],[Order Date]])</f>
        <v>2</v>
      </c>
      <c r="D1893" t="s">
        <v>18</v>
      </c>
      <c r="E1893" t="s">
        <v>19</v>
      </c>
      <c r="F1893" t="s">
        <v>27</v>
      </c>
      <c r="G1893" t="s">
        <v>28</v>
      </c>
      <c r="H1893" t="s">
        <v>29</v>
      </c>
      <c r="I1893" s="2">
        <v>2463.58</v>
      </c>
      <c r="J1893" s="3">
        <v>5</v>
      </c>
      <c r="K1893" s="2">
        <v>647.74</v>
      </c>
    </row>
    <row r="1894" spans="1:11" x14ac:dyDescent="0.25">
      <c r="A1894" s="4">
        <v>42781</v>
      </c>
      <c r="B1894" s="3">
        <f>YEAR(SalesData[[#This Row],[Order Date]])</f>
        <v>2017</v>
      </c>
      <c r="C1894" s="3">
        <f>MONTH(SalesData[[#This Row],[Order Date]])</f>
        <v>2</v>
      </c>
      <c r="D1894" t="s">
        <v>23</v>
      </c>
      <c r="E1894" t="s">
        <v>31</v>
      </c>
      <c r="F1894" t="s">
        <v>27</v>
      </c>
      <c r="G1894" t="s">
        <v>32</v>
      </c>
      <c r="H1894" t="s">
        <v>53</v>
      </c>
      <c r="I1894" s="2">
        <v>1490.65</v>
      </c>
      <c r="J1894" s="3">
        <v>9</v>
      </c>
      <c r="K1894" s="2">
        <v>251.23</v>
      </c>
    </row>
    <row r="1895" spans="1:11" x14ac:dyDescent="0.25">
      <c r="A1895" s="4">
        <v>42781</v>
      </c>
      <c r="B1895" s="3">
        <f>YEAR(SalesData[[#This Row],[Order Date]])</f>
        <v>2017</v>
      </c>
      <c r="C1895" s="3">
        <f>MONTH(SalesData[[#This Row],[Order Date]])</f>
        <v>2</v>
      </c>
      <c r="D1895" t="s">
        <v>47</v>
      </c>
      <c r="E1895" t="s">
        <v>10</v>
      </c>
      <c r="F1895" t="s">
        <v>15</v>
      </c>
      <c r="G1895" t="s">
        <v>63</v>
      </c>
      <c r="H1895" t="s">
        <v>64</v>
      </c>
      <c r="I1895" s="2">
        <v>781.01</v>
      </c>
      <c r="J1895" s="3">
        <v>7</v>
      </c>
      <c r="K1895" s="2">
        <v>142.53</v>
      </c>
    </row>
    <row r="1896" spans="1:11" x14ac:dyDescent="0.25">
      <c r="A1896" s="4">
        <v>42781</v>
      </c>
      <c r="B1896" s="3">
        <f>YEAR(SalesData[[#This Row],[Order Date]])</f>
        <v>2017</v>
      </c>
      <c r="C1896" s="3">
        <f>MONTH(SalesData[[#This Row],[Order Date]])</f>
        <v>2</v>
      </c>
      <c r="D1896" t="s">
        <v>30</v>
      </c>
      <c r="E1896" t="s">
        <v>52</v>
      </c>
      <c r="F1896" t="s">
        <v>11</v>
      </c>
      <c r="G1896" t="s">
        <v>21</v>
      </c>
      <c r="H1896" t="s">
        <v>67</v>
      </c>
      <c r="I1896" s="2">
        <v>1702.79</v>
      </c>
      <c r="J1896" s="3">
        <v>4</v>
      </c>
      <c r="K1896" s="2">
        <v>78.5</v>
      </c>
    </row>
    <row r="1897" spans="1:11" x14ac:dyDescent="0.25">
      <c r="A1897" s="4">
        <v>42782</v>
      </c>
      <c r="B1897" s="3">
        <f>YEAR(SalesData[[#This Row],[Order Date]])</f>
        <v>2017</v>
      </c>
      <c r="C1897" s="3">
        <f>MONTH(SalesData[[#This Row],[Order Date]])</f>
        <v>2</v>
      </c>
      <c r="D1897" t="s">
        <v>43</v>
      </c>
      <c r="E1897" t="s">
        <v>10</v>
      </c>
      <c r="F1897" t="s">
        <v>15</v>
      </c>
      <c r="G1897" t="s">
        <v>63</v>
      </c>
      <c r="H1897" t="s">
        <v>66</v>
      </c>
      <c r="I1897" s="2">
        <v>3050.44</v>
      </c>
      <c r="J1897" s="3">
        <v>6</v>
      </c>
      <c r="K1897" s="2">
        <v>689.53</v>
      </c>
    </row>
    <row r="1898" spans="1:11" x14ac:dyDescent="0.25">
      <c r="A1898" s="4">
        <v>42782</v>
      </c>
      <c r="B1898" s="3">
        <f>YEAR(SalesData[[#This Row],[Order Date]])</f>
        <v>2017</v>
      </c>
      <c r="C1898" s="3">
        <f>MONTH(SalesData[[#This Row],[Order Date]])</f>
        <v>2</v>
      </c>
      <c r="D1898" t="s">
        <v>20</v>
      </c>
      <c r="E1898" t="s">
        <v>44</v>
      </c>
      <c r="F1898" t="s">
        <v>15</v>
      </c>
      <c r="G1898" t="s">
        <v>63</v>
      </c>
      <c r="H1898" t="s">
        <v>66</v>
      </c>
      <c r="I1898" s="2">
        <v>1168.6199999999999</v>
      </c>
      <c r="J1898" s="3">
        <v>4</v>
      </c>
      <c r="K1898" s="2">
        <v>302.69</v>
      </c>
    </row>
    <row r="1899" spans="1:11" x14ac:dyDescent="0.25">
      <c r="A1899" s="4">
        <v>42783</v>
      </c>
      <c r="B1899" s="3">
        <f>YEAR(SalesData[[#This Row],[Order Date]])</f>
        <v>2017</v>
      </c>
      <c r="C1899" s="3">
        <f>MONTH(SalesData[[#This Row],[Order Date]])</f>
        <v>2</v>
      </c>
      <c r="D1899" t="s">
        <v>9</v>
      </c>
      <c r="E1899" t="s">
        <v>31</v>
      </c>
      <c r="F1899" t="s">
        <v>15</v>
      </c>
      <c r="G1899" t="s">
        <v>63</v>
      </c>
      <c r="H1899" t="s">
        <v>66</v>
      </c>
      <c r="I1899" s="2">
        <v>3625.84</v>
      </c>
      <c r="J1899" s="3">
        <v>6</v>
      </c>
      <c r="K1899" s="2">
        <v>48.53</v>
      </c>
    </row>
    <row r="1900" spans="1:11" x14ac:dyDescent="0.25">
      <c r="A1900" s="4">
        <v>42783</v>
      </c>
      <c r="B1900" s="3">
        <f>YEAR(SalesData[[#This Row],[Order Date]])</f>
        <v>2017</v>
      </c>
      <c r="C1900" s="3">
        <f>MONTH(SalesData[[#This Row],[Order Date]])</f>
        <v>2</v>
      </c>
      <c r="D1900" t="s">
        <v>68</v>
      </c>
      <c r="E1900" t="s">
        <v>26</v>
      </c>
      <c r="F1900" t="s">
        <v>11</v>
      </c>
      <c r="G1900" t="s">
        <v>24</v>
      </c>
      <c r="H1900" t="s">
        <v>25</v>
      </c>
      <c r="I1900" s="2">
        <v>4311.2700000000004</v>
      </c>
      <c r="J1900" s="3">
        <v>4</v>
      </c>
      <c r="K1900" s="2">
        <v>1005.83</v>
      </c>
    </row>
    <row r="1901" spans="1:11" x14ac:dyDescent="0.25">
      <c r="A1901" s="4">
        <v>42784</v>
      </c>
      <c r="B1901" s="3">
        <f>YEAR(SalesData[[#This Row],[Order Date]])</f>
        <v>2017</v>
      </c>
      <c r="C1901" s="3">
        <f>MONTH(SalesData[[#This Row],[Order Date]])</f>
        <v>2</v>
      </c>
      <c r="D1901" t="s">
        <v>47</v>
      </c>
      <c r="E1901" t="s">
        <v>34</v>
      </c>
      <c r="F1901" t="s">
        <v>15</v>
      </c>
      <c r="G1901" t="s">
        <v>16</v>
      </c>
      <c r="H1901" t="s">
        <v>17</v>
      </c>
      <c r="I1901" s="2">
        <v>4979.0600000000004</v>
      </c>
      <c r="J1901" s="3">
        <v>5</v>
      </c>
      <c r="K1901" s="2">
        <v>748.91</v>
      </c>
    </row>
    <row r="1902" spans="1:11" x14ac:dyDescent="0.25">
      <c r="A1902" s="4">
        <v>42785</v>
      </c>
      <c r="B1902" s="3">
        <f>YEAR(SalesData[[#This Row],[Order Date]])</f>
        <v>2017</v>
      </c>
      <c r="C1902" s="3">
        <f>MONTH(SalesData[[#This Row],[Order Date]])</f>
        <v>2</v>
      </c>
      <c r="D1902" t="s">
        <v>14</v>
      </c>
      <c r="E1902" t="s">
        <v>19</v>
      </c>
      <c r="F1902" t="s">
        <v>11</v>
      </c>
      <c r="G1902" t="s">
        <v>35</v>
      </c>
      <c r="H1902" t="s">
        <v>36</v>
      </c>
      <c r="I1902" s="2">
        <v>755.44</v>
      </c>
      <c r="J1902" s="3">
        <v>1</v>
      </c>
      <c r="K1902" s="2">
        <v>150.49</v>
      </c>
    </row>
    <row r="1903" spans="1:11" x14ac:dyDescent="0.25">
      <c r="A1903" s="4">
        <v>42788</v>
      </c>
      <c r="B1903" s="3">
        <f>YEAR(SalesData[[#This Row],[Order Date]])</f>
        <v>2017</v>
      </c>
      <c r="C1903" s="3">
        <f>MONTH(SalesData[[#This Row],[Order Date]])</f>
        <v>2</v>
      </c>
      <c r="D1903" t="s">
        <v>68</v>
      </c>
      <c r="E1903" t="s">
        <v>34</v>
      </c>
      <c r="F1903" t="s">
        <v>27</v>
      </c>
      <c r="G1903" t="s">
        <v>48</v>
      </c>
      <c r="H1903" t="s">
        <v>49</v>
      </c>
      <c r="I1903" s="2">
        <v>2907.12</v>
      </c>
      <c r="J1903" s="3">
        <v>2</v>
      </c>
      <c r="K1903" s="2">
        <v>391.4</v>
      </c>
    </row>
    <row r="1904" spans="1:11" x14ac:dyDescent="0.25">
      <c r="A1904" s="4">
        <v>42788</v>
      </c>
      <c r="B1904" s="3">
        <f>YEAR(SalesData[[#This Row],[Order Date]])</f>
        <v>2017</v>
      </c>
      <c r="C1904" s="3">
        <f>MONTH(SalesData[[#This Row],[Order Date]])</f>
        <v>2</v>
      </c>
      <c r="D1904" t="s">
        <v>20</v>
      </c>
      <c r="E1904" t="s">
        <v>10</v>
      </c>
      <c r="F1904" t="s">
        <v>27</v>
      </c>
      <c r="G1904" t="s">
        <v>28</v>
      </c>
      <c r="H1904" t="s">
        <v>69</v>
      </c>
      <c r="I1904" s="2">
        <v>1718.31</v>
      </c>
      <c r="J1904" s="3">
        <v>2</v>
      </c>
      <c r="K1904" s="2">
        <v>48.47</v>
      </c>
    </row>
    <row r="1905" spans="1:11" x14ac:dyDescent="0.25">
      <c r="A1905" s="4">
        <v>42788</v>
      </c>
      <c r="B1905" s="3">
        <f>YEAR(SalesData[[#This Row],[Order Date]])</f>
        <v>2017</v>
      </c>
      <c r="C1905" s="3">
        <f>MONTH(SalesData[[#This Row],[Order Date]])</f>
        <v>2</v>
      </c>
      <c r="D1905" t="s">
        <v>23</v>
      </c>
      <c r="E1905" t="s">
        <v>34</v>
      </c>
      <c r="F1905" t="s">
        <v>27</v>
      </c>
      <c r="G1905" t="s">
        <v>48</v>
      </c>
      <c r="H1905" t="s">
        <v>49</v>
      </c>
      <c r="I1905" s="2">
        <v>1489.96</v>
      </c>
      <c r="J1905" s="3">
        <v>2</v>
      </c>
      <c r="K1905" s="2">
        <v>232.83</v>
      </c>
    </row>
    <row r="1906" spans="1:11" x14ac:dyDescent="0.25">
      <c r="A1906" s="4">
        <v>42789</v>
      </c>
      <c r="B1906" s="3">
        <f>YEAR(SalesData[[#This Row],[Order Date]])</f>
        <v>2017</v>
      </c>
      <c r="C1906" s="3">
        <f>MONTH(SalesData[[#This Row],[Order Date]])</f>
        <v>2</v>
      </c>
      <c r="D1906" t="s">
        <v>62</v>
      </c>
      <c r="E1906" t="s">
        <v>34</v>
      </c>
      <c r="F1906" t="s">
        <v>27</v>
      </c>
      <c r="G1906" t="s">
        <v>28</v>
      </c>
      <c r="H1906" t="s">
        <v>29</v>
      </c>
      <c r="I1906" s="2">
        <v>485.24</v>
      </c>
      <c r="J1906" s="3">
        <v>1</v>
      </c>
      <c r="K1906" s="2">
        <v>108.1</v>
      </c>
    </row>
    <row r="1907" spans="1:11" x14ac:dyDescent="0.25">
      <c r="A1907" s="4">
        <v>42792</v>
      </c>
      <c r="B1907" s="3">
        <f>YEAR(SalesData[[#This Row],[Order Date]])</f>
        <v>2017</v>
      </c>
      <c r="C1907" s="3">
        <f>MONTH(SalesData[[#This Row],[Order Date]])</f>
        <v>2</v>
      </c>
      <c r="D1907" t="s">
        <v>18</v>
      </c>
      <c r="E1907" t="s">
        <v>60</v>
      </c>
      <c r="F1907" t="s">
        <v>15</v>
      </c>
      <c r="G1907" t="s">
        <v>45</v>
      </c>
      <c r="H1907" t="s">
        <v>46</v>
      </c>
      <c r="I1907" s="2">
        <v>331.24</v>
      </c>
      <c r="J1907" s="3">
        <v>6</v>
      </c>
      <c r="K1907" s="2">
        <v>40.01</v>
      </c>
    </row>
    <row r="1908" spans="1:11" x14ac:dyDescent="0.25">
      <c r="A1908" s="4">
        <v>42792</v>
      </c>
      <c r="B1908" s="3">
        <f>YEAR(SalesData[[#This Row],[Order Date]])</f>
        <v>2017</v>
      </c>
      <c r="C1908" s="3">
        <f>MONTH(SalesData[[#This Row],[Order Date]])</f>
        <v>2</v>
      </c>
      <c r="D1908" t="s">
        <v>9</v>
      </c>
      <c r="E1908" t="s">
        <v>34</v>
      </c>
      <c r="F1908" t="s">
        <v>27</v>
      </c>
      <c r="G1908" t="s">
        <v>28</v>
      </c>
      <c r="H1908" t="s">
        <v>69</v>
      </c>
      <c r="I1908" s="2">
        <v>1527.09</v>
      </c>
      <c r="J1908" s="3">
        <v>2</v>
      </c>
      <c r="K1908" s="2">
        <v>358.68</v>
      </c>
    </row>
    <row r="1909" spans="1:11" x14ac:dyDescent="0.25">
      <c r="A1909" s="4">
        <v>42794</v>
      </c>
      <c r="B1909" s="3">
        <f>YEAR(SalesData[[#This Row],[Order Date]])</f>
        <v>2017</v>
      </c>
      <c r="C1909" s="3">
        <f>MONTH(SalesData[[#This Row],[Order Date]])</f>
        <v>2</v>
      </c>
      <c r="D1909" t="s">
        <v>9</v>
      </c>
      <c r="E1909" t="s">
        <v>10</v>
      </c>
      <c r="F1909" t="s">
        <v>11</v>
      </c>
      <c r="G1909" t="s">
        <v>12</v>
      </c>
      <c r="H1909" t="s">
        <v>13</v>
      </c>
      <c r="I1909" s="2">
        <v>2204.42</v>
      </c>
      <c r="J1909" s="3">
        <v>5</v>
      </c>
      <c r="K1909" s="2">
        <v>400.19</v>
      </c>
    </row>
    <row r="1910" spans="1:11" x14ac:dyDescent="0.25">
      <c r="A1910" s="4">
        <v>42794</v>
      </c>
      <c r="B1910" s="3">
        <f>YEAR(SalesData[[#This Row],[Order Date]])</f>
        <v>2017</v>
      </c>
      <c r="C1910" s="3">
        <f>MONTH(SalesData[[#This Row],[Order Date]])</f>
        <v>2</v>
      </c>
      <c r="D1910" t="s">
        <v>68</v>
      </c>
      <c r="E1910" t="s">
        <v>26</v>
      </c>
      <c r="F1910" t="s">
        <v>27</v>
      </c>
      <c r="G1910" t="s">
        <v>28</v>
      </c>
      <c r="H1910" t="s">
        <v>29</v>
      </c>
      <c r="I1910" s="2">
        <v>2328.86</v>
      </c>
      <c r="J1910" s="3">
        <v>4</v>
      </c>
      <c r="K1910" s="2">
        <v>130.03</v>
      </c>
    </row>
    <row r="1911" spans="1:11" x14ac:dyDescent="0.25">
      <c r="A1911" s="4">
        <v>42794</v>
      </c>
      <c r="B1911" s="3">
        <f>YEAR(SalesData[[#This Row],[Order Date]])</f>
        <v>2017</v>
      </c>
      <c r="C1911" s="3">
        <f>MONTH(SalesData[[#This Row],[Order Date]])</f>
        <v>2</v>
      </c>
      <c r="D1911" t="s">
        <v>20</v>
      </c>
      <c r="E1911" t="s">
        <v>52</v>
      </c>
      <c r="F1911" t="s">
        <v>15</v>
      </c>
      <c r="G1911" t="s">
        <v>16</v>
      </c>
      <c r="H1911" t="s">
        <v>17</v>
      </c>
      <c r="I1911" s="2">
        <v>1515.49</v>
      </c>
      <c r="J1911" s="3">
        <v>5</v>
      </c>
      <c r="K1911" s="2">
        <v>165.56</v>
      </c>
    </row>
    <row r="1912" spans="1:11" x14ac:dyDescent="0.25">
      <c r="A1912" s="4">
        <v>42796</v>
      </c>
      <c r="B1912" s="3">
        <f>YEAR(SalesData[[#This Row],[Order Date]])</f>
        <v>2017</v>
      </c>
      <c r="C1912" s="3">
        <f>MONTH(SalesData[[#This Row],[Order Date]])</f>
        <v>3</v>
      </c>
      <c r="D1912" t="s">
        <v>18</v>
      </c>
      <c r="E1912" t="s">
        <v>60</v>
      </c>
      <c r="F1912" t="s">
        <v>15</v>
      </c>
      <c r="G1912" t="s">
        <v>16</v>
      </c>
      <c r="H1912" t="s">
        <v>17</v>
      </c>
      <c r="I1912" s="2">
        <v>4633.75</v>
      </c>
      <c r="J1912" s="3">
        <v>4</v>
      </c>
      <c r="K1912" s="2">
        <v>1139.9000000000001</v>
      </c>
    </row>
    <row r="1913" spans="1:11" x14ac:dyDescent="0.25">
      <c r="A1913" s="4">
        <v>42797</v>
      </c>
      <c r="B1913" s="3">
        <f>YEAR(SalesData[[#This Row],[Order Date]])</f>
        <v>2017</v>
      </c>
      <c r="C1913" s="3">
        <f>MONTH(SalesData[[#This Row],[Order Date]])</f>
        <v>3</v>
      </c>
      <c r="D1913" t="s">
        <v>50</v>
      </c>
      <c r="E1913" t="s">
        <v>37</v>
      </c>
      <c r="F1913" t="s">
        <v>15</v>
      </c>
      <c r="G1913" t="s">
        <v>16</v>
      </c>
      <c r="H1913" t="s">
        <v>51</v>
      </c>
      <c r="I1913" s="2">
        <v>4166.04</v>
      </c>
      <c r="J1913" s="3">
        <v>8</v>
      </c>
      <c r="K1913" s="2">
        <v>678.92</v>
      </c>
    </row>
    <row r="1914" spans="1:11" x14ac:dyDescent="0.25">
      <c r="A1914" s="4">
        <v>42798</v>
      </c>
      <c r="B1914" s="3">
        <f>YEAR(SalesData[[#This Row],[Order Date]])</f>
        <v>2017</v>
      </c>
      <c r="C1914" s="3">
        <f>MONTH(SalesData[[#This Row],[Order Date]])</f>
        <v>3</v>
      </c>
      <c r="D1914" t="s">
        <v>47</v>
      </c>
      <c r="E1914" t="s">
        <v>26</v>
      </c>
      <c r="F1914" t="s">
        <v>27</v>
      </c>
      <c r="G1914" t="s">
        <v>28</v>
      </c>
      <c r="H1914" t="s">
        <v>69</v>
      </c>
      <c r="I1914" s="2">
        <v>1203.5999999999999</v>
      </c>
      <c r="J1914" s="3">
        <v>5</v>
      </c>
      <c r="K1914" s="2">
        <v>8.43</v>
      </c>
    </row>
    <row r="1915" spans="1:11" x14ac:dyDescent="0.25">
      <c r="A1915" s="4">
        <v>42798</v>
      </c>
      <c r="B1915" s="3">
        <f>YEAR(SalesData[[#This Row],[Order Date]])</f>
        <v>2017</v>
      </c>
      <c r="C1915" s="3">
        <f>MONTH(SalesData[[#This Row],[Order Date]])</f>
        <v>3</v>
      </c>
      <c r="D1915" t="s">
        <v>14</v>
      </c>
      <c r="E1915" t="s">
        <v>60</v>
      </c>
      <c r="F1915" t="s">
        <v>27</v>
      </c>
      <c r="G1915" t="s">
        <v>32</v>
      </c>
      <c r="H1915" t="s">
        <v>33</v>
      </c>
      <c r="I1915" s="2">
        <v>4042.77</v>
      </c>
      <c r="J1915" s="3">
        <v>2</v>
      </c>
      <c r="K1915" s="2">
        <v>430.15</v>
      </c>
    </row>
    <row r="1916" spans="1:11" x14ac:dyDescent="0.25">
      <c r="A1916" s="4">
        <v>42799</v>
      </c>
      <c r="B1916" s="3">
        <f>YEAR(SalesData[[#This Row],[Order Date]])</f>
        <v>2017</v>
      </c>
      <c r="C1916" s="3">
        <f>MONTH(SalesData[[#This Row],[Order Date]])</f>
        <v>3</v>
      </c>
      <c r="D1916" t="s">
        <v>62</v>
      </c>
      <c r="E1916" t="s">
        <v>19</v>
      </c>
      <c r="F1916" t="s">
        <v>27</v>
      </c>
      <c r="G1916" t="s">
        <v>28</v>
      </c>
      <c r="H1916" t="s">
        <v>58</v>
      </c>
      <c r="I1916" s="2">
        <v>3307.44</v>
      </c>
      <c r="J1916" s="3">
        <v>3</v>
      </c>
      <c r="K1916" s="2">
        <v>358.71</v>
      </c>
    </row>
    <row r="1917" spans="1:11" x14ac:dyDescent="0.25">
      <c r="A1917" s="4">
        <v>42799</v>
      </c>
      <c r="B1917" s="3">
        <f>YEAR(SalesData[[#This Row],[Order Date]])</f>
        <v>2017</v>
      </c>
      <c r="C1917" s="3">
        <f>MONTH(SalesData[[#This Row],[Order Date]])</f>
        <v>3</v>
      </c>
      <c r="D1917" t="s">
        <v>68</v>
      </c>
      <c r="E1917" t="s">
        <v>31</v>
      </c>
      <c r="F1917" t="s">
        <v>27</v>
      </c>
      <c r="G1917" t="s">
        <v>48</v>
      </c>
      <c r="H1917" t="s">
        <v>57</v>
      </c>
      <c r="I1917" s="2">
        <v>1838.07</v>
      </c>
      <c r="J1917" s="3">
        <v>9</v>
      </c>
      <c r="K1917" s="2">
        <v>314.82</v>
      </c>
    </row>
    <row r="1918" spans="1:11" x14ac:dyDescent="0.25">
      <c r="A1918" s="4">
        <v>42799</v>
      </c>
      <c r="B1918" s="3">
        <f>YEAR(SalesData[[#This Row],[Order Date]])</f>
        <v>2017</v>
      </c>
      <c r="C1918" s="3">
        <f>MONTH(SalesData[[#This Row],[Order Date]])</f>
        <v>3</v>
      </c>
      <c r="D1918" t="s">
        <v>68</v>
      </c>
      <c r="E1918" t="s">
        <v>31</v>
      </c>
      <c r="F1918" t="s">
        <v>15</v>
      </c>
      <c r="G1918" t="s">
        <v>41</v>
      </c>
      <c r="H1918" t="s">
        <v>61</v>
      </c>
      <c r="I1918" s="2">
        <v>2897.8</v>
      </c>
      <c r="J1918" s="3">
        <v>4</v>
      </c>
      <c r="K1918" s="2">
        <v>600.34</v>
      </c>
    </row>
    <row r="1919" spans="1:11" x14ac:dyDescent="0.25">
      <c r="A1919" s="4">
        <v>42800</v>
      </c>
      <c r="B1919" s="3">
        <f>YEAR(SalesData[[#This Row],[Order Date]])</f>
        <v>2017</v>
      </c>
      <c r="C1919" s="3">
        <f>MONTH(SalesData[[#This Row],[Order Date]])</f>
        <v>3</v>
      </c>
      <c r="D1919" t="s">
        <v>62</v>
      </c>
      <c r="E1919" t="s">
        <v>60</v>
      </c>
      <c r="F1919" t="s">
        <v>15</v>
      </c>
      <c r="G1919" t="s">
        <v>63</v>
      </c>
      <c r="H1919" t="s">
        <v>64</v>
      </c>
      <c r="I1919" s="2">
        <v>4262.62</v>
      </c>
      <c r="J1919" s="3">
        <v>9</v>
      </c>
      <c r="K1919" s="2">
        <v>689.14</v>
      </c>
    </row>
    <row r="1920" spans="1:11" x14ac:dyDescent="0.25">
      <c r="A1920" s="4">
        <v>42801</v>
      </c>
      <c r="B1920" s="3">
        <f>YEAR(SalesData[[#This Row],[Order Date]])</f>
        <v>2017</v>
      </c>
      <c r="C1920" s="3">
        <f>MONTH(SalesData[[#This Row],[Order Date]])</f>
        <v>3</v>
      </c>
      <c r="D1920" t="s">
        <v>47</v>
      </c>
      <c r="E1920" t="s">
        <v>37</v>
      </c>
      <c r="F1920" t="s">
        <v>15</v>
      </c>
      <c r="G1920" t="s">
        <v>63</v>
      </c>
      <c r="H1920" t="s">
        <v>66</v>
      </c>
      <c r="I1920" s="2">
        <v>133.99</v>
      </c>
      <c r="J1920" s="3">
        <v>6</v>
      </c>
      <c r="K1920" s="2">
        <v>17.86</v>
      </c>
    </row>
    <row r="1921" spans="1:11" x14ac:dyDescent="0.25">
      <c r="A1921" s="4">
        <v>42804</v>
      </c>
      <c r="B1921" s="3">
        <f>YEAR(SalesData[[#This Row],[Order Date]])</f>
        <v>2017</v>
      </c>
      <c r="C1921" s="3">
        <f>MONTH(SalesData[[#This Row],[Order Date]])</f>
        <v>3</v>
      </c>
      <c r="D1921" t="s">
        <v>23</v>
      </c>
      <c r="E1921" t="s">
        <v>44</v>
      </c>
      <c r="F1921" t="s">
        <v>11</v>
      </c>
      <c r="G1921" t="s">
        <v>12</v>
      </c>
      <c r="H1921" t="s">
        <v>65</v>
      </c>
      <c r="I1921" s="2">
        <v>3825.55</v>
      </c>
      <c r="J1921" s="3">
        <v>9</v>
      </c>
      <c r="K1921" s="2">
        <v>54.45</v>
      </c>
    </row>
    <row r="1922" spans="1:11" x14ac:dyDescent="0.25">
      <c r="A1922" s="4">
        <v>42804</v>
      </c>
      <c r="B1922" s="3">
        <f>YEAR(SalesData[[#This Row],[Order Date]])</f>
        <v>2017</v>
      </c>
      <c r="C1922" s="3">
        <f>MONTH(SalesData[[#This Row],[Order Date]])</f>
        <v>3</v>
      </c>
      <c r="D1922" t="s">
        <v>14</v>
      </c>
      <c r="E1922" t="s">
        <v>44</v>
      </c>
      <c r="F1922" t="s">
        <v>11</v>
      </c>
      <c r="G1922" t="s">
        <v>24</v>
      </c>
      <c r="H1922" t="s">
        <v>25</v>
      </c>
      <c r="I1922" s="2">
        <v>4380.3</v>
      </c>
      <c r="J1922" s="3">
        <v>10</v>
      </c>
      <c r="K1922" s="2">
        <v>853.29</v>
      </c>
    </row>
    <row r="1923" spans="1:11" x14ac:dyDescent="0.25">
      <c r="A1923" s="4">
        <v>42804</v>
      </c>
      <c r="B1923" s="3">
        <f>YEAR(SalesData[[#This Row],[Order Date]])</f>
        <v>2017</v>
      </c>
      <c r="C1923" s="3">
        <f>MONTH(SalesData[[#This Row],[Order Date]])</f>
        <v>3</v>
      </c>
      <c r="D1923" t="s">
        <v>50</v>
      </c>
      <c r="E1923" t="s">
        <v>26</v>
      </c>
      <c r="F1923" t="s">
        <v>11</v>
      </c>
      <c r="G1923" t="s">
        <v>12</v>
      </c>
      <c r="H1923" t="s">
        <v>13</v>
      </c>
      <c r="I1923" s="2">
        <v>3887.54</v>
      </c>
      <c r="J1923" s="3">
        <v>10</v>
      </c>
      <c r="K1923" s="2">
        <v>795.41</v>
      </c>
    </row>
    <row r="1924" spans="1:11" x14ac:dyDescent="0.25">
      <c r="A1924" s="4">
        <v>42806</v>
      </c>
      <c r="B1924" s="3">
        <f>YEAR(SalesData[[#This Row],[Order Date]])</f>
        <v>2017</v>
      </c>
      <c r="C1924" s="3">
        <f>MONTH(SalesData[[#This Row],[Order Date]])</f>
        <v>3</v>
      </c>
      <c r="D1924" t="s">
        <v>43</v>
      </c>
      <c r="E1924" t="s">
        <v>19</v>
      </c>
      <c r="F1924" t="s">
        <v>15</v>
      </c>
      <c r="G1924" t="s">
        <v>38</v>
      </c>
      <c r="H1924" t="s">
        <v>56</v>
      </c>
      <c r="I1924" s="2">
        <v>795.76</v>
      </c>
      <c r="J1924" s="3">
        <v>5</v>
      </c>
      <c r="K1924" s="2">
        <v>57.05</v>
      </c>
    </row>
    <row r="1925" spans="1:11" x14ac:dyDescent="0.25">
      <c r="A1925" s="4">
        <v>42806</v>
      </c>
      <c r="B1925" s="3">
        <f>YEAR(SalesData[[#This Row],[Order Date]])</f>
        <v>2017</v>
      </c>
      <c r="C1925" s="3">
        <f>MONTH(SalesData[[#This Row],[Order Date]])</f>
        <v>3</v>
      </c>
      <c r="D1925" t="s">
        <v>30</v>
      </c>
      <c r="E1925" t="s">
        <v>26</v>
      </c>
      <c r="F1925" t="s">
        <v>27</v>
      </c>
      <c r="G1925" t="s">
        <v>48</v>
      </c>
      <c r="H1925" t="s">
        <v>57</v>
      </c>
      <c r="I1925" s="2">
        <v>985.95</v>
      </c>
      <c r="J1925" s="3">
        <v>1</v>
      </c>
      <c r="K1925" s="2">
        <v>99.18</v>
      </c>
    </row>
    <row r="1926" spans="1:11" x14ac:dyDescent="0.25">
      <c r="A1926" s="4">
        <v>42808</v>
      </c>
      <c r="B1926" s="3">
        <f>YEAR(SalesData[[#This Row],[Order Date]])</f>
        <v>2017</v>
      </c>
      <c r="C1926" s="3">
        <f>MONTH(SalesData[[#This Row],[Order Date]])</f>
        <v>3</v>
      </c>
      <c r="D1926" t="s">
        <v>23</v>
      </c>
      <c r="E1926" t="s">
        <v>19</v>
      </c>
      <c r="F1926" t="s">
        <v>15</v>
      </c>
      <c r="G1926" t="s">
        <v>45</v>
      </c>
      <c r="H1926" t="s">
        <v>46</v>
      </c>
      <c r="I1926" s="2">
        <v>1149.27</v>
      </c>
      <c r="J1926" s="3">
        <v>7</v>
      </c>
      <c r="K1926" s="2">
        <v>219.28</v>
      </c>
    </row>
    <row r="1927" spans="1:11" x14ac:dyDescent="0.25">
      <c r="A1927" s="4">
        <v>42809</v>
      </c>
      <c r="B1927" s="3">
        <f>YEAR(SalesData[[#This Row],[Order Date]])</f>
        <v>2017</v>
      </c>
      <c r="C1927" s="3">
        <f>MONTH(SalesData[[#This Row],[Order Date]])</f>
        <v>3</v>
      </c>
      <c r="D1927" t="s">
        <v>20</v>
      </c>
      <c r="E1927" t="s">
        <v>44</v>
      </c>
      <c r="F1927" t="s">
        <v>27</v>
      </c>
      <c r="G1927" t="s">
        <v>28</v>
      </c>
      <c r="H1927" t="s">
        <v>29</v>
      </c>
      <c r="I1927" s="2">
        <v>1678.2</v>
      </c>
      <c r="J1927" s="3">
        <v>3</v>
      </c>
      <c r="K1927" s="2">
        <v>299.98</v>
      </c>
    </row>
    <row r="1928" spans="1:11" x14ac:dyDescent="0.25">
      <c r="A1928" s="4">
        <v>42809</v>
      </c>
      <c r="B1928" s="3">
        <f>YEAR(SalesData[[#This Row],[Order Date]])</f>
        <v>2017</v>
      </c>
      <c r="C1928" s="3">
        <f>MONTH(SalesData[[#This Row],[Order Date]])</f>
        <v>3</v>
      </c>
      <c r="D1928" t="s">
        <v>68</v>
      </c>
      <c r="E1928" t="s">
        <v>52</v>
      </c>
      <c r="F1928" t="s">
        <v>11</v>
      </c>
      <c r="G1928" t="s">
        <v>24</v>
      </c>
      <c r="H1928" t="s">
        <v>54</v>
      </c>
      <c r="I1928" s="2">
        <v>1251.8800000000001</v>
      </c>
      <c r="J1928" s="3">
        <v>9</v>
      </c>
      <c r="K1928" s="2">
        <v>256.3</v>
      </c>
    </row>
    <row r="1929" spans="1:11" x14ac:dyDescent="0.25">
      <c r="A1929" s="4">
        <v>42809</v>
      </c>
      <c r="B1929" s="3">
        <f>YEAR(SalesData[[#This Row],[Order Date]])</f>
        <v>2017</v>
      </c>
      <c r="C1929" s="3">
        <f>MONTH(SalesData[[#This Row],[Order Date]])</f>
        <v>3</v>
      </c>
      <c r="D1929" t="s">
        <v>18</v>
      </c>
      <c r="E1929" t="s">
        <v>31</v>
      </c>
      <c r="F1929" t="s">
        <v>11</v>
      </c>
      <c r="G1929" t="s">
        <v>35</v>
      </c>
      <c r="H1929" t="s">
        <v>71</v>
      </c>
      <c r="I1929" s="2">
        <v>720.39</v>
      </c>
      <c r="J1929" s="3">
        <v>6</v>
      </c>
      <c r="K1929" s="2">
        <v>193.72</v>
      </c>
    </row>
    <row r="1930" spans="1:11" x14ac:dyDescent="0.25">
      <c r="A1930" s="4">
        <v>42809</v>
      </c>
      <c r="B1930" s="3">
        <f>YEAR(SalesData[[#This Row],[Order Date]])</f>
        <v>2017</v>
      </c>
      <c r="C1930" s="3">
        <f>MONTH(SalesData[[#This Row],[Order Date]])</f>
        <v>3</v>
      </c>
      <c r="D1930" t="s">
        <v>50</v>
      </c>
      <c r="E1930" t="s">
        <v>44</v>
      </c>
      <c r="F1930" t="s">
        <v>11</v>
      </c>
      <c r="G1930" t="s">
        <v>24</v>
      </c>
      <c r="H1930" t="s">
        <v>54</v>
      </c>
      <c r="I1930" s="2">
        <v>2665.54</v>
      </c>
      <c r="J1930" s="3">
        <v>9</v>
      </c>
      <c r="K1930" s="2">
        <v>546.65</v>
      </c>
    </row>
    <row r="1931" spans="1:11" x14ac:dyDescent="0.25">
      <c r="A1931" s="4">
        <v>42809</v>
      </c>
      <c r="B1931" s="3">
        <f>YEAR(SalesData[[#This Row],[Order Date]])</f>
        <v>2017</v>
      </c>
      <c r="C1931" s="3">
        <f>MONTH(SalesData[[#This Row],[Order Date]])</f>
        <v>3</v>
      </c>
      <c r="D1931" t="s">
        <v>55</v>
      </c>
      <c r="E1931" t="s">
        <v>19</v>
      </c>
      <c r="F1931" t="s">
        <v>11</v>
      </c>
      <c r="G1931" t="s">
        <v>12</v>
      </c>
      <c r="H1931" t="s">
        <v>65</v>
      </c>
      <c r="I1931" s="2">
        <v>2653.36</v>
      </c>
      <c r="J1931" s="3">
        <v>6</v>
      </c>
      <c r="K1931" s="2">
        <v>97.45</v>
      </c>
    </row>
    <row r="1932" spans="1:11" x14ac:dyDescent="0.25">
      <c r="A1932" s="4">
        <v>42809</v>
      </c>
      <c r="B1932" s="3">
        <f>YEAR(SalesData[[#This Row],[Order Date]])</f>
        <v>2017</v>
      </c>
      <c r="C1932" s="3">
        <f>MONTH(SalesData[[#This Row],[Order Date]])</f>
        <v>3</v>
      </c>
      <c r="D1932" t="s">
        <v>43</v>
      </c>
      <c r="E1932" t="s">
        <v>40</v>
      </c>
      <c r="F1932" t="s">
        <v>11</v>
      </c>
      <c r="G1932" t="s">
        <v>12</v>
      </c>
      <c r="H1932" t="s">
        <v>13</v>
      </c>
      <c r="I1932" s="2">
        <v>4585.3900000000003</v>
      </c>
      <c r="J1932" s="3">
        <v>7</v>
      </c>
      <c r="K1932" s="2">
        <v>691.08</v>
      </c>
    </row>
    <row r="1933" spans="1:11" x14ac:dyDescent="0.25">
      <c r="A1933" s="4">
        <v>42810</v>
      </c>
      <c r="B1933" s="3">
        <f>YEAR(SalesData[[#This Row],[Order Date]])</f>
        <v>2017</v>
      </c>
      <c r="C1933" s="3">
        <f>MONTH(SalesData[[#This Row],[Order Date]])</f>
        <v>3</v>
      </c>
      <c r="D1933" t="s">
        <v>50</v>
      </c>
      <c r="E1933" t="s">
        <v>31</v>
      </c>
      <c r="F1933" t="s">
        <v>15</v>
      </c>
      <c r="G1933" t="s">
        <v>41</v>
      </c>
      <c r="H1933" t="s">
        <v>61</v>
      </c>
      <c r="I1933" s="2">
        <v>4872.41</v>
      </c>
      <c r="J1933" s="3">
        <v>5</v>
      </c>
      <c r="K1933" s="2">
        <v>790.46</v>
      </c>
    </row>
    <row r="1934" spans="1:11" x14ac:dyDescent="0.25">
      <c r="A1934" s="4">
        <v>42810</v>
      </c>
      <c r="B1934" s="3">
        <f>YEAR(SalesData[[#This Row],[Order Date]])</f>
        <v>2017</v>
      </c>
      <c r="C1934" s="3">
        <f>MONTH(SalesData[[#This Row],[Order Date]])</f>
        <v>3</v>
      </c>
      <c r="D1934" t="s">
        <v>47</v>
      </c>
      <c r="E1934" t="s">
        <v>19</v>
      </c>
      <c r="F1934" t="s">
        <v>27</v>
      </c>
      <c r="G1934" t="s">
        <v>28</v>
      </c>
      <c r="H1934" t="s">
        <v>58</v>
      </c>
      <c r="I1934" s="2">
        <v>2252.4</v>
      </c>
      <c r="J1934" s="3">
        <v>5</v>
      </c>
      <c r="K1934" s="2">
        <v>629.65</v>
      </c>
    </row>
    <row r="1935" spans="1:11" x14ac:dyDescent="0.25">
      <c r="A1935" s="4">
        <v>42811</v>
      </c>
      <c r="B1935" s="3">
        <f>YEAR(SalesData[[#This Row],[Order Date]])</f>
        <v>2017</v>
      </c>
      <c r="C1935" s="3">
        <f>MONTH(SalesData[[#This Row],[Order Date]])</f>
        <v>3</v>
      </c>
      <c r="D1935" t="s">
        <v>47</v>
      </c>
      <c r="E1935" t="s">
        <v>37</v>
      </c>
      <c r="F1935" t="s">
        <v>15</v>
      </c>
      <c r="G1935" t="s">
        <v>16</v>
      </c>
      <c r="H1935" t="s">
        <v>51</v>
      </c>
      <c r="I1935" s="2">
        <v>1450.18</v>
      </c>
      <c r="J1935" s="3">
        <v>2</v>
      </c>
      <c r="K1935" s="2">
        <v>163.02000000000001</v>
      </c>
    </row>
    <row r="1936" spans="1:11" x14ac:dyDescent="0.25">
      <c r="A1936" s="4">
        <v>42813</v>
      </c>
      <c r="B1936" s="3">
        <f>YEAR(SalesData[[#This Row],[Order Date]])</f>
        <v>2017</v>
      </c>
      <c r="C1936" s="3">
        <f>MONTH(SalesData[[#This Row],[Order Date]])</f>
        <v>3</v>
      </c>
      <c r="D1936" t="s">
        <v>23</v>
      </c>
      <c r="E1936" t="s">
        <v>10</v>
      </c>
      <c r="F1936" t="s">
        <v>15</v>
      </c>
      <c r="G1936" t="s">
        <v>63</v>
      </c>
      <c r="H1936" t="s">
        <v>64</v>
      </c>
      <c r="I1936" s="2">
        <v>1037.8800000000001</v>
      </c>
      <c r="J1936" s="3">
        <v>2</v>
      </c>
      <c r="K1936" s="2">
        <v>4.99</v>
      </c>
    </row>
    <row r="1937" spans="1:11" x14ac:dyDescent="0.25">
      <c r="A1937" s="4">
        <v>42814</v>
      </c>
      <c r="B1937" s="3">
        <f>YEAR(SalesData[[#This Row],[Order Date]])</f>
        <v>2017</v>
      </c>
      <c r="C1937" s="3">
        <f>MONTH(SalesData[[#This Row],[Order Date]])</f>
        <v>3</v>
      </c>
      <c r="D1937" t="s">
        <v>30</v>
      </c>
      <c r="E1937" t="s">
        <v>52</v>
      </c>
      <c r="F1937" t="s">
        <v>11</v>
      </c>
      <c r="G1937" t="s">
        <v>12</v>
      </c>
      <c r="H1937" t="s">
        <v>13</v>
      </c>
      <c r="I1937" s="2">
        <v>263.41000000000003</v>
      </c>
      <c r="J1937" s="3">
        <v>6</v>
      </c>
      <c r="K1937" s="2">
        <v>29.93</v>
      </c>
    </row>
    <row r="1938" spans="1:11" x14ac:dyDescent="0.25">
      <c r="A1938" s="4">
        <v>42814</v>
      </c>
      <c r="B1938" s="3">
        <f>YEAR(SalesData[[#This Row],[Order Date]])</f>
        <v>2017</v>
      </c>
      <c r="C1938" s="3">
        <f>MONTH(SalesData[[#This Row],[Order Date]])</f>
        <v>3</v>
      </c>
      <c r="D1938" t="s">
        <v>50</v>
      </c>
      <c r="E1938" t="s">
        <v>44</v>
      </c>
      <c r="F1938" t="s">
        <v>27</v>
      </c>
      <c r="G1938" t="s">
        <v>32</v>
      </c>
      <c r="H1938" t="s">
        <v>53</v>
      </c>
      <c r="I1938" s="2">
        <v>2867.59</v>
      </c>
      <c r="J1938" s="3">
        <v>1</v>
      </c>
      <c r="K1938" s="2">
        <v>425.9</v>
      </c>
    </row>
    <row r="1939" spans="1:11" x14ac:dyDescent="0.25">
      <c r="A1939" s="4">
        <v>42814</v>
      </c>
      <c r="B1939" s="3">
        <f>YEAR(SalesData[[#This Row],[Order Date]])</f>
        <v>2017</v>
      </c>
      <c r="C1939" s="3">
        <f>MONTH(SalesData[[#This Row],[Order Date]])</f>
        <v>3</v>
      </c>
      <c r="D1939" t="s">
        <v>47</v>
      </c>
      <c r="E1939" t="s">
        <v>60</v>
      </c>
      <c r="F1939" t="s">
        <v>11</v>
      </c>
      <c r="G1939" t="s">
        <v>12</v>
      </c>
      <c r="H1939" t="s">
        <v>65</v>
      </c>
      <c r="I1939" s="2">
        <v>1248.17</v>
      </c>
      <c r="J1939" s="3">
        <v>5</v>
      </c>
      <c r="K1939" s="2">
        <v>289.64</v>
      </c>
    </row>
    <row r="1940" spans="1:11" x14ac:dyDescent="0.25">
      <c r="A1940" s="4">
        <v>42814</v>
      </c>
      <c r="B1940" s="3">
        <f>YEAR(SalesData[[#This Row],[Order Date]])</f>
        <v>2017</v>
      </c>
      <c r="C1940" s="3">
        <f>MONTH(SalesData[[#This Row],[Order Date]])</f>
        <v>3</v>
      </c>
      <c r="D1940" t="s">
        <v>68</v>
      </c>
      <c r="E1940" t="s">
        <v>40</v>
      </c>
      <c r="F1940" t="s">
        <v>27</v>
      </c>
      <c r="G1940" t="s">
        <v>48</v>
      </c>
      <c r="H1940" t="s">
        <v>49</v>
      </c>
      <c r="I1940" s="2">
        <v>4448.76</v>
      </c>
      <c r="J1940" s="3">
        <v>3</v>
      </c>
      <c r="K1940" s="2">
        <v>827.36</v>
      </c>
    </row>
    <row r="1941" spans="1:11" x14ac:dyDescent="0.25">
      <c r="A1941" s="4">
        <v>42815</v>
      </c>
      <c r="B1941" s="3">
        <f>YEAR(SalesData[[#This Row],[Order Date]])</f>
        <v>2017</v>
      </c>
      <c r="C1941" s="3">
        <f>MONTH(SalesData[[#This Row],[Order Date]])</f>
        <v>3</v>
      </c>
      <c r="D1941" t="s">
        <v>23</v>
      </c>
      <c r="E1941" t="s">
        <v>34</v>
      </c>
      <c r="F1941" t="s">
        <v>15</v>
      </c>
      <c r="G1941" t="s">
        <v>41</v>
      </c>
      <c r="H1941" t="s">
        <v>42</v>
      </c>
      <c r="I1941" s="2">
        <v>1995.43</v>
      </c>
      <c r="J1941" s="3">
        <v>10</v>
      </c>
      <c r="K1941" s="2">
        <v>371.99</v>
      </c>
    </row>
    <row r="1942" spans="1:11" x14ac:dyDescent="0.25">
      <c r="A1942" s="4">
        <v>42818</v>
      </c>
      <c r="B1942" s="3">
        <f>YEAR(SalesData[[#This Row],[Order Date]])</f>
        <v>2017</v>
      </c>
      <c r="C1942" s="3">
        <f>MONTH(SalesData[[#This Row],[Order Date]])</f>
        <v>3</v>
      </c>
      <c r="D1942" t="s">
        <v>14</v>
      </c>
      <c r="E1942" t="s">
        <v>26</v>
      </c>
      <c r="F1942" t="s">
        <v>11</v>
      </c>
      <c r="G1942" t="s">
        <v>12</v>
      </c>
      <c r="H1942" t="s">
        <v>13</v>
      </c>
      <c r="I1942" s="2">
        <v>285.49</v>
      </c>
      <c r="J1942" s="3">
        <v>1</v>
      </c>
      <c r="K1942" s="2">
        <v>63.17</v>
      </c>
    </row>
    <row r="1943" spans="1:11" x14ac:dyDescent="0.25">
      <c r="A1943" s="4">
        <v>42820</v>
      </c>
      <c r="B1943" s="3">
        <f>YEAR(SalesData[[#This Row],[Order Date]])</f>
        <v>2017</v>
      </c>
      <c r="C1943" s="3">
        <f>MONTH(SalesData[[#This Row],[Order Date]])</f>
        <v>3</v>
      </c>
      <c r="D1943" t="s">
        <v>43</v>
      </c>
      <c r="E1943" t="s">
        <v>52</v>
      </c>
      <c r="F1943" t="s">
        <v>15</v>
      </c>
      <c r="G1943" t="s">
        <v>16</v>
      </c>
      <c r="H1943" t="s">
        <v>17</v>
      </c>
      <c r="I1943" s="2">
        <v>3722.86</v>
      </c>
      <c r="J1943" s="3">
        <v>1</v>
      </c>
      <c r="K1943" s="2">
        <v>1022.58</v>
      </c>
    </row>
    <row r="1944" spans="1:11" x14ac:dyDescent="0.25">
      <c r="A1944" s="4">
        <v>42820</v>
      </c>
      <c r="B1944" s="3">
        <f>YEAR(SalesData[[#This Row],[Order Date]])</f>
        <v>2017</v>
      </c>
      <c r="C1944" s="3">
        <f>MONTH(SalesData[[#This Row],[Order Date]])</f>
        <v>3</v>
      </c>
      <c r="D1944" t="s">
        <v>14</v>
      </c>
      <c r="E1944" t="s">
        <v>60</v>
      </c>
      <c r="F1944" t="s">
        <v>15</v>
      </c>
      <c r="G1944" t="s">
        <v>63</v>
      </c>
      <c r="H1944" t="s">
        <v>66</v>
      </c>
      <c r="I1944" s="2">
        <v>1629.61</v>
      </c>
      <c r="J1944" s="3">
        <v>9</v>
      </c>
      <c r="K1944" s="2">
        <v>477.82</v>
      </c>
    </row>
    <row r="1945" spans="1:11" x14ac:dyDescent="0.25">
      <c r="A1945" s="4">
        <v>42821</v>
      </c>
      <c r="B1945" s="3">
        <f>YEAR(SalesData[[#This Row],[Order Date]])</f>
        <v>2017</v>
      </c>
      <c r="C1945" s="3">
        <f>MONTH(SalesData[[#This Row],[Order Date]])</f>
        <v>3</v>
      </c>
      <c r="D1945" t="s">
        <v>47</v>
      </c>
      <c r="E1945" t="s">
        <v>10</v>
      </c>
      <c r="F1945" t="s">
        <v>11</v>
      </c>
      <c r="G1945" t="s">
        <v>35</v>
      </c>
      <c r="H1945" t="s">
        <v>36</v>
      </c>
      <c r="I1945" s="2">
        <v>20.329999999999998</v>
      </c>
      <c r="J1945" s="3">
        <v>3</v>
      </c>
      <c r="K1945" s="2">
        <v>4.0599999999999996</v>
      </c>
    </row>
    <row r="1946" spans="1:11" x14ac:dyDescent="0.25">
      <c r="A1946" s="4">
        <v>42821</v>
      </c>
      <c r="B1946" s="3">
        <f>YEAR(SalesData[[#This Row],[Order Date]])</f>
        <v>2017</v>
      </c>
      <c r="C1946" s="3">
        <f>MONTH(SalesData[[#This Row],[Order Date]])</f>
        <v>3</v>
      </c>
      <c r="D1946" t="s">
        <v>55</v>
      </c>
      <c r="E1946" t="s">
        <v>37</v>
      </c>
      <c r="F1946" t="s">
        <v>27</v>
      </c>
      <c r="G1946" t="s">
        <v>28</v>
      </c>
      <c r="H1946" t="s">
        <v>29</v>
      </c>
      <c r="I1946" s="2">
        <v>1100.8599999999999</v>
      </c>
      <c r="J1946" s="3">
        <v>2</v>
      </c>
      <c r="K1946" s="2">
        <v>324.54000000000002</v>
      </c>
    </row>
    <row r="1947" spans="1:11" x14ac:dyDescent="0.25">
      <c r="A1947" s="4">
        <v>42822</v>
      </c>
      <c r="B1947" s="3">
        <f>YEAR(SalesData[[#This Row],[Order Date]])</f>
        <v>2017</v>
      </c>
      <c r="C1947" s="3">
        <f>MONTH(SalesData[[#This Row],[Order Date]])</f>
        <v>3</v>
      </c>
      <c r="D1947" t="s">
        <v>14</v>
      </c>
      <c r="E1947" t="s">
        <v>37</v>
      </c>
      <c r="F1947" t="s">
        <v>11</v>
      </c>
      <c r="G1947" t="s">
        <v>21</v>
      </c>
      <c r="H1947" t="s">
        <v>67</v>
      </c>
      <c r="I1947" s="2">
        <v>594.37</v>
      </c>
      <c r="J1947" s="3">
        <v>5</v>
      </c>
      <c r="K1947" s="2">
        <v>78.84</v>
      </c>
    </row>
    <row r="1948" spans="1:11" x14ac:dyDescent="0.25">
      <c r="A1948" s="4">
        <v>42822</v>
      </c>
      <c r="B1948" s="3">
        <f>YEAR(SalesData[[#This Row],[Order Date]])</f>
        <v>2017</v>
      </c>
      <c r="C1948" s="3">
        <f>MONTH(SalesData[[#This Row],[Order Date]])</f>
        <v>3</v>
      </c>
      <c r="D1948" t="s">
        <v>20</v>
      </c>
      <c r="E1948" t="s">
        <v>60</v>
      </c>
      <c r="F1948" t="s">
        <v>15</v>
      </c>
      <c r="G1948" t="s">
        <v>63</v>
      </c>
      <c r="H1948" t="s">
        <v>66</v>
      </c>
      <c r="I1948" s="2">
        <v>3135.19</v>
      </c>
      <c r="J1948" s="3">
        <v>5</v>
      </c>
      <c r="K1948" s="2">
        <v>921.65</v>
      </c>
    </row>
    <row r="1949" spans="1:11" x14ac:dyDescent="0.25">
      <c r="A1949" s="4">
        <v>42823</v>
      </c>
      <c r="B1949" s="3">
        <f>YEAR(SalesData[[#This Row],[Order Date]])</f>
        <v>2017</v>
      </c>
      <c r="C1949" s="3">
        <f>MONTH(SalesData[[#This Row],[Order Date]])</f>
        <v>3</v>
      </c>
      <c r="D1949" t="s">
        <v>9</v>
      </c>
      <c r="E1949" t="s">
        <v>31</v>
      </c>
      <c r="F1949" t="s">
        <v>11</v>
      </c>
      <c r="G1949" t="s">
        <v>21</v>
      </c>
      <c r="H1949" t="s">
        <v>22</v>
      </c>
      <c r="I1949" s="2">
        <v>4573.96</v>
      </c>
      <c r="J1949" s="3">
        <v>4</v>
      </c>
      <c r="K1949" s="2">
        <v>1261.28</v>
      </c>
    </row>
    <row r="1950" spans="1:11" x14ac:dyDescent="0.25">
      <c r="A1950" s="4">
        <v>42824</v>
      </c>
      <c r="B1950" s="3">
        <f>YEAR(SalesData[[#This Row],[Order Date]])</f>
        <v>2017</v>
      </c>
      <c r="C1950" s="3">
        <f>MONTH(SalesData[[#This Row],[Order Date]])</f>
        <v>3</v>
      </c>
      <c r="D1950" t="s">
        <v>55</v>
      </c>
      <c r="E1950" t="s">
        <v>19</v>
      </c>
      <c r="F1950" t="s">
        <v>15</v>
      </c>
      <c r="G1950" t="s">
        <v>45</v>
      </c>
      <c r="H1950" t="s">
        <v>59</v>
      </c>
      <c r="I1950" s="2">
        <v>1327.33</v>
      </c>
      <c r="J1950" s="3">
        <v>3</v>
      </c>
      <c r="K1950" s="2">
        <v>44.81</v>
      </c>
    </row>
    <row r="1951" spans="1:11" x14ac:dyDescent="0.25">
      <c r="A1951" s="4">
        <v>42824</v>
      </c>
      <c r="B1951" s="3">
        <f>YEAR(SalesData[[#This Row],[Order Date]])</f>
        <v>2017</v>
      </c>
      <c r="C1951" s="3">
        <f>MONTH(SalesData[[#This Row],[Order Date]])</f>
        <v>3</v>
      </c>
      <c r="D1951" t="s">
        <v>43</v>
      </c>
      <c r="E1951" t="s">
        <v>10</v>
      </c>
      <c r="F1951" t="s">
        <v>27</v>
      </c>
      <c r="G1951" t="s">
        <v>28</v>
      </c>
      <c r="H1951" t="s">
        <v>58</v>
      </c>
      <c r="I1951" s="2">
        <v>1319.94</v>
      </c>
      <c r="J1951" s="3">
        <v>8</v>
      </c>
      <c r="K1951" s="2">
        <v>369.59</v>
      </c>
    </row>
    <row r="1952" spans="1:11" x14ac:dyDescent="0.25">
      <c r="A1952" s="4">
        <v>42825</v>
      </c>
      <c r="B1952" s="3">
        <f>YEAR(SalesData[[#This Row],[Order Date]])</f>
        <v>2017</v>
      </c>
      <c r="C1952" s="3">
        <f>MONTH(SalesData[[#This Row],[Order Date]])</f>
        <v>3</v>
      </c>
      <c r="D1952" t="s">
        <v>23</v>
      </c>
      <c r="E1952" t="s">
        <v>37</v>
      </c>
      <c r="F1952" t="s">
        <v>11</v>
      </c>
      <c r="G1952" t="s">
        <v>24</v>
      </c>
      <c r="H1952" t="s">
        <v>25</v>
      </c>
      <c r="I1952" s="2">
        <v>1022.7</v>
      </c>
      <c r="J1952" s="3">
        <v>7</v>
      </c>
      <c r="K1952" s="2">
        <v>149.41</v>
      </c>
    </row>
    <row r="1953" spans="1:11" x14ac:dyDescent="0.25">
      <c r="A1953" s="4">
        <v>42825</v>
      </c>
      <c r="B1953" s="3">
        <f>YEAR(SalesData[[#This Row],[Order Date]])</f>
        <v>2017</v>
      </c>
      <c r="C1953" s="3">
        <f>MONTH(SalesData[[#This Row],[Order Date]])</f>
        <v>3</v>
      </c>
      <c r="D1953" t="s">
        <v>47</v>
      </c>
      <c r="E1953" t="s">
        <v>34</v>
      </c>
      <c r="F1953" t="s">
        <v>27</v>
      </c>
      <c r="G1953" t="s">
        <v>28</v>
      </c>
      <c r="H1953" t="s">
        <v>58</v>
      </c>
      <c r="I1953" s="2">
        <v>4663.5</v>
      </c>
      <c r="J1953" s="3">
        <v>5</v>
      </c>
      <c r="K1953" s="2">
        <v>718.32</v>
      </c>
    </row>
    <row r="1954" spans="1:11" x14ac:dyDescent="0.25">
      <c r="A1954" s="4">
        <v>42826</v>
      </c>
      <c r="B1954" s="3">
        <f>YEAR(SalesData[[#This Row],[Order Date]])</f>
        <v>2017</v>
      </c>
      <c r="C1954" s="3">
        <f>MONTH(SalesData[[#This Row],[Order Date]])</f>
        <v>4</v>
      </c>
      <c r="D1954" t="s">
        <v>23</v>
      </c>
      <c r="E1954" t="s">
        <v>44</v>
      </c>
      <c r="F1954" t="s">
        <v>15</v>
      </c>
      <c r="G1954" t="s">
        <v>38</v>
      </c>
      <c r="H1954" t="s">
        <v>56</v>
      </c>
      <c r="I1954" s="2">
        <v>537.16999999999996</v>
      </c>
      <c r="J1954" s="3">
        <v>7</v>
      </c>
      <c r="K1954" s="2">
        <v>86.89</v>
      </c>
    </row>
    <row r="1955" spans="1:11" x14ac:dyDescent="0.25">
      <c r="A1955" s="4">
        <v>42826</v>
      </c>
      <c r="B1955" s="3">
        <f>YEAR(SalesData[[#This Row],[Order Date]])</f>
        <v>2017</v>
      </c>
      <c r="C1955" s="3">
        <f>MONTH(SalesData[[#This Row],[Order Date]])</f>
        <v>4</v>
      </c>
      <c r="D1955" t="s">
        <v>18</v>
      </c>
      <c r="E1955" t="s">
        <v>10</v>
      </c>
      <c r="F1955" t="s">
        <v>15</v>
      </c>
      <c r="G1955" t="s">
        <v>63</v>
      </c>
      <c r="H1955" t="s">
        <v>64</v>
      </c>
      <c r="I1955" s="2">
        <v>286.39999999999998</v>
      </c>
      <c r="J1955" s="3">
        <v>6</v>
      </c>
      <c r="K1955" s="2">
        <v>55.57</v>
      </c>
    </row>
    <row r="1956" spans="1:11" x14ac:dyDescent="0.25">
      <c r="A1956" s="4">
        <v>42827</v>
      </c>
      <c r="B1956" s="3">
        <f>YEAR(SalesData[[#This Row],[Order Date]])</f>
        <v>2017</v>
      </c>
      <c r="C1956" s="3">
        <f>MONTH(SalesData[[#This Row],[Order Date]])</f>
        <v>4</v>
      </c>
      <c r="D1956" t="s">
        <v>50</v>
      </c>
      <c r="E1956" t="s">
        <v>31</v>
      </c>
      <c r="F1956" t="s">
        <v>11</v>
      </c>
      <c r="G1956" t="s">
        <v>12</v>
      </c>
      <c r="H1956" t="s">
        <v>13</v>
      </c>
      <c r="I1956" s="2">
        <v>275.70999999999998</v>
      </c>
      <c r="J1956" s="3">
        <v>6</v>
      </c>
      <c r="K1956" s="2">
        <v>46.05</v>
      </c>
    </row>
    <row r="1957" spans="1:11" x14ac:dyDescent="0.25">
      <c r="A1957" s="4">
        <v>42828</v>
      </c>
      <c r="B1957" s="3">
        <f>YEAR(SalesData[[#This Row],[Order Date]])</f>
        <v>2017</v>
      </c>
      <c r="C1957" s="3">
        <f>MONTH(SalesData[[#This Row],[Order Date]])</f>
        <v>4</v>
      </c>
      <c r="D1957" t="s">
        <v>9</v>
      </c>
      <c r="E1957" t="s">
        <v>40</v>
      </c>
      <c r="F1957" t="s">
        <v>11</v>
      </c>
      <c r="G1957" t="s">
        <v>12</v>
      </c>
      <c r="H1957" t="s">
        <v>13</v>
      </c>
      <c r="I1957" s="2">
        <v>4132.75</v>
      </c>
      <c r="J1957" s="3">
        <v>9</v>
      </c>
      <c r="K1957" s="2">
        <v>1093.1300000000001</v>
      </c>
    </row>
    <row r="1958" spans="1:11" x14ac:dyDescent="0.25">
      <c r="A1958" s="4">
        <v>42829</v>
      </c>
      <c r="B1958" s="3">
        <f>YEAR(SalesData[[#This Row],[Order Date]])</f>
        <v>2017</v>
      </c>
      <c r="C1958" s="3">
        <f>MONTH(SalesData[[#This Row],[Order Date]])</f>
        <v>4</v>
      </c>
      <c r="D1958" t="s">
        <v>14</v>
      </c>
      <c r="E1958" t="s">
        <v>34</v>
      </c>
      <c r="F1958" t="s">
        <v>15</v>
      </c>
      <c r="G1958" t="s">
        <v>16</v>
      </c>
      <c r="H1958" t="s">
        <v>51</v>
      </c>
      <c r="I1958" s="2">
        <v>2763.5</v>
      </c>
      <c r="J1958" s="3">
        <v>6</v>
      </c>
      <c r="K1958" s="2">
        <v>265.27999999999997</v>
      </c>
    </row>
    <row r="1959" spans="1:11" x14ac:dyDescent="0.25">
      <c r="A1959" s="4">
        <v>42829</v>
      </c>
      <c r="B1959" s="3">
        <f>YEAR(SalesData[[#This Row],[Order Date]])</f>
        <v>2017</v>
      </c>
      <c r="C1959" s="3">
        <f>MONTH(SalesData[[#This Row],[Order Date]])</f>
        <v>4</v>
      </c>
      <c r="D1959" t="s">
        <v>55</v>
      </c>
      <c r="E1959" t="s">
        <v>26</v>
      </c>
      <c r="F1959" t="s">
        <v>27</v>
      </c>
      <c r="G1959" t="s">
        <v>48</v>
      </c>
      <c r="H1959" t="s">
        <v>57</v>
      </c>
      <c r="I1959" s="2">
        <v>2580.9</v>
      </c>
      <c r="J1959" s="3">
        <v>2</v>
      </c>
      <c r="K1959" s="2">
        <v>683.41</v>
      </c>
    </row>
    <row r="1960" spans="1:11" x14ac:dyDescent="0.25">
      <c r="A1960" s="4">
        <v>42830</v>
      </c>
      <c r="B1960" s="3">
        <f>YEAR(SalesData[[#This Row],[Order Date]])</f>
        <v>2017</v>
      </c>
      <c r="C1960" s="3">
        <f>MONTH(SalesData[[#This Row],[Order Date]])</f>
        <v>4</v>
      </c>
      <c r="D1960" t="s">
        <v>23</v>
      </c>
      <c r="E1960" t="s">
        <v>60</v>
      </c>
      <c r="F1960" t="s">
        <v>11</v>
      </c>
      <c r="G1960" t="s">
        <v>35</v>
      </c>
      <c r="H1960" t="s">
        <v>70</v>
      </c>
      <c r="I1960" s="2">
        <v>1160.6500000000001</v>
      </c>
      <c r="J1960" s="3">
        <v>3</v>
      </c>
      <c r="K1960" s="2">
        <v>130.66999999999999</v>
      </c>
    </row>
    <row r="1961" spans="1:11" x14ac:dyDescent="0.25">
      <c r="A1961" s="4">
        <v>42831</v>
      </c>
      <c r="B1961" s="3">
        <f>YEAR(SalesData[[#This Row],[Order Date]])</f>
        <v>2017</v>
      </c>
      <c r="C1961" s="3">
        <f>MONTH(SalesData[[#This Row],[Order Date]])</f>
        <v>4</v>
      </c>
      <c r="D1961" t="s">
        <v>55</v>
      </c>
      <c r="E1961" t="s">
        <v>31</v>
      </c>
      <c r="F1961" t="s">
        <v>15</v>
      </c>
      <c r="G1961" t="s">
        <v>38</v>
      </c>
      <c r="H1961" t="s">
        <v>56</v>
      </c>
      <c r="I1961" s="2">
        <v>2878.15</v>
      </c>
      <c r="J1961" s="3">
        <v>9</v>
      </c>
      <c r="K1961" s="2">
        <v>17.420000000000002</v>
      </c>
    </row>
    <row r="1962" spans="1:11" x14ac:dyDescent="0.25">
      <c r="A1962" s="4">
        <v>42831</v>
      </c>
      <c r="B1962" s="3">
        <f>YEAR(SalesData[[#This Row],[Order Date]])</f>
        <v>2017</v>
      </c>
      <c r="C1962" s="3">
        <f>MONTH(SalesData[[#This Row],[Order Date]])</f>
        <v>4</v>
      </c>
      <c r="D1962" t="s">
        <v>62</v>
      </c>
      <c r="E1962" t="s">
        <v>34</v>
      </c>
      <c r="F1962" t="s">
        <v>15</v>
      </c>
      <c r="G1962" t="s">
        <v>41</v>
      </c>
      <c r="H1962" t="s">
        <v>42</v>
      </c>
      <c r="I1962" s="2">
        <v>2364.87</v>
      </c>
      <c r="J1962" s="3">
        <v>5</v>
      </c>
      <c r="K1962" s="2">
        <v>295.32</v>
      </c>
    </row>
    <row r="1963" spans="1:11" x14ac:dyDescent="0.25">
      <c r="A1963" s="4">
        <v>42831</v>
      </c>
      <c r="B1963" s="3">
        <f>YEAR(SalesData[[#This Row],[Order Date]])</f>
        <v>2017</v>
      </c>
      <c r="C1963" s="3">
        <f>MONTH(SalesData[[#This Row],[Order Date]])</f>
        <v>4</v>
      </c>
      <c r="D1963" t="s">
        <v>18</v>
      </c>
      <c r="E1963" t="s">
        <v>37</v>
      </c>
      <c r="F1963" t="s">
        <v>15</v>
      </c>
      <c r="G1963" t="s">
        <v>38</v>
      </c>
      <c r="H1963" t="s">
        <v>56</v>
      </c>
      <c r="I1963" s="2">
        <v>1513.55</v>
      </c>
      <c r="J1963" s="3">
        <v>9</v>
      </c>
      <c r="K1963" s="2">
        <v>301.8</v>
      </c>
    </row>
    <row r="1964" spans="1:11" x14ac:dyDescent="0.25">
      <c r="A1964" s="4">
        <v>42832</v>
      </c>
      <c r="B1964" s="3">
        <f>YEAR(SalesData[[#This Row],[Order Date]])</f>
        <v>2017</v>
      </c>
      <c r="C1964" s="3">
        <f>MONTH(SalesData[[#This Row],[Order Date]])</f>
        <v>4</v>
      </c>
      <c r="D1964" t="s">
        <v>47</v>
      </c>
      <c r="E1964" t="s">
        <v>44</v>
      </c>
      <c r="F1964" t="s">
        <v>27</v>
      </c>
      <c r="G1964" t="s">
        <v>48</v>
      </c>
      <c r="H1964" t="s">
        <v>57</v>
      </c>
      <c r="I1964" s="2">
        <v>1184.8599999999999</v>
      </c>
      <c r="J1964" s="3">
        <v>9</v>
      </c>
      <c r="K1964" s="2">
        <v>296.62</v>
      </c>
    </row>
    <row r="1965" spans="1:11" x14ac:dyDescent="0.25">
      <c r="A1965" s="4">
        <v>42833</v>
      </c>
      <c r="B1965" s="3">
        <f>YEAR(SalesData[[#This Row],[Order Date]])</f>
        <v>2017</v>
      </c>
      <c r="C1965" s="3">
        <f>MONTH(SalesData[[#This Row],[Order Date]])</f>
        <v>4</v>
      </c>
      <c r="D1965" t="s">
        <v>23</v>
      </c>
      <c r="E1965" t="s">
        <v>31</v>
      </c>
      <c r="F1965" t="s">
        <v>27</v>
      </c>
      <c r="G1965" t="s">
        <v>48</v>
      </c>
      <c r="H1965" t="s">
        <v>49</v>
      </c>
      <c r="I1965" s="2">
        <v>4378.1000000000004</v>
      </c>
      <c r="J1965" s="3">
        <v>10</v>
      </c>
      <c r="K1965" s="2">
        <v>991.25</v>
      </c>
    </row>
    <row r="1966" spans="1:11" x14ac:dyDescent="0.25">
      <c r="A1966" s="4">
        <v>42833</v>
      </c>
      <c r="B1966" s="3">
        <f>YEAR(SalesData[[#This Row],[Order Date]])</f>
        <v>2017</v>
      </c>
      <c r="C1966" s="3">
        <f>MONTH(SalesData[[#This Row],[Order Date]])</f>
        <v>4</v>
      </c>
      <c r="D1966" t="s">
        <v>9</v>
      </c>
      <c r="E1966" t="s">
        <v>31</v>
      </c>
      <c r="F1966" t="s">
        <v>11</v>
      </c>
      <c r="G1966" t="s">
        <v>35</v>
      </c>
      <c r="H1966" t="s">
        <v>71</v>
      </c>
      <c r="I1966" s="2">
        <v>4343.99</v>
      </c>
      <c r="J1966" s="3">
        <v>7</v>
      </c>
      <c r="K1966" s="2">
        <v>960.05</v>
      </c>
    </row>
    <row r="1967" spans="1:11" x14ac:dyDescent="0.25">
      <c r="A1967" s="4">
        <v>42833</v>
      </c>
      <c r="B1967" s="3">
        <f>YEAR(SalesData[[#This Row],[Order Date]])</f>
        <v>2017</v>
      </c>
      <c r="C1967" s="3">
        <f>MONTH(SalesData[[#This Row],[Order Date]])</f>
        <v>4</v>
      </c>
      <c r="D1967" t="s">
        <v>23</v>
      </c>
      <c r="E1967" t="s">
        <v>10</v>
      </c>
      <c r="F1967" t="s">
        <v>27</v>
      </c>
      <c r="G1967" t="s">
        <v>28</v>
      </c>
      <c r="H1967" t="s">
        <v>58</v>
      </c>
      <c r="I1967" s="2">
        <v>1176.05</v>
      </c>
      <c r="J1967" s="3">
        <v>9</v>
      </c>
      <c r="K1967" s="2">
        <v>343.16</v>
      </c>
    </row>
    <row r="1968" spans="1:11" x14ac:dyDescent="0.25">
      <c r="A1968" s="4">
        <v>42837</v>
      </c>
      <c r="B1968" s="3">
        <f>YEAR(SalesData[[#This Row],[Order Date]])</f>
        <v>2017</v>
      </c>
      <c r="C1968" s="3">
        <f>MONTH(SalesData[[#This Row],[Order Date]])</f>
        <v>4</v>
      </c>
      <c r="D1968" t="s">
        <v>43</v>
      </c>
      <c r="E1968" t="s">
        <v>19</v>
      </c>
      <c r="F1968" t="s">
        <v>11</v>
      </c>
      <c r="G1968" t="s">
        <v>12</v>
      </c>
      <c r="H1968" t="s">
        <v>65</v>
      </c>
      <c r="I1968" s="2">
        <v>4647.16</v>
      </c>
      <c r="J1968" s="3">
        <v>7</v>
      </c>
      <c r="K1968" s="2">
        <v>1089.27</v>
      </c>
    </row>
    <row r="1969" spans="1:11" x14ac:dyDescent="0.25">
      <c r="A1969" s="4">
        <v>42837</v>
      </c>
      <c r="B1969" s="3">
        <f>YEAR(SalesData[[#This Row],[Order Date]])</f>
        <v>2017</v>
      </c>
      <c r="C1969" s="3">
        <f>MONTH(SalesData[[#This Row],[Order Date]])</f>
        <v>4</v>
      </c>
      <c r="D1969" t="s">
        <v>30</v>
      </c>
      <c r="E1969" t="s">
        <v>52</v>
      </c>
      <c r="F1969" t="s">
        <v>11</v>
      </c>
      <c r="G1969" t="s">
        <v>12</v>
      </c>
      <c r="H1969" t="s">
        <v>65</v>
      </c>
      <c r="I1969" s="2">
        <v>4262.3900000000003</v>
      </c>
      <c r="J1969" s="3">
        <v>9</v>
      </c>
      <c r="K1969" s="2">
        <v>840.36</v>
      </c>
    </row>
    <row r="1970" spans="1:11" x14ac:dyDescent="0.25">
      <c r="A1970" s="4">
        <v>42837</v>
      </c>
      <c r="B1970" s="3">
        <f>YEAR(SalesData[[#This Row],[Order Date]])</f>
        <v>2017</v>
      </c>
      <c r="C1970" s="3">
        <f>MONTH(SalesData[[#This Row],[Order Date]])</f>
        <v>4</v>
      </c>
      <c r="D1970" t="s">
        <v>47</v>
      </c>
      <c r="E1970" t="s">
        <v>44</v>
      </c>
      <c r="F1970" t="s">
        <v>15</v>
      </c>
      <c r="G1970" t="s">
        <v>63</v>
      </c>
      <c r="H1970" t="s">
        <v>64</v>
      </c>
      <c r="I1970" s="2">
        <v>2277.4</v>
      </c>
      <c r="J1970" s="3">
        <v>6</v>
      </c>
      <c r="K1970" s="2">
        <v>201.55</v>
      </c>
    </row>
    <row r="1971" spans="1:11" x14ac:dyDescent="0.25">
      <c r="A1971" s="4">
        <v>42837</v>
      </c>
      <c r="B1971" s="3">
        <f>YEAR(SalesData[[#This Row],[Order Date]])</f>
        <v>2017</v>
      </c>
      <c r="C1971" s="3">
        <f>MONTH(SalesData[[#This Row],[Order Date]])</f>
        <v>4</v>
      </c>
      <c r="D1971" t="s">
        <v>14</v>
      </c>
      <c r="E1971" t="s">
        <v>19</v>
      </c>
      <c r="F1971" t="s">
        <v>27</v>
      </c>
      <c r="G1971" t="s">
        <v>28</v>
      </c>
      <c r="H1971" t="s">
        <v>58</v>
      </c>
      <c r="I1971" s="2">
        <v>4500.4399999999996</v>
      </c>
      <c r="J1971" s="3">
        <v>8</v>
      </c>
      <c r="K1971" s="2">
        <v>228.07</v>
      </c>
    </row>
    <row r="1972" spans="1:11" x14ac:dyDescent="0.25">
      <c r="A1972" s="4">
        <v>42837</v>
      </c>
      <c r="B1972" s="3">
        <f>YEAR(SalesData[[#This Row],[Order Date]])</f>
        <v>2017</v>
      </c>
      <c r="C1972" s="3">
        <f>MONTH(SalesData[[#This Row],[Order Date]])</f>
        <v>4</v>
      </c>
      <c r="D1972" t="s">
        <v>18</v>
      </c>
      <c r="E1972" t="s">
        <v>44</v>
      </c>
      <c r="F1972" t="s">
        <v>27</v>
      </c>
      <c r="G1972" t="s">
        <v>32</v>
      </c>
      <c r="H1972" t="s">
        <v>53</v>
      </c>
      <c r="I1972" s="2">
        <v>3427.38</v>
      </c>
      <c r="J1972" s="3">
        <v>9</v>
      </c>
      <c r="K1972" s="2">
        <v>406.27</v>
      </c>
    </row>
    <row r="1973" spans="1:11" x14ac:dyDescent="0.25">
      <c r="A1973" s="4">
        <v>42837</v>
      </c>
      <c r="B1973" s="3">
        <f>YEAR(SalesData[[#This Row],[Order Date]])</f>
        <v>2017</v>
      </c>
      <c r="C1973" s="3">
        <f>MONTH(SalesData[[#This Row],[Order Date]])</f>
        <v>4</v>
      </c>
      <c r="D1973" t="s">
        <v>68</v>
      </c>
      <c r="E1973" t="s">
        <v>60</v>
      </c>
      <c r="F1973" t="s">
        <v>11</v>
      </c>
      <c r="G1973" t="s">
        <v>35</v>
      </c>
      <c r="H1973" t="s">
        <v>71</v>
      </c>
      <c r="I1973" s="2">
        <v>4434.53</v>
      </c>
      <c r="J1973" s="3">
        <v>6</v>
      </c>
      <c r="K1973" s="2">
        <v>138.16</v>
      </c>
    </row>
    <row r="1974" spans="1:11" x14ac:dyDescent="0.25">
      <c r="A1974" s="4">
        <v>42838</v>
      </c>
      <c r="B1974" s="3">
        <f>YEAR(SalesData[[#This Row],[Order Date]])</f>
        <v>2017</v>
      </c>
      <c r="C1974" s="3">
        <f>MONTH(SalesData[[#This Row],[Order Date]])</f>
        <v>4</v>
      </c>
      <c r="D1974" t="s">
        <v>9</v>
      </c>
      <c r="E1974" t="s">
        <v>10</v>
      </c>
      <c r="F1974" t="s">
        <v>27</v>
      </c>
      <c r="G1974" t="s">
        <v>32</v>
      </c>
      <c r="H1974" t="s">
        <v>33</v>
      </c>
      <c r="I1974" s="2">
        <v>4565.6000000000004</v>
      </c>
      <c r="J1974" s="3">
        <v>7</v>
      </c>
      <c r="K1974" s="2">
        <v>804.77</v>
      </c>
    </row>
    <row r="1975" spans="1:11" x14ac:dyDescent="0.25">
      <c r="A1975" s="4">
        <v>42839</v>
      </c>
      <c r="B1975" s="3">
        <f>YEAR(SalesData[[#This Row],[Order Date]])</f>
        <v>2017</v>
      </c>
      <c r="C1975" s="3">
        <f>MONTH(SalesData[[#This Row],[Order Date]])</f>
        <v>4</v>
      </c>
      <c r="D1975" t="s">
        <v>30</v>
      </c>
      <c r="E1975" t="s">
        <v>31</v>
      </c>
      <c r="F1975" t="s">
        <v>27</v>
      </c>
      <c r="G1975" t="s">
        <v>28</v>
      </c>
      <c r="H1975" t="s">
        <v>58</v>
      </c>
      <c r="I1975" s="2">
        <v>4610.0200000000004</v>
      </c>
      <c r="J1975" s="3">
        <v>6</v>
      </c>
      <c r="K1975" s="2">
        <v>314.77999999999997</v>
      </c>
    </row>
    <row r="1976" spans="1:11" x14ac:dyDescent="0.25">
      <c r="A1976" s="4">
        <v>42839</v>
      </c>
      <c r="B1976" s="3">
        <f>YEAR(SalesData[[#This Row],[Order Date]])</f>
        <v>2017</v>
      </c>
      <c r="C1976" s="3">
        <f>MONTH(SalesData[[#This Row],[Order Date]])</f>
        <v>4</v>
      </c>
      <c r="D1976" t="s">
        <v>43</v>
      </c>
      <c r="E1976" t="s">
        <v>26</v>
      </c>
      <c r="F1976" t="s">
        <v>15</v>
      </c>
      <c r="G1976" t="s">
        <v>41</v>
      </c>
      <c r="H1976" t="s">
        <v>42</v>
      </c>
      <c r="I1976" s="2">
        <v>1014.03</v>
      </c>
      <c r="J1976" s="3">
        <v>5</v>
      </c>
      <c r="K1976" s="2">
        <v>302.57</v>
      </c>
    </row>
    <row r="1977" spans="1:11" x14ac:dyDescent="0.25">
      <c r="A1977" s="4">
        <v>42839</v>
      </c>
      <c r="B1977" s="3">
        <f>YEAR(SalesData[[#This Row],[Order Date]])</f>
        <v>2017</v>
      </c>
      <c r="C1977" s="3">
        <f>MONTH(SalesData[[#This Row],[Order Date]])</f>
        <v>4</v>
      </c>
      <c r="D1977" t="s">
        <v>43</v>
      </c>
      <c r="E1977" t="s">
        <v>19</v>
      </c>
      <c r="F1977" t="s">
        <v>15</v>
      </c>
      <c r="G1977" t="s">
        <v>38</v>
      </c>
      <c r="H1977" t="s">
        <v>56</v>
      </c>
      <c r="I1977" s="2">
        <v>2839.45</v>
      </c>
      <c r="J1977" s="3">
        <v>3</v>
      </c>
      <c r="K1977" s="2">
        <v>278.07</v>
      </c>
    </row>
    <row r="1978" spans="1:11" x14ac:dyDescent="0.25">
      <c r="A1978" s="4">
        <v>42840</v>
      </c>
      <c r="B1978" s="3">
        <f>YEAR(SalesData[[#This Row],[Order Date]])</f>
        <v>2017</v>
      </c>
      <c r="C1978" s="3">
        <f>MONTH(SalesData[[#This Row],[Order Date]])</f>
        <v>4</v>
      </c>
      <c r="D1978" t="s">
        <v>68</v>
      </c>
      <c r="E1978" t="s">
        <v>19</v>
      </c>
      <c r="F1978" t="s">
        <v>27</v>
      </c>
      <c r="G1978" t="s">
        <v>32</v>
      </c>
      <c r="H1978" t="s">
        <v>33</v>
      </c>
      <c r="I1978" s="2">
        <v>4771.7299999999996</v>
      </c>
      <c r="J1978" s="3">
        <v>6</v>
      </c>
      <c r="K1978" s="2">
        <v>482.71</v>
      </c>
    </row>
    <row r="1979" spans="1:11" x14ac:dyDescent="0.25">
      <c r="A1979" s="4">
        <v>42841</v>
      </c>
      <c r="B1979" s="3">
        <f>YEAR(SalesData[[#This Row],[Order Date]])</f>
        <v>2017</v>
      </c>
      <c r="C1979" s="3">
        <f>MONTH(SalesData[[#This Row],[Order Date]])</f>
        <v>4</v>
      </c>
      <c r="D1979" t="s">
        <v>68</v>
      </c>
      <c r="E1979" t="s">
        <v>60</v>
      </c>
      <c r="F1979" t="s">
        <v>15</v>
      </c>
      <c r="G1979" t="s">
        <v>16</v>
      </c>
      <c r="H1979" t="s">
        <v>17</v>
      </c>
      <c r="I1979" s="2">
        <v>2027.69</v>
      </c>
      <c r="J1979" s="3">
        <v>5</v>
      </c>
      <c r="K1979" s="2">
        <v>360.17</v>
      </c>
    </row>
    <row r="1980" spans="1:11" x14ac:dyDescent="0.25">
      <c r="A1980" s="4">
        <v>42842</v>
      </c>
      <c r="B1980" s="3">
        <f>YEAR(SalesData[[#This Row],[Order Date]])</f>
        <v>2017</v>
      </c>
      <c r="C1980" s="3">
        <f>MONTH(SalesData[[#This Row],[Order Date]])</f>
        <v>4</v>
      </c>
      <c r="D1980" t="s">
        <v>55</v>
      </c>
      <c r="E1980" t="s">
        <v>52</v>
      </c>
      <c r="F1980" t="s">
        <v>27</v>
      </c>
      <c r="G1980" t="s">
        <v>48</v>
      </c>
      <c r="H1980" t="s">
        <v>49</v>
      </c>
      <c r="I1980" s="2">
        <v>3913.97</v>
      </c>
      <c r="J1980" s="3">
        <v>6</v>
      </c>
      <c r="K1980" s="2">
        <v>786.19</v>
      </c>
    </row>
    <row r="1981" spans="1:11" x14ac:dyDescent="0.25">
      <c r="A1981" s="4">
        <v>42842</v>
      </c>
      <c r="B1981" s="3">
        <f>YEAR(SalesData[[#This Row],[Order Date]])</f>
        <v>2017</v>
      </c>
      <c r="C1981" s="3">
        <f>MONTH(SalesData[[#This Row],[Order Date]])</f>
        <v>4</v>
      </c>
      <c r="D1981" t="s">
        <v>47</v>
      </c>
      <c r="E1981" t="s">
        <v>37</v>
      </c>
      <c r="F1981" t="s">
        <v>15</v>
      </c>
      <c r="G1981" t="s">
        <v>38</v>
      </c>
      <c r="H1981" t="s">
        <v>56</v>
      </c>
      <c r="I1981" s="2">
        <v>191.62</v>
      </c>
      <c r="J1981" s="3">
        <v>7</v>
      </c>
      <c r="K1981" s="2">
        <v>24.99</v>
      </c>
    </row>
    <row r="1982" spans="1:11" x14ac:dyDescent="0.25">
      <c r="A1982" s="4">
        <v>42843</v>
      </c>
      <c r="B1982" s="3">
        <f>YEAR(SalesData[[#This Row],[Order Date]])</f>
        <v>2017</v>
      </c>
      <c r="C1982" s="3">
        <f>MONTH(SalesData[[#This Row],[Order Date]])</f>
        <v>4</v>
      </c>
      <c r="D1982" t="s">
        <v>9</v>
      </c>
      <c r="E1982" t="s">
        <v>52</v>
      </c>
      <c r="F1982" t="s">
        <v>27</v>
      </c>
      <c r="G1982" t="s">
        <v>32</v>
      </c>
      <c r="H1982" t="s">
        <v>33</v>
      </c>
      <c r="I1982" s="2">
        <v>880.67</v>
      </c>
      <c r="J1982" s="3">
        <v>2</v>
      </c>
      <c r="K1982" s="2">
        <v>191.54</v>
      </c>
    </row>
    <row r="1983" spans="1:11" x14ac:dyDescent="0.25">
      <c r="A1983" s="4">
        <v>42843</v>
      </c>
      <c r="B1983" s="3">
        <f>YEAR(SalesData[[#This Row],[Order Date]])</f>
        <v>2017</v>
      </c>
      <c r="C1983" s="3">
        <f>MONTH(SalesData[[#This Row],[Order Date]])</f>
        <v>4</v>
      </c>
      <c r="D1983" t="s">
        <v>9</v>
      </c>
      <c r="E1983" t="s">
        <v>19</v>
      </c>
      <c r="F1983" t="s">
        <v>11</v>
      </c>
      <c r="G1983" t="s">
        <v>24</v>
      </c>
      <c r="H1983" t="s">
        <v>54</v>
      </c>
      <c r="I1983" s="2">
        <v>2188.84</v>
      </c>
      <c r="J1983" s="3">
        <v>4</v>
      </c>
      <c r="K1983" s="2">
        <v>552.47</v>
      </c>
    </row>
    <row r="1984" spans="1:11" x14ac:dyDescent="0.25">
      <c r="A1984" s="4">
        <v>42844</v>
      </c>
      <c r="B1984" s="3">
        <f>YEAR(SalesData[[#This Row],[Order Date]])</f>
        <v>2017</v>
      </c>
      <c r="C1984" s="3">
        <f>MONTH(SalesData[[#This Row],[Order Date]])</f>
        <v>4</v>
      </c>
      <c r="D1984" t="s">
        <v>9</v>
      </c>
      <c r="E1984" t="s">
        <v>60</v>
      </c>
      <c r="F1984" t="s">
        <v>11</v>
      </c>
      <c r="G1984" t="s">
        <v>24</v>
      </c>
      <c r="H1984" t="s">
        <v>54</v>
      </c>
      <c r="I1984" s="2">
        <v>1908.89</v>
      </c>
      <c r="J1984" s="3">
        <v>6</v>
      </c>
      <c r="K1984" s="2">
        <v>383.92</v>
      </c>
    </row>
    <row r="1985" spans="1:11" x14ac:dyDescent="0.25">
      <c r="A1985" s="4">
        <v>42846</v>
      </c>
      <c r="B1985" s="3">
        <f>YEAR(SalesData[[#This Row],[Order Date]])</f>
        <v>2017</v>
      </c>
      <c r="C1985" s="3">
        <f>MONTH(SalesData[[#This Row],[Order Date]])</f>
        <v>4</v>
      </c>
      <c r="D1985" t="s">
        <v>23</v>
      </c>
      <c r="E1985" t="s">
        <v>31</v>
      </c>
      <c r="F1985" t="s">
        <v>27</v>
      </c>
      <c r="G1985" t="s">
        <v>28</v>
      </c>
      <c r="H1985" t="s">
        <v>69</v>
      </c>
      <c r="I1985" s="2">
        <v>3445.53</v>
      </c>
      <c r="J1985" s="3">
        <v>4</v>
      </c>
      <c r="K1985" s="2">
        <v>286.19</v>
      </c>
    </row>
    <row r="1986" spans="1:11" x14ac:dyDescent="0.25">
      <c r="A1986" s="4">
        <v>42848</v>
      </c>
      <c r="B1986" s="3">
        <f>YEAR(SalesData[[#This Row],[Order Date]])</f>
        <v>2017</v>
      </c>
      <c r="C1986" s="3">
        <f>MONTH(SalesData[[#This Row],[Order Date]])</f>
        <v>4</v>
      </c>
      <c r="D1986" t="s">
        <v>62</v>
      </c>
      <c r="E1986" t="s">
        <v>10</v>
      </c>
      <c r="F1986" t="s">
        <v>15</v>
      </c>
      <c r="G1986" t="s">
        <v>38</v>
      </c>
      <c r="H1986" t="s">
        <v>56</v>
      </c>
      <c r="I1986" s="2">
        <v>4844.34</v>
      </c>
      <c r="J1986" s="3">
        <v>4</v>
      </c>
      <c r="K1986" s="2">
        <v>1392.37</v>
      </c>
    </row>
    <row r="1987" spans="1:11" x14ac:dyDescent="0.25">
      <c r="A1987" s="4">
        <v>42848</v>
      </c>
      <c r="B1987" s="3">
        <f>YEAR(SalesData[[#This Row],[Order Date]])</f>
        <v>2017</v>
      </c>
      <c r="C1987" s="3">
        <f>MONTH(SalesData[[#This Row],[Order Date]])</f>
        <v>4</v>
      </c>
      <c r="D1987" t="s">
        <v>50</v>
      </c>
      <c r="E1987" t="s">
        <v>44</v>
      </c>
      <c r="F1987" t="s">
        <v>11</v>
      </c>
      <c r="G1987" t="s">
        <v>24</v>
      </c>
      <c r="H1987" t="s">
        <v>25</v>
      </c>
      <c r="I1987" s="2">
        <v>68.37</v>
      </c>
      <c r="J1987" s="3">
        <v>3</v>
      </c>
      <c r="K1987" s="2">
        <v>4.0999999999999996</v>
      </c>
    </row>
    <row r="1988" spans="1:11" x14ac:dyDescent="0.25">
      <c r="A1988" s="4">
        <v>42849</v>
      </c>
      <c r="B1988" s="3">
        <f>YEAR(SalesData[[#This Row],[Order Date]])</f>
        <v>2017</v>
      </c>
      <c r="C1988" s="3">
        <f>MONTH(SalesData[[#This Row],[Order Date]])</f>
        <v>4</v>
      </c>
      <c r="D1988" t="s">
        <v>62</v>
      </c>
      <c r="E1988" t="s">
        <v>31</v>
      </c>
      <c r="F1988" t="s">
        <v>15</v>
      </c>
      <c r="G1988" t="s">
        <v>41</v>
      </c>
      <c r="H1988" t="s">
        <v>42</v>
      </c>
      <c r="I1988" s="2">
        <v>2104.8200000000002</v>
      </c>
      <c r="J1988" s="3">
        <v>6</v>
      </c>
      <c r="K1988" s="2">
        <v>339.1</v>
      </c>
    </row>
    <row r="1989" spans="1:11" x14ac:dyDescent="0.25">
      <c r="A1989" s="4">
        <v>42850</v>
      </c>
      <c r="B1989" s="3">
        <f>YEAR(SalesData[[#This Row],[Order Date]])</f>
        <v>2017</v>
      </c>
      <c r="C1989" s="3">
        <f>MONTH(SalesData[[#This Row],[Order Date]])</f>
        <v>4</v>
      </c>
      <c r="D1989" t="s">
        <v>62</v>
      </c>
      <c r="E1989" t="s">
        <v>34</v>
      </c>
      <c r="F1989" t="s">
        <v>11</v>
      </c>
      <c r="G1989" t="s">
        <v>12</v>
      </c>
      <c r="H1989" t="s">
        <v>65</v>
      </c>
      <c r="I1989" s="2">
        <v>4364.9799999999996</v>
      </c>
      <c r="J1989" s="3">
        <v>10</v>
      </c>
      <c r="K1989" s="2">
        <v>311.39999999999998</v>
      </c>
    </row>
    <row r="1990" spans="1:11" x14ac:dyDescent="0.25">
      <c r="A1990" s="4">
        <v>42850</v>
      </c>
      <c r="B1990" s="3">
        <f>YEAR(SalesData[[#This Row],[Order Date]])</f>
        <v>2017</v>
      </c>
      <c r="C1990" s="3">
        <f>MONTH(SalesData[[#This Row],[Order Date]])</f>
        <v>4</v>
      </c>
      <c r="D1990" t="s">
        <v>14</v>
      </c>
      <c r="E1990" t="s">
        <v>60</v>
      </c>
      <c r="F1990" t="s">
        <v>15</v>
      </c>
      <c r="G1990" t="s">
        <v>63</v>
      </c>
      <c r="H1990" t="s">
        <v>64</v>
      </c>
      <c r="I1990" s="2">
        <v>1653.23</v>
      </c>
      <c r="J1990" s="3">
        <v>9</v>
      </c>
      <c r="K1990" s="2">
        <v>370.94</v>
      </c>
    </row>
    <row r="1991" spans="1:11" x14ac:dyDescent="0.25">
      <c r="A1991" s="4">
        <v>42854</v>
      </c>
      <c r="B1991" s="3">
        <f>YEAR(SalesData[[#This Row],[Order Date]])</f>
        <v>2017</v>
      </c>
      <c r="C1991" s="3">
        <f>MONTH(SalesData[[#This Row],[Order Date]])</f>
        <v>4</v>
      </c>
      <c r="D1991" t="s">
        <v>18</v>
      </c>
      <c r="E1991" t="s">
        <v>37</v>
      </c>
      <c r="F1991" t="s">
        <v>15</v>
      </c>
      <c r="G1991" t="s">
        <v>41</v>
      </c>
      <c r="H1991" t="s">
        <v>61</v>
      </c>
      <c r="I1991" s="2">
        <v>3893.38</v>
      </c>
      <c r="J1991" s="3">
        <v>7</v>
      </c>
      <c r="K1991" s="2">
        <v>771.95</v>
      </c>
    </row>
    <row r="1992" spans="1:11" x14ac:dyDescent="0.25">
      <c r="A1992" s="4">
        <v>42854</v>
      </c>
      <c r="B1992" s="3">
        <f>YEAR(SalesData[[#This Row],[Order Date]])</f>
        <v>2017</v>
      </c>
      <c r="C1992" s="3">
        <f>MONTH(SalesData[[#This Row],[Order Date]])</f>
        <v>4</v>
      </c>
      <c r="D1992" t="s">
        <v>9</v>
      </c>
      <c r="E1992" t="s">
        <v>40</v>
      </c>
      <c r="F1992" t="s">
        <v>27</v>
      </c>
      <c r="G1992" t="s">
        <v>32</v>
      </c>
      <c r="H1992" t="s">
        <v>53</v>
      </c>
      <c r="I1992" s="2">
        <v>3693.09</v>
      </c>
      <c r="J1992" s="3">
        <v>6</v>
      </c>
      <c r="K1992" s="2">
        <v>730</v>
      </c>
    </row>
    <row r="1993" spans="1:11" x14ac:dyDescent="0.25">
      <c r="A1993" s="4">
        <v>42854</v>
      </c>
      <c r="B1993" s="3">
        <f>YEAR(SalesData[[#This Row],[Order Date]])</f>
        <v>2017</v>
      </c>
      <c r="C1993" s="3">
        <f>MONTH(SalesData[[#This Row],[Order Date]])</f>
        <v>4</v>
      </c>
      <c r="D1993" t="s">
        <v>55</v>
      </c>
      <c r="E1993" t="s">
        <v>40</v>
      </c>
      <c r="F1993" t="s">
        <v>27</v>
      </c>
      <c r="G1993" t="s">
        <v>48</v>
      </c>
      <c r="H1993" t="s">
        <v>49</v>
      </c>
      <c r="I1993" s="2">
        <v>3333.03</v>
      </c>
      <c r="J1993" s="3">
        <v>1</v>
      </c>
      <c r="K1993" s="2">
        <v>223.19</v>
      </c>
    </row>
    <row r="1994" spans="1:11" x14ac:dyDescent="0.25">
      <c r="A1994" s="4">
        <v>42855</v>
      </c>
      <c r="B1994" s="3">
        <f>YEAR(SalesData[[#This Row],[Order Date]])</f>
        <v>2017</v>
      </c>
      <c r="C1994" s="3">
        <f>MONTH(SalesData[[#This Row],[Order Date]])</f>
        <v>4</v>
      </c>
      <c r="D1994" t="s">
        <v>30</v>
      </c>
      <c r="E1994" t="s">
        <v>26</v>
      </c>
      <c r="F1994" t="s">
        <v>11</v>
      </c>
      <c r="G1994" t="s">
        <v>24</v>
      </c>
      <c r="H1994" t="s">
        <v>54</v>
      </c>
      <c r="I1994" s="2">
        <v>3850.47</v>
      </c>
      <c r="J1994" s="3">
        <v>7</v>
      </c>
      <c r="K1994" s="2">
        <v>702.06</v>
      </c>
    </row>
    <row r="1995" spans="1:11" x14ac:dyDescent="0.25">
      <c r="A1995" s="4">
        <v>42855</v>
      </c>
      <c r="B1995" s="3">
        <f>YEAR(SalesData[[#This Row],[Order Date]])</f>
        <v>2017</v>
      </c>
      <c r="C1995" s="3">
        <f>MONTH(SalesData[[#This Row],[Order Date]])</f>
        <v>4</v>
      </c>
      <c r="D1995" t="s">
        <v>23</v>
      </c>
      <c r="E1995" t="s">
        <v>26</v>
      </c>
      <c r="F1995" t="s">
        <v>15</v>
      </c>
      <c r="G1995" t="s">
        <v>45</v>
      </c>
      <c r="H1995" t="s">
        <v>46</v>
      </c>
      <c r="I1995" s="2">
        <v>298.7</v>
      </c>
      <c r="J1995" s="3">
        <v>7</v>
      </c>
      <c r="K1995" s="2">
        <v>40.549999999999997</v>
      </c>
    </row>
    <row r="1996" spans="1:11" x14ac:dyDescent="0.25">
      <c r="A1996" s="4">
        <v>42855</v>
      </c>
      <c r="B1996" s="3">
        <f>YEAR(SalesData[[#This Row],[Order Date]])</f>
        <v>2017</v>
      </c>
      <c r="C1996" s="3">
        <f>MONTH(SalesData[[#This Row],[Order Date]])</f>
        <v>4</v>
      </c>
      <c r="D1996" t="s">
        <v>14</v>
      </c>
      <c r="E1996" t="s">
        <v>44</v>
      </c>
      <c r="F1996" t="s">
        <v>11</v>
      </c>
      <c r="G1996" t="s">
        <v>12</v>
      </c>
      <c r="H1996" t="s">
        <v>13</v>
      </c>
      <c r="I1996" s="2">
        <v>3351.52</v>
      </c>
      <c r="J1996" s="3">
        <v>4</v>
      </c>
      <c r="K1996" s="2">
        <v>567.53</v>
      </c>
    </row>
    <row r="1997" spans="1:11" x14ac:dyDescent="0.25">
      <c r="A1997" s="4">
        <v>42855</v>
      </c>
      <c r="B1997" s="3">
        <f>YEAR(SalesData[[#This Row],[Order Date]])</f>
        <v>2017</v>
      </c>
      <c r="C1997" s="3">
        <f>MONTH(SalesData[[#This Row],[Order Date]])</f>
        <v>4</v>
      </c>
      <c r="D1997" t="s">
        <v>50</v>
      </c>
      <c r="E1997" t="s">
        <v>34</v>
      </c>
      <c r="F1997" t="s">
        <v>27</v>
      </c>
      <c r="G1997" t="s">
        <v>32</v>
      </c>
      <c r="H1997" t="s">
        <v>33</v>
      </c>
      <c r="I1997" s="2">
        <v>4423.74</v>
      </c>
      <c r="J1997" s="3">
        <v>3</v>
      </c>
      <c r="K1997" s="2">
        <v>947.35</v>
      </c>
    </row>
    <row r="1998" spans="1:11" x14ac:dyDescent="0.25">
      <c r="A1998" s="4">
        <v>42855</v>
      </c>
      <c r="B1998" s="3">
        <f>YEAR(SalesData[[#This Row],[Order Date]])</f>
        <v>2017</v>
      </c>
      <c r="C1998" s="3">
        <f>MONTH(SalesData[[#This Row],[Order Date]])</f>
        <v>4</v>
      </c>
      <c r="D1998" t="s">
        <v>9</v>
      </c>
      <c r="E1998" t="s">
        <v>37</v>
      </c>
      <c r="F1998" t="s">
        <v>15</v>
      </c>
      <c r="G1998" t="s">
        <v>16</v>
      </c>
      <c r="H1998" t="s">
        <v>51</v>
      </c>
      <c r="I1998" s="2">
        <v>1259.5</v>
      </c>
      <c r="J1998" s="3">
        <v>2</v>
      </c>
      <c r="K1998" s="2">
        <v>24.6</v>
      </c>
    </row>
    <row r="1999" spans="1:11" x14ac:dyDescent="0.25">
      <c r="A1999" s="4">
        <v>42856</v>
      </c>
      <c r="B1999" s="3">
        <f>YEAR(SalesData[[#This Row],[Order Date]])</f>
        <v>2017</v>
      </c>
      <c r="C1999" s="3">
        <f>MONTH(SalesData[[#This Row],[Order Date]])</f>
        <v>5</v>
      </c>
      <c r="D1999" t="s">
        <v>55</v>
      </c>
      <c r="E1999" t="s">
        <v>52</v>
      </c>
      <c r="F1999" t="s">
        <v>27</v>
      </c>
      <c r="G1999" t="s">
        <v>32</v>
      </c>
      <c r="H1999" t="s">
        <v>33</v>
      </c>
      <c r="I1999" s="2">
        <v>1641.2</v>
      </c>
      <c r="J1999" s="3">
        <v>3</v>
      </c>
      <c r="K1999" s="2">
        <v>97.93</v>
      </c>
    </row>
    <row r="2000" spans="1:11" x14ac:dyDescent="0.25">
      <c r="A2000" s="4">
        <v>42857</v>
      </c>
      <c r="B2000" s="3">
        <f>YEAR(SalesData[[#This Row],[Order Date]])</f>
        <v>2017</v>
      </c>
      <c r="C2000" s="3">
        <f>MONTH(SalesData[[#This Row],[Order Date]])</f>
        <v>5</v>
      </c>
      <c r="D2000" t="s">
        <v>9</v>
      </c>
      <c r="E2000" t="s">
        <v>44</v>
      </c>
      <c r="F2000" t="s">
        <v>11</v>
      </c>
      <c r="G2000" t="s">
        <v>24</v>
      </c>
      <c r="H2000" t="s">
        <v>25</v>
      </c>
      <c r="I2000" s="2">
        <v>4430.2700000000004</v>
      </c>
      <c r="J2000" s="3">
        <v>3</v>
      </c>
      <c r="K2000" s="2">
        <v>578.88</v>
      </c>
    </row>
    <row r="2001" spans="1:11" x14ac:dyDescent="0.25">
      <c r="A2001" s="4">
        <v>42857</v>
      </c>
      <c r="B2001" s="3">
        <f>YEAR(SalesData[[#This Row],[Order Date]])</f>
        <v>2017</v>
      </c>
      <c r="C2001" s="3">
        <f>MONTH(SalesData[[#This Row],[Order Date]])</f>
        <v>5</v>
      </c>
      <c r="D2001" t="s">
        <v>9</v>
      </c>
      <c r="E2001" t="s">
        <v>26</v>
      </c>
      <c r="F2001" t="s">
        <v>27</v>
      </c>
      <c r="G2001" t="s">
        <v>32</v>
      </c>
      <c r="H2001" t="s">
        <v>33</v>
      </c>
      <c r="I2001" s="2">
        <v>4442.67</v>
      </c>
      <c r="J2001" s="3">
        <v>8</v>
      </c>
      <c r="K2001" s="2">
        <v>1260.4100000000001</v>
      </c>
    </row>
    <row r="2002" spans="1:11" x14ac:dyDescent="0.25">
      <c r="A2002" s="4">
        <v>42857</v>
      </c>
      <c r="B2002" s="3">
        <f>YEAR(SalesData[[#This Row],[Order Date]])</f>
        <v>2017</v>
      </c>
      <c r="C2002" s="3">
        <f>MONTH(SalesData[[#This Row],[Order Date]])</f>
        <v>5</v>
      </c>
      <c r="D2002" t="s">
        <v>50</v>
      </c>
      <c r="E2002" t="s">
        <v>60</v>
      </c>
      <c r="F2002" t="s">
        <v>27</v>
      </c>
      <c r="G2002" t="s">
        <v>32</v>
      </c>
      <c r="H2002" t="s">
        <v>33</v>
      </c>
      <c r="I2002" s="2">
        <v>1122.3599999999999</v>
      </c>
      <c r="J2002" s="3">
        <v>2</v>
      </c>
      <c r="K2002" s="2">
        <v>278.3</v>
      </c>
    </row>
    <row r="2003" spans="1:11" x14ac:dyDescent="0.25">
      <c r="A2003" s="4">
        <v>42857</v>
      </c>
      <c r="B2003" s="3">
        <f>YEAR(SalesData[[#This Row],[Order Date]])</f>
        <v>2017</v>
      </c>
      <c r="C2003" s="3">
        <f>MONTH(SalesData[[#This Row],[Order Date]])</f>
        <v>5</v>
      </c>
      <c r="D2003" t="s">
        <v>62</v>
      </c>
      <c r="E2003" t="s">
        <v>60</v>
      </c>
      <c r="F2003" t="s">
        <v>27</v>
      </c>
      <c r="G2003" t="s">
        <v>32</v>
      </c>
      <c r="H2003" t="s">
        <v>33</v>
      </c>
      <c r="I2003" s="2">
        <v>2930.2</v>
      </c>
      <c r="J2003" s="3">
        <v>8</v>
      </c>
      <c r="K2003" s="2">
        <v>345.09</v>
      </c>
    </row>
    <row r="2004" spans="1:11" x14ac:dyDescent="0.25">
      <c r="A2004" s="4">
        <v>42857</v>
      </c>
      <c r="B2004" s="3">
        <f>YEAR(SalesData[[#This Row],[Order Date]])</f>
        <v>2017</v>
      </c>
      <c r="C2004" s="3">
        <f>MONTH(SalesData[[#This Row],[Order Date]])</f>
        <v>5</v>
      </c>
      <c r="D2004" t="s">
        <v>20</v>
      </c>
      <c r="E2004" t="s">
        <v>40</v>
      </c>
      <c r="F2004" t="s">
        <v>11</v>
      </c>
      <c r="G2004" t="s">
        <v>24</v>
      </c>
      <c r="H2004" t="s">
        <v>25</v>
      </c>
      <c r="I2004" s="2">
        <v>1404.55</v>
      </c>
      <c r="J2004" s="3">
        <v>6</v>
      </c>
      <c r="K2004" s="2">
        <v>314.56</v>
      </c>
    </row>
    <row r="2005" spans="1:11" x14ac:dyDescent="0.25">
      <c r="A2005" s="4">
        <v>42858</v>
      </c>
      <c r="B2005" s="3">
        <f>YEAR(SalesData[[#This Row],[Order Date]])</f>
        <v>2017</v>
      </c>
      <c r="C2005" s="3">
        <f>MONTH(SalesData[[#This Row],[Order Date]])</f>
        <v>5</v>
      </c>
      <c r="D2005" t="s">
        <v>20</v>
      </c>
      <c r="E2005" t="s">
        <v>10</v>
      </c>
      <c r="F2005" t="s">
        <v>15</v>
      </c>
      <c r="G2005" t="s">
        <v>63</v>
      </c>
      <c r="H2005" t="s">
        <v>64</v>
      </c>
      <c r="I2005" s="2">
        <v>1152.1099999999999</v>
      </c>
      <c r="J2005" s="3">
        <v>10</v>
      </c>
      <c r="K2005" s="2">
        <v>143.97999999999999</v>
      </c>
    </row>
    <row r="2006" spans="1:11" x14ac:dyDescent="0.25">
      <c r="A2006" s="4">
        <v>42858</v>
      </c>
      <c r="B2006" s="3">
        <f>YEAR(SalesData[[#This Row],[Order Date]])</f>
        <v>2017</v>
      </c>
      <c r="C2006" s="3">
        <f>MONTH(SalesData[[#This Row],[Order Date]])</f>
        <v>5</v>
      </c>
      <c r="D2006" t="s">
        <v>23</v>
      </c>
      <c r="E2006" t="s">
        <v>26</v>
      </c>
      <c r="F2006" t="s">
        <v>11</v>
      </c>
      <c r="G2006" t="s">
        <v>12</v>
      </c>
      <c r="H2006" t="s">
        <v>13</v>
      </c>
      <c r="I2006" s="2">
        <v>234.69</v>
      </c>
      <c r="J2006" s="3">
        <v>10</v>
      </c>
      <c r="K2006" s="2">
        <v>66.930000000000007</v>
      </c>
    </row>
    <row r="2007" spans="1:11" x14ac:dyDescent="0.25">
      <c r="A2007" s="4">
        <v>42858</v>
      </c>
      <c r="B2007" s="3">
        <f>YEAR(SalesData[[#This Row],[Order Date]])</f>
        <v>2017</v>
      </c>
      <c r="C2007" s="3">
        <f>MONTH(SalesData[[#This Row],[Order Date]])</f>
        <v>5</v>
      </c>
      <c r="D2007" t="s">
        <v>55</v>
      </c>
      <c r="E2007" t="s">
        <v>10</v>
      </c>
      <c r="F2007" t="s">
        <v>15</v>
      </c>
      <c r="G2007" t="s">
        <v>45</v>
      </c>
      <c r="H2007" t="s">
        <v>46</v>
      </c>
      <c r="I2007" s="2">
        <v>305.95999999999998</v>
      </c>
      <c r="J2007" s="3">
        <v>7</v>
      </c>
      <c r="K2007" s="2">
        <v>22.06</v>
      </c>
    </row>
    <row r="2008" spans="1:11" x14ac:dyDescent="0.25">
      <c r="A2008" s="4">
        <v>42859</v>
      </c>
      <c r="B2008" s="3">
        <f>YEAR(SalesData[[#This Row],[Order Date]])</f>
        <v>2017</v>
      </c>
      <c r="C2008" s="3">
        <f>MONTH(SalesData[[#This Row],[Order Date]])</f>
        <v>5</v>
      </c>
      <c r="D2008" t="s">
        <v>62</v>
      </c>
      <c r="E2008" t="s">
        <v>10</v>
      </c>
      <c r="F2008" t="s">
        <v>15</v>
      </c>
      <c r="G2008" t="s">
        <v>63</v>
      </c>
      <c r="H2008" t="s">
        <v>66</v>
      </c>
      <c r="I2008" s="2">
        <v>883.89</v>
      </c>
      <c r="J2008" s="3">
        <v>9</v>
      </c>
      <c r="K2008" s="2">
        <v>240.91</v>
      </c>
    </row>
    <row r="2009" spans="1:11" x14ac:dyDescent="0.25">
      <c r="A2009" s="4">
        <v>42859</v>
      </c>
      <c r="B2009" s="3">
        <f>YEAR(SalesData[[#This Row],[Order Date]])</f>
        <v>2017</v>
      </c>
      <c r="C2009" s="3">
        <f>MONTH(SalesData[[#This Row],[Order Date]])</f>
        <v>5</v>
      </c>
      <c r="D2009" t="s">
        <v>50</v>
      </c>
      <c r="E2009" t="s">
        <v>40</v>
      </c>
      <c r="F2009" t="s">
        <v>11</v>
      </c>
      <c r="G2009" t="s">
        <v>24</v>
      </c>
      <c r="H2009" t="s">
        <v>25</v>
      </c>
      <c r="I2009" s="2">
        <v>4513.18</v>
      </c>
      <c r="J2009" s="3">
        <v>10</v>
      </c>
      <c r="K2009" s="2">
        <v>613.74</v>
      </c>
    </row>
    <row r="2010" spans="1:11" x14ac:dyDescent="0.25">
      <c r="A2010" s="4">
        <v>42860</v>
      </c>
      <c r="B2010" s="3">
        <f>YEAR(SalesData[[#This Row],[Order Date]])</f>
        <v>2017</v>
      </c>
      <c r="C2010" s="3">
        <f>MONTH(SalesData[[#This Row],[Order Date]])</f>
        <v>5</v>
      </c>
      <c r="D2010" t="s">
        <v>14</v>
      </c>
      <c r="E2010" t="s">
        <v>34</v>
      </c>
      <c r="F2010" t="s">
        <v>11</v>
      </c>
      <c r="G2010" t="s">
        <v>24</v>
      </c>
      <c r="H2010" t="s">
        <v>25</v>
      </c>
      <c r="I2010" s="2">
        <v>4159.8900000000003</v>
      </c>
      <c r="J2010" s="3">
        <v>6</v>
      </c>
      <c r="K2010" s="2">
        <v>1023.19</v>
      </c>
    </row>
    <row r="2011" spans="1:11" x14ac:dyDescent="0.25">
      <c r="A2011" s="4">
        <v>42861</v>
      </c>
      <c r="B2011" s="3">
        <f>YEAR(SalesData[[#This Row],[Order Date]])</f>
        <v>2017</v>
      </c>
      <c r="C2011" s="3">
        <f>MONTH(SalesData[[#This Row],[Order Date]])</f>
        <v>5</v>
      </c>
      <c r="D2011" t="s">
        <v>50</v>
      </c>
      <c r="E2011" t="s">
        <v>60</v>
      </c>
      <c r="F2011" t="s">
        <v>11</v>
      </c>
      <c r="G2011" t="s">
        <v>24</v>
      </c>
      <c r="H2011" t="s">
        <v>54</v>
      </c>
      <c r="I2011" s="2">
        <v>176.42</v>
      </c>
      <c r="J2011" s="3">
        <v>10</v>
      </c>
      <c r="K2011" s="2">
        <v>20.97</v>
      </c>
    </row>
    <row r="2012" spans="1:11" x14ac:dyDescent="0.25">
      <c r="A2012" s="4">
        <v>42862</v>
      </c>
      <c r="B2012" s="3">
        <f>YEAR(SalesData[[#This Row],[Order Date]])</f>
        <v>2017</v>
      </c>
      <c r="C2012" s="3">
        <f>MONTH(SalesData[[#This Row],[Order Date]])</f>
        <v>5</v>
      </c>
      <c r="D2012" t="s">
        <v>23</v>
      </c>
      <c r="E2012" t="s">
        <v>37</v>
      </c>
      <c r="F2012" t="s">
        <v>27</v>
      </c>
      <c r="G2012" t="s">
        <v>32</v>
      </c>
      <c r="H2012" t="s">
        <v>33</v>
      </c>
      <c r="I2012" s="2">
        <v>2309.06</v>
      </c>
      <c r="J2012" s="3">
        <v>10</v>
      </c>
      <c r="K2012" s="2">
        <v>390.15</v>
      </c>
    </row>
    <row r="2013" spans="1:11" x14ac:dyDescent="0.25">
      <c r="A2013" s="4">
        <v>42863</v>
      </c>
      <c r="B2013" s="3">
        <f>YEAR(SalesData[[#This Row],[Order Date]])</f>
        <v>2017</v>
      </c>
      <c r="C2013" s="3">
        <f>MONTH(SalesData[[#This Row],[Order Date]])</f>
        <v>5</v>
      </c>
      <c r="D2013" t="s">
        <v>9</v>
      </c>
      <c r="E2013" t="s">
        <v>40</v>
      </c>
      <c r="F2013" t="s">
        <v>27</v>
      </c>
      <c r="G2013" t="s">
        <v>48</v>
      </c>
      <c r="H2013" t="s">
        <v>57</v>
      </c>
      <c r="I2013" s="2">
        <v>4252.0600000000004</v>
      </c>
      <c r="J2013" s="3">
        <v>5</v>
      </c>
      <c r="K2013" s="2">
        <v>8.7200000000000006</v>
      </c>
    </row>
    <row r="2014" spans="1:11" x14ac:dyDescent="0.25">
      <c r="A2014" s="4">
        <v>42863</v>
      </c>
      <c r="B2014" s="3">
        <f>YEAR(SalesData[[#This Row],[Order Date]])</f>
        <v>2017</v>
      </c>
      <c r="C2014" s="3">
        <f>MONTH(SalesData[[#This Row],[Order Date]])</f>
        <v>5</v>
      </c>
      <c r="D2014" t="s">
        <v>43</v>
      </c>
      <c r="E2014" t="s">
        <v>19</v>
      </c>
      <c r="F2014" t="s">
        <v>15</v>
      </c>
      <c r="G2014" t="s">
        <v>41</v>
      </c>
      <c r="H2014" t="s">
        <v>42</v>
      </c>
      <c r="I2014" s="2">
        <v>4330.13</v>
      </c>
      <c r="J2014" s="3">
        <v>6</v>
      </c>
      <c r="K2014" s="2">
        <v>567.69000000000005</v>
      </c>
    </row>
    <row r="2015" spans="1:11" x14ac:dyDescent="0.25">
      <c r="A2015" s="4">
        <v>42863</v>
      </c>
      <c r="B2015" s="3">
        <f>YEAR(SalesData[[#This Row],[Order Date]])</f>
        <v>2017</v>
      </c>
      <c r="C2015" s="3">
        <f>MONTH(SalesData[[#This Row],[Order Date]])</f>
        <v>5</v>
      </c>
      <c r="D2015" t="s">
        <v>43</v>
      </c>
      <c r="E2015" t="s">
        <v>31</v>
      </c>
      <c r="F2015" t="s">
        <v>15</v>
      </c>
      <c r="G2015" t="s">
        <v>45</v>
      </c>
      <c r="H2015" t="s">
        <v>59</v>
      </c>
      <c r="I2015" s="2">
        <v>1205.8800000000001</v>
      </c>
      <c r="J2015" s="3">
        <v>3</v>
      </c>
      <c r="K2015" s="2">
        <v>43.59</v>
      </c>
    </row>
    <row r="2016" spans="1:11" x14ac:dyDescent="0.25">
      <c r="A2016" s="4">
        <v>42864</v>
      </c>
      <c r="B2016" s="3">
        <f>YEAR(SalesData[[#This Row],[Order Date]])</f>
        <v>2017</v>
      </c>
      <c r="C2016" s="3">
        <f>MONTH(SalesData[[#This Row],[Order Date]])</f>
        <v>5</v>
      </c>
      <c r="D2016" t="s">
        <v>18</v>
      </c>
      <c r="E2016" t="s">
        <v>34</v>
      </c>
      <c r="F2016" t="s">
        <v>11</v>
      </c>
      <c r="G2016" t="s">
        <v>21</v>
      </c>
      <c r="H2016" t="s">
        <v>67</v>
      </c>
      <c r="I2016" s="2">
        <v>1505.11</v>
      </c>
      <c r="J2016" s="3">
        <v>8</v>
      </c>
      <c r="K2016" s="2">
        <v>205.93</v>
      </c>
    </row>
    <row r="2017" spans="1:11" x14ac:dyDescent="0.25">
      <c r="A2017" s="4">
        <v>42864</v>
      </c>
      <c r="B2017" s="3">
        <f>YEAR(SalesData[[#This Row],[Order Date]])</f>
        <v>2017</v>
      </c>
      <c r="C2017" s="3">
        <f>MONTH(SalesData[[#This Row],[Order Date]])</f>
        <v>5</v>
      </c>
      <c r="D2017" t="s">
        <v>62</v>
      </c>
      <c r="E2017" t="s">
        <v>10</v>
      </c>
      <c r="F2017" t="s">
        <v>15</v>
      </c>
      <c r="G2017" t="s">
        <v>16</v>
      </c>
      <c r="H2017" t="s">
        <v>51</v>
      </c>
      <c r="I2017" s="2">
        <v>4627.3999999999996</v>
      </c>
      <c r="J2017" s="3">
        <v>7</v>
      </c>
      <c r="K2017" s="2">
        <v>614.04999999999995</v>
      </c>
    </row>
    <row r="2018" spans="1:11" x14ac:dyDescent="0.25">
      <c r="A2018" s="4">
        <v>42865</v>
      </c>
      <c r="B2018" s="3">
        <f>YEAR(SalesData[[#This Row],[Order Date]])</f>
        <v>2017</v>
      </c>
      <c r="C2018" s="3">
        <f>MONTH(SalesData[[#This Row],[Order Date]])</f>
        <v>5</v>
      </c>
      <c r="D2018" t="s">
        <v>18</v>
      </c>
      <c r="E2018" t="s">
        <v>10</v>
      </c>
      <c r="F2018" t="s">
        <v>15</v>
      </c>
      <c r="G2018" t="s">
        <v>16</v>
      </c>
      <c r="H2018" t="s">
        <v>17</v>
      </c>
      <c r="I2018" s="2">
        <v>2928.93</v>
      </c>
      <c r="J2018" s="3">
        <v>6</v>
      </c>
      <c r="K2018" s="2">
        <v>644.22</v>
      </c>
    </row>
    <row r="2019" spans="1:11" x14ac:dyDescent="0.25">
      <c r="A2019" s="4">
        <v>42865</v>
      </c>
      <c r="B2019" s="3">
        <f>YEAR(SalesData[[#This Row],[Order Date]])</f>
        <v>2017</v>
      </c>
      <c r="C2019" s="3">
        <f>MONTH(SalesData[[#This Row],[Order Date]])</f>
        <v>5</v>
      </c>
      <c r="D2019" t="s">
        <v>9</v>
      </c>
      <c r="E2019" t="s">
        <v>40</v>
      </c>
      <c r="F2019" t="s">
        <v>27</v>
      </c>
      <c r="G2019" t="s">
        <v>48</v>
      </c>
      <c r="H2019" t="s">
        <v>57</v>
      </c>
      <c r="I2019" s="2">
        <v>1945.04</v>
      </c>
      <c r="J2019" s="3">
        <v>9</v>
      </c>
      <c r="K2019" s="2">
        <v>130.21</v>
      </c>
    </row>
    <row r="2020" spans="1:11" x14ac:dyDescent="0.25">
      <c r="A2020" s="4">
        <v>42865</v>
      </c>
      <c r="B2020" s="3">
        <f>YEAR(SalesData[[#This Row],[Order Date]])</f>
        <v>2017</v>
      </c>
      <c r="C2020" s="3">
        <f>MONTH(SalesData[[#This Row],[Order Date]])</f>
        <v>5</v>
      </c>
      <c r="D2020" t="s">
        <v>43</v>
      </c>
      <c r="E2020" t="s">
        <v>31</v>
      </c>
      <c r="F2020" t="s">
        <v>15</v>
      </c>
      <c r="G2020" t="s">
        <v>63</v>
      </c>
      <c r="H2020" t="s">
        <v>66</v>
      </c>
      <c r="I2020" s="2">
        <v>2944.64</v>
      </c>
      <c r="J2020" s="3">
        <v>5</v>
      </c>
      <c r="K2020" s="2">
        <v>787.19</v>
      </c>
    </row>
    <row r="2021" spans="1:11" x14ac:dyDescent="0.25">
      <c r="A2021" s="4">
        <v>42865</v>
      </c>
      <c r="B2021" s="3">
        <f>YEAR(SalesData[[#This Row],[Order Date]])</f>
        <v>2017</v>
      </c>
      <c r="C2021" s="3">
        <f>MONTH(SalesData[[#This Row],[Order Date]])</f>
        <v>5</v>
      </c>
      <c r="D2021" t="s">
        <v>18</v>
      </c>
      <c r="E2021" t="s">
        <v>44</v>
      </c>
      <c r="F2021" t="s">
        <v>27</v>
      </c>
      <c r="G2021" t="s">
        <v>28</v>
      </c>
      <c r="H2021" t="s">
        <v>29</v>
      </c>
      <c r="I2021" s="2">
        <v>3001.55</v>
      </c>
      <c r="J2021" s="3">
        <v>6</v>
      </c>
      <c r="K2021" s="2">
        <v>359.15</v>
      </c>
    </row>
    <row r="2022" spans="1:11" x14ac:dyDescent="0.25">
      <c r="A2022" s="4">
        <v>42866</v>
      </c>
      <c r="B2022" s="3">
        <f>YEAR(SalesData[[#This Row],[Order Date]])</f>
        <v>2017</v>
      </c>
      <c r="C2022" s="3">
        <f>MONTH(SalesData[[#This Row],[Order Date]])</f>
        <v>5</v>
      </c>
      <c r="D2022" t="s">
        <v>55</v>
      </c>
      <c r="E2022" t="s">
        <v>19</v>
      </c>
      <c r="F2022" t="s">
        <v>15</v>
      </c>
      <c r="G2022" t="s">
        <v>16</v>
      </c>
      <c r="H2022" t="s">
        <v>17</v>
      </c>
      <c r="I2022" s="2">
        <v>660.52</v>
      </c>
      <c r="J2022" s="3">
        <v>1</v>
      </c>
      <c r="K2022" s="2">
        <v>161.24</v>
      </c>
    </row>
    <row r="2023" spans="1:11" x14ac:dyDescent="0.25">
      <c r="A2023" s="4">
        <v>42868</v>
      </c>
      <c r="B2023" s="3">
        <f>YEAR(SalesData[[#This Row],[Order Date]])</f>
        <v>2017</v>
      </c>
      <c r="C2023" s="3">
        <f>MONTH(SalesData[[#This Row],[Order Date]])</f>
        <v>5</v>
      </c>
      <c r="D2023" t="s">
        <v>55</v>
      </c>
      <c r="E2023" t="s">
        <v>37</v>
      </c>
      <c r="F2023" t="s">
        <v>15</v>
      </c>
      <c r="G2023" t="s">
        <v>45</v>
      </c>
      <c r="H2023" t="s">
        <v>46</v>
      </c>
      <c r="I2023" s="2">
        <v>3118.95</v>
      </c>
      <c r="J2023" s="3">
        <v>10</v>
      </c>
      <c r="K2023" s="2">
        <v>345.84</v>
      </c>
    </row>
    <row r="2024" spans="1:11" x14ac:dyDescent="0.25">
      <c r="A2024" s="4">
        <v>42869</v>
      </c>
      <c r="B2024" s="3">
        <f>YEAR(SalesData[[#This Row],[Order Date]])</f>
        <v>2017</v>
      </c>
      <c r="C2024" s="3">
        <f>MONTH(SalesData[[#This Row],[Order Date]])</f>
        <v>5</v>
      </c>
      <c r="D2024" t="s">
        <v>50</v>
      </c>
      <c r="E2024" t="s">
        <v>10</v>
      </c>
      <c r="F2024" t="s">
        <v>27</v>
      </c>
      <c r="G2024" t="s">
        <v>32</v>
      </c>
      <c r="H2024" t="s">
        <v>53</v>
      </c>
      <c r="I2024" s="2">
        <v>3473.82</v>
      </c>
      <c r="J2024" s="3">
        <v>7</v>
      </c>
      <c r="K2024" s="2">
        <v>425.31</v>
      </c>
    </row>
    <row r="2025" spans="1:11" x14ac:dyDescent="0.25">
      <c r="A2025" s="4">
        <v>42870</v>
      </c>
      <c r="B2025" s="3">
        <f>YEAR(SalesData[[#This Row],[Order Date]])</f>
        <v>2017</v>
      </c>
      <c r="C2025" s="3">
        <f>MONTH(SalesData[[#This Row],[Order Date]])</f>
        <v>5</v>
      </c>
      <c r="D2025" t="s">
        <v>62</v>
      </c>
      <c r="E2025" t="s">
        <v>60</v>
      </c>
      <c r="F2025" t="s">
        <v>11</v>
      </c>
      <c r="G2025" t="s">
        <v>24</v>
      </c>
      <c r="H2025" t="s">
        <v>54</v>
      </c>
      <c r="I2025" s="2">
        <v>3353.78</v>
      </c>
      <c r="J2025" s="3">
        <v>5</v>
      </c>
      <c r="K2025" s="2">
        <v>676.7</v>
      </c>
    </row>
    <row r="2026" spans="1:11" x14ac:dyDescent="0.25">
      <c r="A2026" s="4">
        <v>42870</v>
      </c>
      <c r="B2026" s="3">
        <f>YEAR(SalesData[[#This Row],[Order Date]])</f>
        <v>2017</v>
      </c>
      <c r="C2026" s="3">
        <f>MONTH(SalesData[[#This Row],[Order Date]])</f>
        <v>5</v>
      </c>
      <c r="D2026" t="s">
        <v>55</v>
      </c>
      <c r="E2026" t="s">
        <v>40</v>
      </c>
      <c r="F2026" t="s">
        <v>15</v>
      </c>
      <c r="G2026" t="s">
        <v>63</v>
      </c>
      <c r="H2026" t="s">
        <v>66</v>
      </c>
      <c r="I2026" s="2">
        <v>2048.04</v>
      </c>
      <c r="J2026" s="3">
        <v>4</v>
      </c>
      <c r="K2026" s="2">
        <v>236.65</v>
      </c>
    </row>
    <row r="2027" spans="1:11" x14ac:dyDescent="0.25">
      <c r="A2027" s="4">
        <v>42870</v>
      </c>
      <c r="B2027" s="3">
        <f>YEAR(SalesData[[#This Row],[Order Date]])</f>
        <v>2017</v>
      </c>
      <c r="C2027" s="3">
        <f>MONTH(SalesData[[#This Row],[Order Date]])</f>
        <v>5</v>
      </c>
      <c r="D2027" t="s">
        <v>43</v>
      </c>
      <c r="E2027" t="s">
        <v>10</v>
      </c>
      <c r="F2027" t="s">
        <v>15</v>
      </c>
      <c r="G2027" t="s">
        <v>41</v>
      </c>
      <c r="H2027" t="s">
        <v>61</v>
      </c>
      <c r="I2027" s="2">
        <v>1394.12</v>
      </c>
      <c r="J2027" s="3">
        <v>4</v>
      </c>
      <c r="K2027" s="2">
        <v>331.07</v>
      </c>
    </row>
    <row r="2028" spans="1:11" x14ac:dyDescent="0.25">
      <c r="A2028" s="4">
        <v>42870</v>
      </c>
      <c r="B2028" s="3">
        <f>YEAR(SalesData[[#This Row],[Order Date]])</f>
        <v>2017</v>
      </c>
      <c r="C2028" s="3">
        <f>MONTH(SalesData[[#This Row],[Order Date]])</f>
        <v>5</v>
      </c>
      <c r="D2028" t="s">
        <v>9</v>
      </c>
      <c r="E2028" t="s">
        <v>10</v>
      </c>
      <c r="F2028" t="s">
        <v>11</v>
      </c>
      <c r="G2028" t="s">
        <v>12</v>
      </c>
      <c r="H2028" t="s">
        <v>13</v>
      </c>
      <c r="I2028" s="2">
        <v>4835.3500000000004</v>
      </c>
      <c r="J2028" s="3">
        <v>5</v>
      </c>
      <c r="K2028" s="2">
        <v>953.33</v>
      </c>
    </row>
    <row r="2029" spans="1:11" x14ac:dyDescent="0.25">
      <c r="A2029" s="4">
        <v>42871</v>
      </c>
      <c r="B2029" s="3">
        <f>YEAR(SalesData[[#This Row],[Order Date]])</f>
        <v>2017</v>
      </c>
      <c r="C2029" s="3">
        <f>MONTH(SalesData[[#This Row],[Order Date]])</f>
        <v>5</v>
      </c>
      <c r="D2029" t="s">
        <v>18</v>
      </c>
      <c r="E2029" t="s">
        <v>60</v>
      </c>
      <c r="F2029" t="s">
        <v>27</v>
      </c>
      <c r="G2029" t="s">
        <v>28</v>
      </c>
      <c r="H2029" t="s">
        <v>58</v>
      </c>
      <c r="I2029" s="2">
        <v>552.88</v>
      </c>
      <c r="J2029" s="3">
        <v>7</v>
      </c>
      <c r="K2029" s="2">
        <v>76.040000000000006</v>
      </c>
    </row>
    <row r="2030" spans="1:11" x14ac:dyDescent="0.25">
      <c r="A2030" s="4">
        <v>42871</v>
      </c>
      <c r="B2030" s="3">
        <f>YEAR(SalesData[[#This Row],[Order Date]])</f>
        <v>2017</v>
      </c>
      <c r="C2030" s="3">
        <f>MONTH(SalesData[[#This Row],[Order Date]])</f>
        <v>5</v>
      </c>
      <c r="D2030" t="s">
        <v>43</v>
      </c>
      <c r="E2030" t="s">
        <v>19</v>
      </c>
      <c r="F2030" t="s">
        <v>27</v>
      </c>
      <c r="G2030" t="s">
        <v>28</v>
      </c>
      <c r="H2030" t="s">
        <v>29</v>
      </c>
      <c r="I2030" s="2">
        <v>3426.64</v>
      </c>
      <c r="J2030" s="3">
        <v>4</v>
      </c>
      <c r="K2030" s="2">
        <v>14.64</v>
      </c>
    </row>
    <row r="2031" spans="1:11" x14ac:dyDescent="0.25">
      <c r="A2031" s="4">
        <v>42872</v>
      </c>
      <c r="B2031" s="3">
        <f>YEAR(SalesData[[#This Row],[Order Date]])</f>
        <v>2017</v>
      </c>
      <c r="C2031" s="3">
        <f>MONTH(SalesData[[#This Row],[Order Date]])</f>
        <v>5</v>
      </c>
      <c r="D2031" t="s">
        <v>23</v>
      </c>
      <c r="E2031" t="s">
        <v>44</v>
      </c>
      <c r="F2031" t="s">
        <v>27</v>
      </c>
      <c r="G2031" t="s">
        <v>48</v>
      </c>
      <c r="H2031" t="s">
        <v>57</v>
      </c>
      <c r="I2031" s="2">
        <v>307.76</v>
      </c>
      <c r="J2031" s="3">
        <v>6</v>
      </c>
      <c r="K2031" s="2">
        <v>14.9</v>
      </c>
    </row>
    <row r="2032" spans="1:11" x14ac:dyDescent="0.25">
      <c r="A2032" s="4">
        <v>42872</v>
      </c>
      <c r="B2032" s="3">
        <f>YEAR(SalesData[[#This Row],[Order Date]])</f>
        <v>2017</v>
      </c>
      <c r="C2032" s="3">
        <f>MONTH(SalesData[[#This Row],[Order Date]])</f>
        <v>5</v>
      </c>
      <c r="D2032" t="s">
        <v>9</v>
      </c>
      <c r="E2032" t="s">
        <v>52</v>
      </c>
      <c r="F2032" t="s">
        <v>11</v>
      </c>
      <c r="G2032" t="s">
        <v>35</v>
      </c>
      <c r="H2032" t="s">
        <v>36</v>
      </c>
      <c r="I2032" s="2">
        <v>204.97</v>
      </c>
      <c r="J2032" s="3">
        <v>7</v>
      </c>
      <c r="K2032" s="2">
        <v>32.880000000000003</v>
      </c>
    </row>
    <row r="2033" spans="1:11" x14ac:dyDescent="0.25">
      <c r="A2033" s="4">
        <v>42872</v>
      </c>
      <c r="B2033" s="3">
        <f>YEAR(SalesData[[#This Row],[Order Date]])</f>
        <v>2017</v>
      </c>
      <c r="C2033" s="3">
        <f>MONTH(SalesData[[#This Row],[Order Date]])</f>
        <v>5</v>
      </c>
      <c r="D2033" t="s">
        <v>55</v>
      </c>
      <c r="E2033" t="s">
        <v>34</v>
      </c>
      <c r="F2033" t="s">
        <v>11</v>
      </c>
      <c r="G2033" t="s">
        <v>12</v>
      </c>
      <c r="H2033" t="s">
        <v>13</v>
      </c>
      <c r="I2033" s="2">
        <v>4927.3999999999996</v>
      </c>
      <c r="J2033" s="3">
        <v>10</v>
      </c>
      <c r="K2033" s="2">
        <v>683.53</v>
      </c>
    </row>
    <row r="2034" spans="1:11" x14ac:dyDescent="0.25">
      <c r="A2034" s="4">
        <v>42872</v>
      </c>
      <c r="B2034" s="3">
        <f>YEAR(SalesData[[#This Row],[Order Date]])</f>
        <v>2017</v>
      </c>
      <c r="C2034" s="3">
        <f>MONTH(SalesData[[#This Row],[Order Date]])</f>
        <v>5</v>
      </c>
      <c r="D2034" t="s">
        <v>55</v>
      </c>
      <c r="E2034" t="s">
        <v>31</v>
      </c>
      <c r="F2034" t="s">
        <v>11</v>
      </c>
      <c r="G2034" t="s">
        <v>21</v>
      </c>
      <c r="H2034" t="s">
        <v>22</v>
      </c>
      <c r="I2034" s="2">
        <v>3400.41</v>
      </c>
      <c r="J2034" s="3">
        <v>4</v>
      </c>
      <c r="K2034" s="2">
        <v>513.1</v>
      </c>
    </row>
    <row r="2035" spans="1:11" x14ac:dyDescent="0.25">
      <c r="A2035" s="4">
        <v>42873</v>
      </c>
      <c r="B2035" s="3">
        <f>YEAR(SalesData[[#This Row],[Order Date]])</f>
        <v>2017</v>
      </c>
      <c r="C2035" s="3">
        <f>MONTH(SalesData[[#This Row],[Order Date]])</f>
        <v>5</v>
      </c>
      <c r="D2035" t="s">
        <v>55</v>
      </c>
      <c r="E2035" t="s">
        <v>26</v>
      </c>
      <c r="F2035" t="s">
        <v>15</v>
      </c>
      <c r="G2035" t="s">
        <v>45</v>
      </c>
      <c r="H2035" t="s">
        <v>46</v>
      </c>
      <c r="I2035" s="2">
        <v>4552.91</v>
      </c>
      <c r="J2035" s="3">
        <v>10</v>
      </c>
      <c r="K2035" s="2">
        <v>1292.08</v>
      </c>
    </row>
    <row r="2036" spans="1:11" x14ac:dyDescent="0.25">
      <c r="A2036" s="4">
        <v>42873</v>
      </c>
      <c r="B2036" s="3">
        <f>YEAR(SalesData[[#This Row],[Order Date]])</f>
        <v>2017</v>
      </c>
      <c r="C2036" s="3">
        <f>MONTH(SalesData[[#This Row],[Order Date]])</f>
        <v>5</v>
      </c>
      <c r="D2036" t="s">
        <v>50</v>
      </c>
      <c r="E2036" t="s">
        <v>31</v>
      </c>
      <c r="F2036" t="s">
        <v>11</v>
      </c>
      <c r="G2036" t="s">
        <v>21</v>
      </c>
      <c r="H2036" t="s">
        <v>22</v>
      </c>
      <c r="I2036" s="2">
        <v>1768.59</v>
      </c>
      <c r="J2036" s="3">
        <v>8</v>
      </c>
      <c r="K2036" s="2">
        <v>450.31</v>
      </c>
    </row>
    <row r="2037" spans="1:11" x14ac:dyDescent="0.25">
      <c r="A2037" s="4">
        <v>42873</v>
      </c>
      <c r="B2037" s="3">
        <f>YEAR(SalesData[[#This Row],[Order Date]])</f>
        <v>2017</v>
      </c>
      <c r="C2037" s="3">
        <f>MONTH(SalesData[[#This Row],[Order Date]])</f>
        <v>5</v>
      </c>
      <c r="D2037" t="s">
        <v>55</v>
      </c>
      <c r="E2037" t="s">
        <v>34</v>
      </c>
      <c r="F2037" t="s">
        <v>15</v>
      </c>
      <c r="G2037" t="s">
        <v>38</v>
      </c>
      <c r="H2037" t="s">
        <v>39</v>
      </c>
      <c r="I2037" s="2">
        <v>3038.15</v>
      </c>
      <c r="J2037" s="3">
        <v>7</v>
      </c>
      <c r="K2037" s="2">
        <v>460.47</v>
      </c>
    </row>
    <row r="2038" spans="1:11" x14ac:dyDescent="0.25">
      <c r="A2038" s="4">
        <v>42873</v>
      </c>
      <c r="B2038" s="3">
        <f>YEAR(SalesData[[#This Row],[Order Date]])</f>
        <v>2017</v>
      </c>
      <c r="C2038" s="3">
        <f>MONTH(SalesData[[#This Row],[Order Date]])</f>
        <v>5</v>
      </c>
      <c r="D2038" t="s">
        <v>18</v>
      </c>
      <c r="E2038" t="s">
        <v>52</v>
      </c>
      <c r="F2038" t="s">
        <v>27</v>
      </c>
      <c r="G2038" t="s">
        <v>32</v>
      </c>
      <c r="H2038" t="s">
        <v>33</v>
      </c>
      <c r="I2038" s="2">
        <v>3567.12</v>
      </c>
      <c r="J2038" s="3">
        <v>1</v>
      </c>
      <c r="K2038" s="2">
        <v>930.74</v>
      </c>
    </row>
    <row r="2039" spans="1:11" x14ac:dyDescent="0.25">
      <c r="A2039" s="4">
        <v>42873</v>
      </c>
      <c r="B2039" s="3">
        <f>YEAR(SalesData[[#This Row],[Order Date]])</f>
        <v>2017</v>
      </c>
      <c r="C2039" s="3">
        <f>MONTH(SalesData[[#This Row],[Order Date]])</f>
        <v>5</v>
      </c>
      <c r="D2039" t="s">
        <v>9</v>
      </c>
      <c r="E2039" t="s">
        <v>26</v>
      </c>
      <c r="F2039" t="s">
        <v>11</v>
      </c>
      <c r="G2039" t="s">
        <v>24</v>
      </c>
      <c r="H2039" t="s">
        <v>25</v>
      </c>
      <c r="I2039" s="2">
        <v>4513.17</v>
      </c>
      <c r="J2039" s="3">
        <v>5</v>
      </c>
      <c r="K2039" s="2">
        <v>1299.48</v>
      </c>
    </row>
    <row r="2040" spans="1:11" x14ac:dyDescent="0.25">
      <c r="A2040" s="4">
        <v>42874</v>
      </c>
      <c r="B2040" s="3">
        <f>YEAR(SalesData[[#This Row],[Order Date]])</f>
        <v>2017</v>
      </c>
      <c r="C2040" s="3">
        <f>MONTH(SalesData[[#This Row],[Order Date]])</f>
        <v>5</v>
      </c>
      <c r="D2040" t="s">
        <v>43</v>
      </c>
      <c r="E2040" t="s">
        <v>19</v>
      </c>
      <c r="F2040" t="s">
        <v>11</v>
      </c>
      <c r="G2040" t="s">
        <v>24</v>
      </c>
      <c r="H2040" t="s">
        <v>54</v>
      </c>
      <c r="I2040" s="2">
        <v>914.2</v>
      </c>
      <c r="J2040" s="3">
        <v>7</v>
      </c>
      <c r="K2040" s="2">
        <v>169.71</v>
      </c>
    </row>
    <row r="2041" spans="1:11" x14ac:dyDescent="0.25">
      <c r="A2041" s="4">
        <v>42874</v>
      </c>
      <c r="B2041" s="3">
        <f>YEAR(SalesData[[#This Row],[Order Date]])</f>
        <v>2017</v>
      </c>
      <c r="C2041" s="3">
        <f>MONTH(SalesData[[#This Row],[Order Date]])</f>
        <v>5</v>
      </c>
      <c r="D2041" t="s">
        <v>30</v>
      </c>
      <c r="E2041" t="s">
        <v>52</v>
      </c>
      <c r="F2041" t="s">
        <v>27</v>
      </c>
      <c r="G2041" t="s">
        <v>32</v>
      </c>
      <c r="H2041" t="s">
        <v>33</v>
      </c>
      <c r="I2041" s="2">
        <v>2790.12</v>
      </c>
      <c r="J2041" s="3">
        <v>7</v>
      </c>
      <c r="K2041" s="2">
        <v>459.79</v>
      </c>
    </row>
    <row r="2042" spans="1:11" x14ac:dyDescent="0.25">
      <c r="A2042" s="4">
        <v>42875</v>
      </c>
      <c r="B2042" s="3">
        <f>YEAR(SalesData[[#This Row],[Order Date]])</f>
        <v>2017</v>
      </c>
      <c r="C2042" s="3">
        <f>MONTH(SalesData[[#This Row],[Order Date]])</f>
        <v>5</v>
      </c>
      <c r="D2042" t="s">
        <v>62</v>
      </c>
      <c r="E2042" t="s">
        <v>44</v>
      </c>
      <c r="F2042" t="s">
        <v>27</v>
      </c>
      <c r="G2042" t="s">
        <v>28</v>
      </c>
      <c r="H2042" t="s">
        <v>29</v>
      </c>
      <c r="I2042" s="2">
        <v>250.51</v>
      </c>
      <c r="J2042" s="3">
        <v>9</v>
      </c>
      <c r="K2042" s="2">
        <v>1.59</v>
      </c>
    </row>
    <row r="2043" spans="1:11" x14ac:dyDescent="0.25">
      <c r="A2043" s="4">
        <v>42876</v>
      </c>
      <c r="B2043" s="3">
        <f>YEAR(SalesData[[#This Row],[Order Date]])</f>
        <v>2017</v>
      </c>
      <c r="C2043" s="3">
        <f>MONTH(SalesData[[#This Row],[Order Date]])</f>
        <v>5</v>
      </c>
      <c r="D2043" t="s">
        <v>23</v>
      </c>
      <c r="E2043" t="s">
        <v>26</v>
      </c>
      <c r="F2043" t="s">
        <v>11</v>
      </c>
      <c r="G2043" t="s">
        <v>24</v>
      </c>
      <c r="H2043" t="s">
        <v>54</v>
      </c>
      <c r="I2043" s="2">
        <v>438.14</v>
      </c>
      <c r="J2043" s="3">
        <v>8</v>
      </c>
      <c r="K2043" s="2">
        <v>52.89</v>
      </c>
    </row>
    <row r="2044" spans="1:11" x14ac:dyDescent="0.25">
      <c r="A2044" s="4">
        <v>42876</v>
      </c>
      <c r="B2044" s="3">
        <f>YEAR(SalesData[[#This Row],[Order Date]])</f>
        <v>2017</v>
      </c>
      <c r="C2044" s="3">
        <f>MONTH(SalesData[[#This Row],[Order Date]])</f>
        <v>5</v>
      </c>
      <c r="D2044" t="s">
        <v>43</v>
      </c>
      <c r="E2044" t="s">
        <v>40</v>
      </c>
      <c r="F2044" t="s">
        <v>27</v>
      </c>
      <c r="G2044" t="s">
        <v>28</v>
      </c>
      <c r="H2044" t="s">
        <v>69</v>
      </c>
      <c r="I2044" s="2">
        <v>3931.67</v>
      </c>
      <c r="J2044" s="3">
        <v>3</v>
      </c>
      <c r="K2044" s="2">
        <v>436.42</v>
      </c>
    </row>
    <row r="2045" spans="1:11" x14ac:dyDescent="0.25">
      <c r="A2045" s="4">
        <v>42876</v>
      </c>
      <c r="B2045" s="3">
        <f>YEAR(SalesData[[#This Row],[Order Date]])</f>
        <v>2017</v>
      </c>
      <c r="C2045" s="3">
        <f>MONTH(SalesData[[#This Row],[Order Date]])</f>
        <v>5</v>
      </c>
      <c r="D2045" t="s">
        <v>23</v>
      </c>
      <c r="E2045" t="s">
        <v>40</v>
      </c>
      <c r="F2045" t="s">
        <v>27</v>
      </c>
      <c r="G2045" t="s">
        <v>28</v>
      </c>
      <c r="H2045" t="s">
        <v>58</v>
      </c>
      <c r="I2045" s="2">
        <v>2959.25</v>
      </c>
      <c r="J2045" s="3">
        <v>3</v>
      </c>
      <c r="K2045" s="2">
        <v>368.99</v>
      </c>
    </row>
    <row r="2046" spans="1:11" x14ac:dyDescent="0.25">
      <c r="A2046" s="4">
        <v>42877</v>
      </c>
      <c r="B2046" s="3">
        <f>YEAR(SalesData[[#This Row],[Order Date]])</f>
        <v>2017</v>
      </c>
      <c r="C2046" s="3">
        <f>MONTH(SalesData[[#This Row],[Order Date]])</f>
        <v>5</v>
      </c>
      <c r="D2046" t="s">
        <v>55</v>
      </c>
      <c r="E2046" t="s">
        <v>34</v>
      </c>
      <c r="F2046" t="s">
        <v>27</v>
      </c>
      <c r="G2046" t="s">
        <v>28</v>
      </c>
      <c r="H2046" t="s">
        <v>29</v>
      </c>
      <c r="I2046" s="2">
        <v>552.65</v>
      </c>
      <c r="J2046" s="3">
        <v>5</v>
      </c>
      <c r="K2046" s="2">
        <v>43.72</v>
      </c>
    </row>
    <row r="2047" spans="1:11" x14ac:dyDescent="0.25">
      <c r="A2047" s="4">
        <v>42877</v>
      </c>
      <c r="B2047" s="3">
        <f>YEAR(SalesData[[#This Row],[Order Date]])</f>
        <v>2017</v>
      </c>
      <c r="C2047" s="3">
        <f>MONTH(SalesData[[#This Row],[Order Date]])</f>
        <v>5</v>
      </c>
      <c r="D2047" t="s">
        <v>47</v>
      </c>
      <c r="E2047" t="s">
        <v>10</v>
      </c>
      <c r="F2047" t="s">
        <v>11</v>
      </c>
      <c r="G2047" t="s">
        <v>24</v>
      </c>
      <c r="H2047" t="s">
        <v>25</v>
      </c>
      <c r="I2047" s="2">
        <v>3390.38</v>
      </c>
      <c r="J2047" s="3">
        <v>8</v>
      </c>
      <c r="K2047" s="2">
        <v>900.56</v>
      </c>
    </row>
    <row r="2048" spans="1:11" x14ac:dyDescent="0.25">
      <c r="A2048" s="4">
        <v>42877</v>
      </c>
      <c r="B2048" s="3">
        <f>YEAR(SalesData[[#This Row],[Order Date]])</f>
        <v>2017</v>
      </c>
      <c r="C2048" s="3">
        <f>MONTH(SalesData[[#This Row],[Order Date]])</f>
        <v>5</v>
      </c>
      <c r="D2048" t="s">
        <v>50</v>
      </c>
      <c r="E2048" t="s">
        <v>52</v>
      </c>
      <c r="F2048" t="s">
        <v>27</v>
      </c>
      <c r="G2048" t="s">
        <v>32</v>
      </c>
      <c r="H2048" t="s">
        <v>53</v>
      </c>
      <c r="I2048" s="2">
        <v>1241.71</v>
      </c>
      <c r="J2048" s="3">
        <v>8</v>
      </c>
      <c r="K2048" s="2">
        <v>123.86</v>
      </c>
    </row>
    <row r="2049" spans="1:11" x14ac:dyDescent="0.25">
      <c r="A2049" s="4">
        <v>42877</v>
      </c>
      <c r="B2049" s="3">
        <f>YEAR(SalesData[[#This Row],[Order Date]])</f>
        <v>2017</v>
      </c>
      <c r="C2049" s="3">
        <f>MONTH(SalesData[[#This Row],[Order Date]])</f>
        <v>5</v>
      </c>
      <c r="D2049" t="s">
        <v>23</v>
      </c>
      <c r="E2049" t="s">
        <v>52</v>
      </c>
      <c r="F2049" t="s">
        <v>11</v>
      </c>
      <c r="G2049" t="s">
        <v>35</v>
      </c>
      <c r="H2049" t="s">
        <v>71</v>
      </c>
      <c r="I2049" s="2">
        <v>1001.8</v>
      </c>
      <c r="J2049" s="3">
        <v>1</v>
      </c>
      <c r="K2049" s="2">
        <v>240.19</v>
      </c>
    </row>
    <row r="2050" spans="1:11" x14ac:dyDescent="0.25">
      <c r="A2050" s="4">
        <v>42877</v>
      </c>
      <c r="B2050" s="3">
        <f>YEAR(SalesData[[#This Row],[Order Date]])</f>
        <v>2017</v>
      </c>
      <c r="C2050" s="3">
        <f>MONTH(SalesData[[#This Row],[Order Date]])</f>
        <v>5</v>
      </c>
      <c r="D2050" t="s">
        <v>20</v>
      </c>
      <c r="E2050" t="s">
        <v>52</v>
      </c>
      <c r="F2050" t="s">
        <v>15</v>
      </c>
      <c r="G2050" t="s">
        <v>16</v>
      </c>
      <c r="H2050" t="s">
        <v>17</v>
      </c>
      <c r="I2050" s="2">
        <v>4855.6400000000003</v>
      </c>
      <c r="J2050" s="3">
        <v>2</v>
      </c>
      <c r="K2050" s="2">
        <v>389.68</v>
      </c>
    </row>
    <row r="2051" spans="1:11" x14ac:dyDescent="0.25">
      <c r="A2051" s="4">
        <v>42878</v>
      </c>
      <c r="B2051" s="3">
        <f>YEAR(SalesData[[#This Row],[Order Date]])</f>
        <v>2017</v>
      </c>
      <c r="C2051" s="3">
        <f>MONTH(SalesData[[#This Row],[Order Date]])</f>
        <v>5</v>
      </c>
      <c r="D2051" t="s">
        <v>47</v>
      </c>
      <c r="E2051" t="s">
        <v>10</v>
      </c>
      <c r="F2051" t="s">
        <v>11</v>
      </c>
      <c r="G2051" t="s">
        <v>24</v>
      </c>
      <c r="H2051" t="s">
        <v>54</v>
      </c>
      <c r="I2051" s="2">
        <v>2391.29</v>
      </c>
      <c r="J2051" s="3">
        <v>8</v>
      </c>
      <c r="K2051" s="2">
        <v>123.63</v>
      </c>
    </row>
    <row r="2052" spans="1:11" x14ac:dyDescent="0.25">
      <c r="A2052" s="4">
        <v>42878</v>
      </c>
      <c r="B2052" s="3">
        <f>YEAR(SalesData[[#This Row],[Order Date]])</f>
        <v>2017</v>
      </c>
      <c r="C2052" s="3">
        <f>MONTH(SalesData[[#This Row],[Order Date]])</f>
        <v>5</v>
      </c>
      <c r="D2052" t="s">
        <v>18</v>
      </c>
      <c r="E2052" t="s">
        <v>10</v>
      </c>
      <c r="F2052" t="s">
        <v>11</v>
      </c>
      <c r="G2052" t="s">
        <v>24</v>
      </c>
      <c r="H2052" t="s">
        <v>25</v>
      </c>
      <c r="I2052" s="2">
        <v>1958.62</v>
      </c>
      <c r="J2052" s="3">
        <v>8</v>
      </c>
      <c r="K2052" s="2">
        <v>208.96</v>
      </c>
    </row>
    <row r="2053" spans="1:11" x14ac:dyDescent="0.25">
      <c r="A2053" s="4">
        <v>42879</v>
      </c>
      <c r="B2053" s="3">
        <f>YEAR(SalesData[[#This Row],[Order Date]])</f>
        <v>2017</v>
      </c>
      <c r="C2053" s="3">
        <f>MONTH(SalesData[[#This Row],[Order Date]])</f>
        <v>5</v>
      </c>
      <c r="D2053" t="s">
        <v>20</v>
      </c>
      <c r="E2053" t="s">
        <v>60</v>
      </c>
      <c r="F2053" t="s">
        <v>15</v>
      </c>
      <c r="G2053" t="s">
        <v>38</v>
      </c>
      <c r="H2053" t="s">
        <v>56</v>
      </c>
      <c r="I2053" s="2">
        <v>3485.14</v>
      </c>
      <c r="J2053" s="3">
        <v>9</v>
      </c>
      <c r="K2053" s="2">
        <v>679.63</v>
      </c>
    </row>
    <row r="2054" spans="1:11" x14ac:dyDescent="0.25">
      <c r="A2054" s="4">
        <v>42880</v>
      </c>
      <c r="B2054" s="3">
        <f>YEAR(SalesData[[#This Row],[Order Date]])</f>
        <v>2017</v>
      </c>
      <c r="C2054" s="3">
        <f>MONTH(SalesData[[#This Row],[Order Date]])</f>
        <v>5</v>
      </c>
      <c r="D2054" t="s">
        <v>43</v>
      </c>
      <c r="E2054" t="s">
        <v>40</v>
      </c>
      <c r="F2054" t="s">
        <v>15</v>
      </c>
      <c r="G2054" t="s">
        <v>38</v>
      </c>
      <c r="H2054" t="s">
        <v>39</v>
      </c>
      <c r="I2054" s="2">
        <v>4570.8999999999996</v>
      </c>
      <c r="J2054" s="3">
        <v>10</v>
      </c>
      <c r="K2054" s="2">
        <v>944.49</v>
      </c>
    </row>
    <row r="2055" spans="1:11" x14ac:dyDescent="0.25">
      <c r="A2055" s="4">
        <v>42882</v>
      </c>
      <c r="B2055" s="3">
        <f>YEAR(SalesData[[#This Row],[Order Date]])</f>
        <v>2017</v>
      </c>
      <c r="C2055" s="3">
        <f>MONTH(SalesData[[#This Row],[Order Date]])</f>
        <v>5</v>
      </c>
      <c r="D2055" t="s">
        <v>14</v>
      </c>
      <c r="E2055" t="s">
        <v>40</v>
      </c>
      <c r="F2055" t="s">
        <v>11</v>
      </c>
      <c r="G2055" t="s">
        <v>35</v>
      </c>
      <c r="H2055" t="s">
        <v>71</v>
      </c>
      <c r="I2055" s="2">
        <v>3565.18</v>
      </c>
      <c r="J2055" s="3">
        <v>8</v>
      </c>
      <c r="K2055" s="2">
        <v>1067.9000000000001</v>
      </c>
    </row>
    <row r="2056" spans="1:11" x14ac:dyDescent="0.25">
      <c r="A2056" s="4">
        <v>42882</v>
      </c>
      <c r="B2056" s="3">
        <f>YEAR(SalesData[[#This Row],[Order Date]])</f>
        <v>2017</v>
      </c>
      <c r="C2056" s="3">
        <f>MONTH(SalesData[[#This Row],[Order Date]])</f>
        <v>5</v>
      </c>
      <c r="D2056" t="s">
        <v>9</v>
      </c>
      <c r="E2056" t="s">
        <v>31</v>
      </c>
      <c r="F2056" t="s">
        <v>15</v>
      </c>
      <c r="G2056" t="s">
        <v>41</v>
      </c>
      <c r="H2056" t="s">
        <v>61</v>
      </c>
      <c r="I2056" s="2">
        <v>966.66</v>
      </c>
      <c r="J2056" s="3">
        <v>4</v>
      </c>
      <c r="K2056" s="2">
        <v>124.3</v>
      </c>
    </row>
    <row r="2057" spans="1:11" x14ac:dyDescent="0.25">
      <c r="A2057" s="4">
        <v>42882</v>
      </c>
      <c r="B2057" s="3">
        <f>YEAR(SalesData[[#This Row],[Order Date]])</f>
        <v>2017</v>
      </c>
      <c r="C2057" s="3">
        <f>MONTH(SalesData[[#This Row],[Order Date]])</f>
        <v>5</v>
      </c>
      <c r="D2057" t="s">
        <v>43</v>
      </c>
      <c r="E2057" t="s">
        <v>31</v>
      </c>
      <c r="F2057" t="s">
        <v>11</v>
      </c>
      <c r="G2057" t="s">
        <v>35</v>
      </c>
      <c r="H2057" t="s">
        <v>70</v>
      </c>
      <c r="I2057" s="2">
        <v>20.46</v>
      </c>
      <c r="J2057" s="3">
        <v>4</v>
      </c>
      <c r="K2057" s="2">
        <v>5.83</v>
      </c>
    </row>
    <row r="2058" spans="1:11" x14ac:dyDescent="0.25">
      <c r="A2058" s="4">
        <v>42882</v>
      </c>
      <c r="B2058" s="3">
        <f>YEAR(SalesData[[#This Row],[Order Date]])</f>
        <v>2017</v>
      </c>
      <c r="C2058" s="3">
        <f>MONTH(SalesData[[#This Row],[Order Date]])</f>
        <v>5</v>
      </c>
      <c r="D2058" t="s">
        <v>23</v>
      </c>
      <c r="E2058" t="s">
        <v>44</v>
      </c>
      <c r="F2058" t="s">
        <v>27</v>
      </c>
      <c r="G2058" t="s">
        <v>32</v>
      </c>
      <c r="H2058" t="s">
        <v>53</v>
      </c>
      <c r="I2058" s="2">
        <v>1678.72</v>
      </c>
      <c r="J2058" s="3">
        <v>2</v>
      </c>
      <c r="K2058" s="2">
        <v>222.49</v>
      </c>
    </row>
    <row r="2059" spans="1:11" x14ac:dyDescent="0.25">
      <c r="A2059" s="4">
        <v>42883</v>
      </c>
      <c r="B2059" s="3">
        <f>YEAR(SalesData[[#This Row],[Order Date]])</f>
        <v>2017</v>
      </c>
      <c r="C2059" s="3">
        <f>MONTH(SalesData[[#This Row],[Order Date]])</f>
        <v>5</v>
      </c>
      <c r="D2059" t="s">
        <v>47</v>
      </c>
      <c r="E2059" t="s">
        <v>37</v>
      </c>
      <c r="F2059" t="s">
        <v>15</v>
      </c>
      <c r="G2059" t="s">
        <v>38</v>
      </c>
      <c r="H2059" t="s">
        <v>56</v>
      </c>
      <c r="I2059" s="2">
        <v>2542.5300000000002</v>
      </c>
      <c r="J2059" s="3">
        <v>2</v>
      </c>
      <c r="K2059" s="2">
        <v>93.08</v>
      </c>
    </row>
    <row r="2060" spans="1:11" x14ac:dyDescent="0.25">
      <c r="A2060" s="4">
        <v>42884</v>
      </c>
      <c r="B2060" s="3">
        <f>YEAR(SalesData[[#This Row],[Order Date]])</f>
        <v>2017</v>
      </c>
      <c r="C2060" s="3">
        <f>MONTH(SalesData[[#This Row],[Order Date]])</f>
        <v>5</v>
      </c>
      <c r="D2060" t="s">
        <v>47</v>
      </c>
      <c r="E2060" t="s">
        <v>19</v>
      </c>
      <c r="F2060" t="s">
        <v>11</v>
      </c>
      <c r="G2060" t="s">
        <v>21</v>
      </c>
      <c r="H2060" t="s">
        <v>22</v>
      </c>
      <c r="I2060" s="2">
        <v>1178.7</v>
      </c>
      <c r="J2060" s="3">
        <v>1</v>
      </c>
      <c r="K2060" s="2">
        <v>225.48</v>
      </c>
    </row>
    <row r="2061" spans="1:11" x14ac:dyDescent="0.25">
      <c r="A2061" s="4">
        <v>42884</v>
      </c>
      <c r="B2061" s="3">
        <f>YEAR(SalesData[[#This Row],[Order Date]])</f>
        <v>2017</v>
      </c>
      <c r="C2061" s="3">
        <f>MONTH(SalesData[[#This Row],[Order Date]])</f>
        <v>5</v>
      </c>
      <c r="D2061" t="s">
        <v>23</v>
      </c>
      <c r="E2061" t="s">
        <v>19</v>
      </c>
      <c r="F2061" t="s">
        <v>27</v>
      </c>
      <c r="G2061" t="s">
        <v>48</v>
      </c>
      <c r="H2061" t="s">
        <v>49</v>
      </c>
      <c r="I2061" s="2">
        <v>4369.17</v>
      </c>
      <c r="J2061" s="3">
        <v>10</v>
      </c>
      <c r="K2061" s="2">
        <v>1169.99</v>
      </c>
    </row>
    <row r="2062" spans="1:11" x14ac:dyDescent="0.25">
      <c r="A2062" s="4">
        <v>42884</v>
      </c>
      <c r="B2062" s="3">
        <f>YEAR(SalesData[[#This Row],[Order Date]])</f>
        <v>2017</v>
      </c>
      <c r="C2062" s="3">
        <f>MONTH(SalesData[[#This Row],[Order Date]])</f>
        <v>5</v>
      </c>
      <c r="D2062" t="s">
        <v>62</v>
      </c>
      <c r="E2062" t="s">
        <v>37</v>
      </c>
      <c r="F2062" t="s">
        <v>15</v>
      </c>
      <c r="G2062" t="s">
        <v>38</v>
      </c>
      <c r="H2062" t="s">
        <v>56</v>
      </c>
      <c r="I2062" s="2">
        <v>3676.92</v>
      </c>
      <c r="J2062" s="3">
        <v>9</v>
      </c>
      <c r="K2062" s="2">
        <v>441.07</v>
      </c>
    </row>
    <row r="2063" spans="1:11" x14ac:dyDescent="0.25">
      <c r="A2063" s="4">
        <v>42885</v>
      </c>
      <c r="B2063" s="3">
        <f>YEAR(SalesData[[#This Row],[Order Date]])</f>
        <v>2017</v>
      </c>
      <c r="C2063" s="3">
        <f>MONTH(SalesData[[#This Row],[Order Date]])</f>
        <v>5</v>
      </c>
      <c r="D2063" t="s">
        <v>68</v>
      </c>
      <c r="E2063" t="s">
        <v>34</v>
      </c>
      <c r="F2063" t="s">
        <v>15</v>
      </c>
      <c r="G2063" t="s">
        <v>41</v>
      </c>
      <c r="H2063" t="s">
        <v>61</v>
      </c>
      <c r="I2063" s="2">
        <v>2797.27</v>
      </c>
      <c r="J2063" s="3">
        <v>8</v>
      </c>
      <c r="K2063" s="2">
        <v>320.39999999999998</v>
      </c>
    </row>
    <row r="2064" spans="1:11" x14ac:dyDescent="0.25">
      <c r="A2064" s="4">
        <v>42885</v>
      </c>
      <c r="B2064" s="3">
        <f>YEAR(SalesData[[#This Row],[Order Date]])</f>
        <v>2017</v>
      </c>
      <c r="C2064" s="3">
        <f>MONTH(SalesData[[#This Row],[Order Date]])</f>
        <v>5</v>
      </c>
      <c r="D2064" t="s">
        <v>20</v>
      </c>
      <c r="E2064" t="s">
        <v>31</v>
      </c>
      <c r="F2064" t="s">
        <v>11</v>
      </c>
      <c r="G2064" t="s">
        <v>24</v>
      </c>
      <c r="H2064" t="s">
        <v>25</v>
      </c>
      <c r="I2064" s="2">
        <v>3126.18</v>
      </c>
      <c r="J2064" s="3">
        <v>10</v>
      </c>
      <c r="K2064" s="2">
        <v>265.55</v>
      </c>
    </row>
    <row r="2065" spans="1:11" x14ac:dyDescent="0.25">
      <c r="A2065" s="4">
        <v>42885</v>
      </c>
      <c r="B2065" s="3">
        <f>YEAR(SalesData[[#This Row],[Order Date]])</f>
        <v>2017</v>
      </c>
      <c r="C2065" s="3">
        <f>MONTH(SalesData[[#This Row],[Order Date]])</f>
        <v>5</v>
      </c>
      <c r="D2065" t="s">
        <v>20</v>
      </c>
      <c r="E2065" t="s">
        <v>19</v>
      </c>
      <c r="F2065" t="s">
        <v>15</v>
      </c>
      <c r="G2065" t="s">
        <v>45</v>
      </c>
      <c r="H2065" t="s">
        <v>46</v>
      </c>
      <c r="I2065" s="2">
        <v>2785.36</v>
      </c>
      <c r="J2065" s="3">
        <v>6</v>
      </c>
      <c r="K2065" s="2">
        <v>202.38</v>
      </c>
    </row>
    <row r="2066" spans="1:11" x14ac:dyDescent="0.25">
      <c r="A2066" s="4">
        <v>42885</v>
      </c>
      <c r="B2066" s="3">
        <f>YEAR(SalesData[[#This Row],[Order Date]])</f>
        <v>2017</v>
      </c>
      <c r="C2066" s="3">
        <f>MONTH(SalesData[[#This Row],[Order Date]])</f>
        <v>5</v>
      </c>
      <c r="D2066" t="s">
        <v>23</v>
      </c>
      <c r="E2066" t="s">
        <v>34</v>
      </c>
      <c r="F2066" t="s">
        <v>11</v>
      </c>
      <c r="G2066" t="s">
        <v>21</v>
      </c>
      <c r="H2066" t="s">
        <v>67</v>
      </c>
      <c r="I2066" s="2">
        <v>3530.42</v>
      </c>
      <c r="J2066" s="3">
        <v>3</v>
      </c>
      <c r="K2066" s="2">
        <v>393.01</v>
      </c>
    </row>
    <row r="2067" spans="1:11" x14ac:dyDescent="0.25">
      <c r="A2067" s="4">
        <v>42886</v>
      </c>
      <c r="B2067" s="3">
        <f>YEAR(SalesData[[#This Row],[Order Date]])</f>
        <v>2017</v>
      </c>
      <c r="C2067" s="3">
        <f>MONTH(SalesData[[#This Row],[Order Date]])</f>
        <v>5</v>
      </c>
      <c r="D2067" t="s">
        <v>9</v>
      </c>
      <c r="E2067" t="s">
        <v>37</v>
      </c>
      <c r="F2067" t="s">
        <v>15</v>
      </c>
      <c r="G2067" t="s">
        <v>45</v>
      </c>
      <c r="H2067" t="s">
        <v>59</v>
      </c>
      <c r="I2067" s="2">
        <v>3975.03</v>
      </c>
      <c r="J2067" s="3">
        <v>9</v>
      </c>
      <c r="K2067" s="2">
        <v>100.5</v>
      </c>
    </row>
    <row r="2068" spans="1:11" x14ac:dyDescent="0.25">
      <c r="A2068" s="4">
        <v>42887</v>
      </c>
      <c r="B2068" s="3">
        <f>YEAR(SalesData[[#This Row],[Order Date]])</f>
        <v>2017</v>
      </c>
      <c r="C2068" s="3">
        <f>MONTH(SalesData[[#This Row],[Order Date]])</f>
        <v>6</v>
      </c>
      <c r="D2068" t="s">
        <v>23</v>
      </c>
      <c r="E2068" t="s">
        <v>34</v>
      </c>
      <c r="F2068" t="s">
        <v>27</v>
      </c>
      <c r="G2068" t="s">
        <v>28</v>
      </c>
      <c r="H2068" t="s">
        <v>69</v>
      </c>
      <c r="I2068" s="2">
        <v>3808.9</v>
      </c>
      <c r="J2068" s="3">
        <v>6</v>
      </c>
      <c r="K2068" s="2">
        <v>147.86000000000001</v>
      </c>
    </row>
    <row r="2069" spans="1:11" x14ac:dyDescent="0.25">
      <c r="A2069" s="4">
        <v>42887</v>
      </c>
      <c r="B2069" s="3">
        <f>YEAR(SalesData[[#This Row],[Order Date]])</f>
        <v>2017</v>
      </c>
      <c r="C2069" s="3">
        <f>MONTH(SalesData[[#This Row],[Order Date]])</f>
        <v>6</v>
      </c>
      <c r="D2069" t="s">
        <v>23</v>
      </c>
      <c r="E2069" t="s">
        <v>52</v>
      </c>
      <c r="F2069" t="s">
        <v>27</v>
      </c>
      <c r="G2069" t="s">
        <v>32</v>
      </c>
      <c r="H2069" t="s">
        <v>33</v>
      </c>
      <c r="I2069" s="2">
        <v>3397.61</v>
      </c>
      <c r="J2069" s="3">
        <v>4</v>
      </c>
      <c r="K2069" s="2">
        <v>847.1</v>
      </c>
    </row>
    <row r="2070" spans="1:11" x14ac:dyDescent="0.25">
      <c r="A2070" s="4">
        <v>42888</v>
      </c>
      <c r="B2070" s="3">
        <f>YEAR(SalesData[[#This Row],[Order Date]])</f>
        <v>2017</v>
      </c>
      <c r="C2070" s="3">
        <f>MONTH(SalesData[[#This Row],[Order Date]])</f>
        <v>6</v>
      </c>
      <c r="D2070" t="s">
        <v>43</v>
      </c>
      <c r="E2070" t="s">
        <v>60</v>
      </c>
      <c r="F2070" t="s">
        <v>11</v>
      </c>
      <c r="G2070" t="s">
        <v>12</v>
      </c>
      <c r="H2070" t="s">
        <v>65</v>
      </c>
      <c r="I2070" s="2">
        <v>3906.3</v>
      </c>
      <c r="J2070" s="3">
        <v>5</v>
      </c>
      <c r="K2070" s="2">
        <v>748.35</v>
      </c>
    </row>
    <row r="2071" spans="1:11" x14ac:dyDescent="0.25">
      <c r="A2071" s="4">
        <v>42888</v>
      </c>
      <c r="B2071" s="3">
        <f>YEAR(SalesData[[#This Row],[Order Date]])</f>
        <v>2017</v>
      </c>
      <c r="C2071" s="3">
        <f>MONTH(SalesData[[#This Row],[Order Date]])</f>
        <v>6</v>
      </c>
      <c r="D2071" t="s">
        <v>43</v>
      </c>
      <c r="E2071" t="s">
        <v>37</v>
      </c>
      <c r="F2071" t="s">
        <v>15</v>
      </c>
      <c r="G2071" t="s">
        <v>63</v>
      </c>
      <c r="H2071" t="s">
        <v>66</v>
      </c>
      <c r="I2071" s="2">
        <v>3465.33</v>
      </c>
      <c r="J2071" s="3">
        <v>4</v>
      </c>
      <c r="K2071" s="2">
        <v>585.1</v>
      </c>
    </row>
    <row r="2072" spans="1:11" x14ac:dyDescent="0.25">
      <c r="A2072" s="4">
        <v>42889</v>
      </c>
      <c r="B2072" s="3">
        <f>YEAR(SalesData[[#This Row],[Order Date]])</f>
        <v>2017</v>
      </c>
      <c r="C2072" s="3">
        <f>MONTH(SalesData[[#This Row],[Order Date]])</f>
        <v>6</v>
      </c>
      <c r="D2072" t="s">
        <v>43</v>
      </c>
      <c r="E2072" t="s">
        <v>34</v>
      </c>
      <c r="F2072" t="s">
        <v>27</v>
      </c>
      <c r="G2072" t="s">
        <v>48</v>
      </c>
      <c r="H2072" t="s">
        <v>57</v>
      </c>
      <c r="I2072" s="2">
        <v>3100.04</v>
      </c>
      <c r="J2072" s="3">
        <v>2</v>
      </c>
      <c r="K2072" s="2">
        <v>204.15</v>
      </c>
    </row>
    <row r="2073" spans="1:11" x14ac:dyDescent="0.25">
      <c r="A2073" s="4">
        <v>42889</v>
      </c>
      <c r="B2073" s="3">
        <f>YEAR(SalesData[[#This Row],[Order Date]])</f>
        <v>2017</v>
      </c>
      <c r="C2073" s="3">
        <f>MONTH(SalesData[[#This Row],[Order Date]])</f>
        <v>6</v>
      </c>
      <c r="D2073" t="s">
        <v>47</v>
      </c>
      <c r="E2073" t="s">
        <v>31</v>
      </c>
      <c r="F2073" t="s">
        <v>15</v>
      </c>
      <c r="G2073" t="s">
        <v>63</v>
      </c>
      <c r="H2073" t="s">
        <v>64</v>
      </c>
      <c r="I2073" s="2">
        <v>2522.3200000000002</v>
      </c>
      <c r="J2073" s="3">
        <v>10</v>
      </c>
      <c r="K2073" s="2">
        <v>147.6</v>
      </c>
    </row>
    <row r="2074" spans="1:11" x14ac:dyDescent="0.25">
      <c r="A2074" s="4">
        <v>42890</v>
      </c>
      <c r="B2074" s="3">
        <f>YEAR(SalesData[[#This Row],[Order Date]])</f>
        <v>2017</v>
      </c>
      <c r="C2074" s="3">
        <f>MONTH(SalesData[[#This Row],[Order Date]])</f>
        <v>6</v>
      </c>
      <c r="D2074" t="s">
        <v>43</v>
      </c>
      <c r="E2074" t="s">
        <v>37</v>
      </c>
      <c r="F2074" t="s">
        <v>15</v>
      </c>
      <c r="G2074" t="s">
        <v>41</v>
      </c>
      <c r="H2074" t="s">
        <v>61</v>
      </c>
      <c r="I2074" s="2">
        <v>1747.09</v>
      </c>
      <c r="J2074" s="3">
        <v>5</v>
      </c>
      <c r="K2074" s="2">
        <v>13.53</v>
      </c>
    </row>
    <row r="2075" spans="1:11" x14ac:dyDescent="0.25">
      <c r="A2075" s="4">
        <v>42890</v>
      </c>
      <c r="B2075" s="3">
        <f>YEAR(SalesData[[#This Row],[Order Date]])</f>
        <v>2017</v>
      </c>
      <c r="C2075" s="3">
        <f>MONTH(SalesData[[#This Row],[Order Date]])</f>
        <v>6</v>
      </c>
      <c r="D2075" t="s">
        <v>55</v>
      </c>
      <c r="E2075" t="s">
        <v>60</v>
      </c>
      <c r="F2075" t="s">
        <v>11</v>
      </c>
      <c r="G2075" t="s">
        <v>12</v>
      </c>
      <c r="H2075" t="s">
        <v>65</v>
      </c>
      <c r="I2075" s="2">
        <v>2603.21</v>
      </c>
      <c r="J2075" s="3">
        <v>4</v>
      </c>
      <c r="K2075" s="2">
        <v>569.91</v>
      </c>
    </row>
    <row r="2076" spans="1:11" x14ac:dyDescent="0.25">
      <c r="A2076" s="4">
        <v>42890</v>
      </c>
      <c r="B2076" s="3">
        <f>YEAR(SalesData[[#This Row],[Order Date]])</f>
        <v>2017</v>
      </c>
      <c r="C2076" s="3">
        <f>MONTH(SalesData[[#This Row],[Order Date]])</f>
        <v>6</v>
      </c>
      <c r="D2076" t="s">
        <v>20</v>
      </c>
      <c r="E2076" t="s">
        <v>60</v>
      </c>
      <c r="F2076" t="s">
        <v>15</v>
      </c>
      <c r="G2076" t="s">
        <v>38</v>
      </c>
      <c r="H2076" t="s">
        <v>39</v>
      </c>
      <c r="I2076" s="2">
        <v>3465.06</v>
      </c>
      <c r="J2076" s="3">
        <v>5</v>
      </c>
      <c r="K2076" s="2">
        <v>801.83</v>
      </c>
    </row>
    <row r="2077" spans="1:11" x14ac:dyDescent="0.25">
      <c r="A2077" s="4">
        <v>42891</v>
      </c>
      <c r="B2077" s="3">
        <f>YEAR(SalesData[[#This Row],[Order Date]])</f>
        <v>2017</v>
      </c>
      <c r="C2077" s="3">
        <f>MONTH(SalesData[[#This Row],[Order Date]])</f>
        <v>6</v>
      </c>
      <c r="D2077" t="s">
        <v>23</v>
      </c>
      <c r="E2077" t="s">
        <v>31</v>
      </c>
      <c r="F2077" t="s">
        <v>15</v>
      </c>
      <c r="G2077" t="s">
        <v>16</v>
      </c>
      <c r="H2077" t="s">
        <v>51</v>
      </c>
      <c r="I2077" s="2">
        <v>4701.54</v>
      </c>
      <c r="J2077" s="3">
        <v>2</v>
      </c>
      <c r="K2077" s="2">
        <v>607.19000000000005</v>
      </c>
    </row>
    <row r="2078" spans="1:11" x14ac:dyDescent="0.25">
      <c r="A2078" s="4">
        <v>42892</v>
      </c>
      <c r="B2078" s="3">
        <f>YEAR(SalesData[[#This Row],[Order Date]])</f>
        <v>2017</v>
      </c>
      <c r="C2078" s="3">
        <f>MONTH(SalesData[[#This Row],[Order Date]])</f>
        <v>6</v>
      </c>
      <c r="D2078" t="s">
        <v>62</v>
      </c>
      <c r="E2078" t="s">
        <v>34</v>
      </c>
      <c r="F2078" t="s">
        <v>15</v>
      </c>
      <c r="G2078" t="s">
        <v>16</v>
      </c>
      <c r="H2078" t="s">
        <v>51</v>
      </c>
      <c r="I2078" s="2">
        <v>57.45</v>
      </c>
      <c r="J2078" s="3">
        <v>10</v>
      </c>
      <c r="K2078" s="2">
        <v>9.5500000000000007</v>
      </c>
    </row>
    <row r="2079" spans="1:11" x14ac:dyDescent="0.25">
      <c r="A2079" s="4">
        <v>42892</v>
      </c>
      <c r="B2079" s="3">
        <f>YEAR(SalesData[[#This Row],[Order Date]])</f>
        <v>2017</v>
      </c>
      <c r="C2079" s="3">
        <f>MONTH(SalesData[[#This Row],[Order Date]])</f>
        <v>6</v>
      </c>
      <c r="D2079" t="s">
        <v>20</v>
      </c>
      <c r="E2079" t="s">
        <v>40</v>
      </c>
      <c r="F2079" t="s">
        <v>11</v>
      </c>
      <c r="G2079" t="s">
        <v>21</v>
      </c>
      <c r="H2079" t="s">
        <v>67</v>
      </c>
      <c r="I2079" s="2">
        <v>1949.62</v>
      </c>
      <c r="J2079" s="3">
        <v>2</v>
      </c>
      <c r="K2079" s="2">
        <v>119.88</v>
      </c>
    </row>
    <row r="2080" spans="1:11" x14ac:dyDescent="0.25">
      <c r="A2080" s="4">
        <v>42892</v>
      </c>
      <c r="B2080" s="3">
        <f>YEAR(SalesData[[#This Row],[Order Date]])</f>
        <v>2017</v>
      </c>
      <c r="C2080" s="3">
        <f>MONTH(SalesData[[#This Row],[Order Date]])</f>
        <v>6</v>
      </c>
      <c r="D2080" t="s">
        <v>18</v>
      </c>
      <c r="E2080" t="s">
        <v>34</v>
      </c>
      <c r="F2080" t="s">
        <v>27</v>
      </c>
      <c r="G2080" t="s">
        <v>32</v>
      </c>
      <c r="H2080" t="s">
        <v>53</v>
      </c>
      <c r="I2080" s="2">
        <v>3616.32</v>
      </c>
      <c r="J2080" s="3">
        <v>7</v>
      </c>
      <c r="K2080" s="2">
        <v>711.86</v>
      </c>
    </row>
    <row r="2081" spans="1:11" x14ac:dyDescent="0.25">
      <c r="A2081" s="4">
        <v>42893</v>
      </c>
      <c r="B2081" s="3">
        <f>YEAR(SalesData[[#This Row],[Order Date]])</f>
        <v>2017</v>
      </c>
      <c r="C2081" s="3">
        <f>MONTH(SalesData[[#This Row],[Order Date]])</f>
        <v>6</v>
      </c>
      <c r="D2081" t="s">
        <v>55</v>
      </c>
      <c r="E2081" t="s">
        <v>44</v>
      </c>
      <c r="F2081" t="s">
        <v>15</v>
      </c>
      <c r="G2081" t="s">
        <v>63</v>
      </c>
      <c r="H2081" t="s">
        <v>64</v>
      </c>
      <c r="I2081" s="2">
        <v>1183.6400000000001</v>
      </c>
      <c r="J2081" s="3">
        <v>9</v>
      </c>
      <c r="K2081" s="2">
        <v>57.54</v>
      </c>
    </row>
    <row r="2082" spans="1:11" x14ac:dyDescent="0.25">
      <c r="A2082" s="4">
        <v>42894</v>
      </c>
      <c r="B2082" s="3">
        <f>YEAR(SalesData[[#This Row],[Order Date]])</f>
        <v>2017</v>
      </c>
      <c r="C2082" s="3">
        <f>MONTH(SalesData[[#This Row],[Order Date]])</f>
        <v>6</v>
      </c>
      <c r="D2082" t="s">
        <v>43</v>
      </c>
      <c r="E2082" t="s">
        <v>60</v>
      </c>
      <c r="F2082" t="s">
        <v>15</v>
      </c>
      <c r="G2082" t="s">
        <v>63</v>
      </c>
      <c r="H2082" t="s">
        <v>66</v>
      </c>
      <c r="I2082" s="2">
        <v>3423.09</v>
      </c>
      <c r="J2082" s="3">
        <v>3</v>
      </c>
      <c r="K2082" s="2">
        <v>926.49</v>
      </c>
    </row>
    <row r="2083" spans="1:11" x14ac:dyDescent="0.25">
      <c r="A2083" s="4">
        <v>42894</v>
      </c>
      <c r="B2083" s="3">
        <f>YEAR(SalesData[[#This Row],[Order Date]])</f>
        <v>2017</v>
      </c>
      <c r="C2083" s="3">
        <f>MONTH(SalesData[[#This Row],[Order Date]])</f>
        <v>6</v>
      </c>
      <c r="D2083" t="s">
        <v>68</v>
      </c>
      <c r="E2083" t="s">
        <v>60</v>
      </c>
      <c r="F2083" t="s">
        <v>15</v>
      </c>
      <c r="G2083" t="s">
        <v>38</v>
      </c>
      <c r="H2083" t="s">
        <v>56</v>
      </c>
      <c r="I2083" s="2">
        <v>1739.31</v>
      </c>
      <c r="J2083" s="3">
        <v>7</v>
      </c>
      <c r="K2083" s="2">
        <v>256.92</v>
      </c>
    </row>
    <row r="2084" spans="1:11" x14ac:dyDescent="0.25">
      <c r="A2084" s="4">
        <v>42894</v>
      </c>
      <c r="B2084" s="3">
        <f>YEAR(SalesData[[#This Row],[Order Date]])</f>
        <v>2017</v>
      </c>
      <c r="C2084" s="3">
        <f>MONTH(SalesData[[#This Row],[Order Date]])</f>
        <v>6</v>
      </c>
      <c r="D2084" t="s">
        <v>9</v>
      </c>
      <c r="E2084" t="s">
        <v>10</v>
      </c>
      <c r="F2084" t="s">
        <v>27</v>
      </c>
      <c r="G2084" t="s">
        <v>32</v>
      </c>
      <c r="H2084" t="s">
        <v>33</v>
      </c>
      <c r="I2084" s="2">
        <v>2790.61</v>
      </c>
      <c r="J2084" s="3">
        <v>9</v>
      </c>
      <c r="K2084" s="2">
        <v>759.32</v>
      </c>
    </row>
    <row r="2085" spans="1:11" x14ac:dyDescent="0.25">
      <c r="A2085" s="4">
        <v>42895</v>
      </c>
      <c r="B2085" s="3">
        <f>YEAR(SalesData[[#This Row],[Order Date]])</f>
        <v>2017</v>
      </c>
      <c r="C2085" s="3">
        <f>MONTH(SalesData[[#This Row],[Order Date]])</f>
        <v>6</v>
      </c>
      <c r="D2085" t="s">
        <v>30</v>
      </c>
      <c r="E2085" t="s">
        <v>10</v>
      </c>
      <c r="F2085" t="s">
        <v>27</v>
      </c>
      <c r="G2085" t="s">
        <v>28</v>
      </c>
      <c r="H2085" t="s">
        <v>29</v>
      </c>
      <c r="I2085" s="2">
        <v>3308.18</v>
      </c>
      <c r="J2085" s="3">
        <v>8</v>
      </c>
      <c r="K2085" s="2">
        <v>931</v>
      </c>
    </row>
    <row r="2086" spans="1:11" x14ac:dyDescent="0.25">
      <c r="A2086" s="4">
        <v>42895</v>
      </c>
      <c r="B2086" s="3">
        <f>YEAR(SalesData[[#This Row],[Order Date]])</f>
        <v>2017</v>
      </c>
      <c r="C2086" s="3">
        <f>MONTH(SalesData[[#This Row],[Order Date]])</f>
        <v>6</v>
      </c>
      <c r="D2086" t="s">
        <v>62</v>
      </c>
      <c r="E2086" t="s">
        <v>52</v>
      </c>
      <c r="F2086" t="s">
        <v>11</v>
      </c>
      <c r="G2086" t="s">
        <v>12</v>
      </c>
      <c r="H2086" t="s">
        <v>13</v>
      </c>
      <c r="I2086" s="2">
        <v>1817.12</v>
      </c>
      <c r="J2086" s="3">
        <v>10</v>
      </c>
      <c r="K2086" s="2">
        <v>144.11000000000001</v>
      </c>
    </row>
    <row r="2087" spans="1:11" x14ac:dyDescent="0.25">
      <c r="A2087" s="4">
        <v>42896</v>
      </c>
      <c r="B2087" s="3">
        <f>YEAR(SalesData[[#This Row],[Order Date]])</f>
        <v>2017</v>
      </c>
      <c r="C2087" s="3">
        <f>MONTH(SalesData[[#This Row],[Order Date]])</f>
        <v>6</v>
      </c>
      <c r="D2087" t="s">
        <v>47</v>
      </c>
      <c r="E2087" t="s">
        <v>31</v>
      </c>
      <c r="F2087" t="s">
        <v>27</v>
      </c>
      <c r="G2087" t="s">
        <v>32</v>
      </c>
      <c r="H2087" t="s">
        <v>33</v>
      </c>
      <c r="I2087" s="2">
        <v>3957.1</v>
      </c>
      <c r="J2087" s="3">
        <v>3</v>
      </c>
      <c r="K2087" s="2">
        <v>184.69</v>
      </c>
    </row>
    <row r="2088" spans="1:11" x14ac:dyDescent="0.25">
      <c r="A2088" s="4">
        <v>42896</v>
      </c>
      <c r="B2088" s="3">
        <f>YEAR(SalesData[[#This Row],[Order Date]])</f>
        <v>2017</v>
      </c>
      <c r="C2088" s="3">
        <f>MONTH(SalesData[[#This Row],[Order Date]])</f>
        <v>6</v>
      </c>
      <c r="D2088" t="s">
        <v>20</v>
      </c>
      <c r="E2088" t="s">
        <v>60</v>
      </c>
      <c r="F2088" t="s">
        <v>11</v>
      </c>
      <c r="G2088" t="s">
        <v>35</v>
      </c>
      <c r="H2088" t="s">
        <v>71</v>
      </c>
      <c r="I2088" s="2">
        <v>3823.71</v>
      </c>
      <c r="J2088" s="3">
        <v>3</v>
      </c>
      <c r="K2088" s="2">
        <v>189.13</v>
      </c>
    </row>
    <row r="2089" spans="1:11" x14ac:dyDescent="0.25">
      <c r="A2089" s="4">
        <v>42897</v>
      </c>
      <c r="B2089" s="3">
        <f>YEAR(SalesData[[#This Row],[Order Date]])</f>
        <v>2017</v>
      </c>
      <c r="C2089" s="3">
        <f>MONTH(SalesData[[#This Row],[Order Date]])</f>
        <v>6</v>
      </c>
      <c r="D2089" t="s">
        <v>50</v>
      </c>
      <c r="E2089" t="s">
        <v>60</v>
      </c>
      <c r="F2089" t="s">
        <v>11</v>
      </c>
      <c r="G2089" t="s">
        <v>35</v>
      </c>
      <c r="H2089" t="s">
        <v>71</v>
      </c>
      <c r="I2089" s="2">
        <v>2377.7600000000002</v>
      </c>
      <c r="J2089" s="3">
        <v>6</v>
      </c>
      <c r="K2089" s="2">
        <v>491.75</v>
      </c>
    </row>
    <row r="2090" spans="1:11" x14ac:dyDescent="0.25">
      <c r="A2090" s="4">
        <v>42897</v>
      </c>
      <c r="B2090" s="3">
        <f>YEAR(SalesData[[#This Row],[Order Date]])</f>
        <v>2017</v>
      </c>
      <c r="C2090" s="3">
        <f>MONTH(SalesData[[#This Row],[Order Date]])</f>
        <v>6</v>
      </c>
      <c r="D2090" t="s">
        <v>55</v>
      </c>
      <c r="E2090" t="s">
        <v>34</v>
      </c>
      <c r="F2090" t="s">
        <v>11</v>
      </c>
      <c r="G2090" t="s">
        <v>12</v>
      </c>
      <c r="H2090" t="s">
        <v>65</v>
      </c>
      <c r="I2090" s="2">
        <v>679.15</v>
      </c>
      <c r="J2090" s="3">
        <v>4</v>
      </c>
      <c r="K2090" s="2">
        <v>184.09</v>
      </c>
    </row>
    <row r="2091" spans="1:11" x14ac:dyDescent="0.25">
      <c r="A2091" s="4">
        <v>42897</v>
      </c>
      <c r="B2091" s="3">
        <f>YEAR(SalesData[[#This Row],[Order Date]])</f>
        <v>2017</v>
      </c>
      <c r="C2091" s="3">
        <f>MONTH(SalesData[[#This Row],[Order Date]])</f>
        <v>6</v>
      </c>
      <c r="D2091" t="s">
        <v>55</v>
      </c>
      <c r="E2091" t="s">
        <v>26</v>
      </c>
      <c r="F2091" t="s">
        <v>11</v>
      </c>
      <c r="G2091" t="s">
        <v>21</v>
      </c>
      <c r="H2091" t="s">
        <v>22</v>
      </c>
      <c r="I2091" s="2">
        <v>3593.33</v>
      </c>
      <c r="J2091" s="3">
        <v>6</v>
      </c>
      <c r="K2091" s="2">
        <v>369.01</v>
      </c>
    </row>
    <row r="2092" spans="1:11" x14ac:dyDescent="0.25">
      <c r="A2092" s="4">
        <v>42897</v>
      </c>
      <c r="B2092" s="3">
        <f>YEAR(SalesData[[#This Row],[Order Date]])</f>
        <v>2017</v>
      </c>
      <c r="C2092" s="3">
        <f>MONTH(SalesData[[#This Row],[Order Date]])</f>
        <v>6</v>
      </c>
      <c r="D2092" t="s">
        <v>20</v>
      </c>
      <c r="E2092" t="s">
        <v>44</v>
      </c>
      <c r="F2092" t="s">
        <v>15</v>
      </c>
      <c r="G2092" t="s">
        <v>63</v>
      </c>
      <c r="H2092" t="s">
        <v>64</v>
      </c>
      <c r="I2092" s="2">
        <v>4616.5200000000004</v>
      </c>
      <c r="J2092" s="3">
        <v>7</v>
      </c>
      <c r="K2092" s="2">
        <v>924.49</v>
      </c>
    </row>
    <row r="2093" spans="1:11" x14ac:dyDescent="0.25">
      <c r="A2093" s="4">
        <v>42897</v>
      </c>
      <c r="B2093" s="3">
        <f>YEAR(SalesData[[#This Row],[Order Date]])</f>
        <v>2017</v>
      </c>
      <c r="C2093" s="3">
        <f>MONTH(SalesData[[#This Row],[Order Date]])</f>
        <v>6</v>
      </c>
      <c r="D2093" t="s">
        <v>20</v>
      </c>
      <c r="E2093" t="s">
        <v>19</v>
      </c>
      <c r="F2093" t="s">
        <v>11</v>
      </c>
      <c r="G2093" t="s">
        <v>21</v>
      </c>
      <c r="H2093" t="s">
        <v>22</v>
      </c>
      <c r="I2093" s="2">
        <v>3895.2</v>
      </c>
      <c r="J2093" s="3">
        <v>6</v>
      </c>
      <c r="K2093" s="2">
        <v>911.64</v>
      </c>
    </row>
    <row r="2094" spans="1:11" x14ac:dyDescent="0.25">
      <c r="A2094" s="4">
        <v>42897</v>
      </c>
      <c r="B2094" s="3">
        <f>YEAR(SalesData[[#This Row],[Order Date]])</f>
        <v>2017</v>
      </c>
      <c r="C2094" s="3">
        <f>MONTH(SalesData[[#This Row],[Order Date]])</f>
        <v>6</v>
      </c>
      <c r="D2094" t="s">
        <v>47</v>
      </c>
      <c r="E2094" t="s">
        <v>19</v>
      </c>
      <c r="F2094" t="s">
        <v>27</v>
      </c>
      <c r="G2094" t="s">
        <v>28</v>
      </c>
      <c r="H2094" t="s">
        <v>69</v>
      </c>
      <c r="I2094" s="2">
        <v>2002.02</v>
      </c>
      <c r="J2094" s="3">
        <v>1</v>
      </c>
      <c r="K2094" s="2">
        <v>501.56</v>
      </c>
    </row>
    <row r="2095" spans="1:11" x14ac:dyDescent="0.25">
      <c r="A2095" s="4">
        <v>42898</v>
      </c>
      <c r="B2095" s="3">
        <f>YEAR(SalesData[[#This Row],[Order Date]])</f>
        <v>2017</v>
      </c>
      <c r="C2095" s="3">
        <f>MONTH(SalesData[[#This Row],[Order Date]])</f>
        <v>6</v>
      </c>
      <c r="D2095" t="s">
        <v>9</v>
      </c>
      <c r="E2095" t="s">
        <v>44</v>
      </c>
      <c r="F2095" t="s">
        <v>27</v>
      </c>
      <c r="G2095" t="s">
        <v>28</v>
      </c>
      <c r="H2095" t="s">
        <v>29</v>
      </c>
      <c r="I2095" s="2">
        <v>4613.41</v>
      </c>
      <c r="J2095" s="3">
        <v>5</v>
      </c>
      <c r="K2095" s="2">
        <v>211.06</v>
      </c>
    </row>
    <row r="2096" spans="1:11" x14ac:dyDescent="0.25">
      <c r="A2096" s="4">
        <v>42898</v>
      </c>
      <c r="B2096" s="3">
        <f>YEAR(SalesData[[#This Row],[Order Date]])</f>
        <v>2017</v>
      </c>
      <c r="C2096" s="3">
        <f>MONTH(SalesData[[#This Row],[Order Date]])</f>
        <v>6</v>
      </c>
      <c r="D2096" t="s">
        <v>68</v>
      </c>
      <c r="E2096" t="s">
        <v>31</v>
      </c>
      <c r="F2096" t="s">
        <v>11</v>
      </c>
      <c r="G2096" t="s">
        <v>24</v>
      </c>
      <c r="H2096" t="s">
        <v>25</v>
      </c>
      <c r="I2096" s="2">
        <v>456.78</v>
      </c>
      <c r="J2096" s="3">
        <v>3</v>
      </c>
      <c r="K2096" s="2">
        <v>63.77</v>
      </c>
    </row>
    <row r="2097" spans="1:11" x14ac:dyDescent="0.25">
      <c r="A2097" s="4">
        <v>42899</v>
      </c>
      <c r="B2097" s="3">
        <f>YEAR(SalesData[[#This Row],[Order Date]])</f>
        <v>2017</v>
      </c>
      <c r="C2097" s="3">
        <f>MONTH(SalesData[[#This Row],[Order Date]])</f>
        <v>6</v>
      </c>
      <c r="D2097" t="s">
        <v>68</v>
      </c>
      <c r="E2097" t="s">
        <v>37</v>
      </c>
      <c r="F2097" t="s">
        <v>27</v>
      </c>
      <c r="G2097" t="s">
        <v>48</v>
      </c>
      <c r="H2097" t="s">
        <v>49</v>
      </c>
      <c r="I2097" s="2">
        <v>1475.98</v>
      </c>
      <c r="J2097" s="3">
        <v>8</v>
      </c>
      <c r="K2097" s="2">
        <v>102.17</v>
      </c>
    </row>
    <row r="2098" spans="1:11" x14ac:dyDescent="0.25">
      <c r="A2098" s="4">
        <v>42899</v>
      </c>
      <c r="B2098" s="3">
        <f>YEAR(SalesData[[#This Row],[Order Date]])</f>
        <v>2017</v>
      </c>
      <c r="C2098" s="3">
        <f>MONTH(SalesData[[#This Row],[Order Date]])</f>
        <v>6</v>
      </c>
      <c r="D2098" t="s">
        <v>23</v>
      </c>
      <c r="E2098" t="s">
        <v>26</v>
      </c>
      <c r="F2098" t="s">
        <v>11</v>
      </c>
      <c r="G2098" t="s">
        <v>12</v>
      </c>
      <c r="H2098" t="s">
        <v>65</v>
      </c>
      <c r="I2098" s="2">
        <v>412.93</v>
      </c>
      <c r="J2098" s="3">
        <v>6</v>
      </c>
      <c r="K2098" s="2">
        <v>0.13</v>
      </c>
    </row>
    <row r="2099" spans="1:11" x14ac:dyDescent="0.25">
      <c r="A2099" s="4">
        <v>42900</v>
      </c>
      <c r="B2099" s="3">
        <f>YEAR(SalesData[[#This Row],[Order Date]])</f>
        <v>2017</v>
      </c>
      <c r="C2099" s="3">
        <f>MONTH(SalesData[[#This Row],[Order Date]])</f>
        <v>6</v>
      </c>
      <c r="D2099" t="s">
        <v>50</v>
      </c>
      <c r="E2099" t="s">
        <v>34</v>
      </c>
      <c r="F2099" t="s">
        <v>27</v>
      </c>
      <c r="G2099" t="s">
        <v>28</v>
      </c>
      <c r="H2099" t="s">
        <v>69</v>
      </c>
      <c r="I2099" s="2">
        <v>2852.34</v>
      </c>
      <c r="J2099" s="3">
        <v>4</v>
      </c>
      <c r="K2099" s="2">
        <v>784.75</v>
      </c>
    </row>
    <row r="2100" spans="1:11" x14ac:dyDescent="0.25">
      <c r="A2100" s="4">
        <v>42903</v>
      </c>
      <c r="B2100" s="3">
        <f>YEAR(SalesData[[#This Row],[Order Date]])</f>
        <v>2017</v>
      </c>
      <c r="C2100" s="3">
        <f>MONTH(SalesData[[#This Row],[Order Date]])</f>
        <v>6</v>
      </c>
      <c r="D2100" t="s">
        <v>68</v>
      </c>
      <c r="E2100" t="s">
        <v>52</v>
      </c>
      <c r="F2100" t="s">
        <v>11</v>
      </c>
      <c r="G2100" t="s">
        <v>35</v>
      </c>
      <c r="H2100" t="s">
        <v>70</v>
      </c>
      <c r="I2100" s="2">
        <v>330.68</v>
      </c>
      <c r="J2100" s="3">
        <v>2</v>
      </c>
      <c r="K2100" s="2">
        <v>25.32</v>
      </c>
    </row>
    <row r="2101" spans="1:11" x14ac:dyDescent="0.25">
      <c r="A2101" s="4">
        <v>42903</v>
      </c>
      <c r="B2101" s="3">
        <f>YEAR(SalesData[[#This Row],[Order Date]])</f>
        <v>2017</v>
      </c>
      <c r="C2101" s="3">
        <f>MONTH(SalesData[[#This Row],[Order Date]])</f>
        <v>6</v>
      </c>
      <c r="D2101" t="s">
        <v>9</v>
      </c>
      <c r="E2101" t="s">
        <v>19</v>
      </c>
      <c r="F2101" t="s">
        <v>11</v>
      </c>
      <c r="G2101" t="s">
        <v>21</v>
      </c>
      <c r="H2101" t="s">
        <v>22</v>
      </c>
      <c r="I2101" s="2">
        <v>1745.91</v>
      </c>
      <c r="J2101" s="3">
        <v>6</v>
      </c>
      <c r="K2101" s="2">
        <v>521.19000000000005</v>
      </c>
    </row>
    <row r="2102" spans="1:11" x14ac:dyDescent="0.25">
      <c r="A2102" s="4">
        <v>42903</v>
      </c>
      <c r="B2102" s="3">
        <f>YEAR(SalesData[[#This Row],[Order Date]])</f>
        <v>2017</v>
      </c>
      <c r="C2102" s="3">
        <f>MONTH(SalesData[[#This Row],[Order Date]])</f>
        <v>6</v>
      </c>
      <c r="D2102" t="s">
        <v>68</v>
      </c>
      <c r="E2102" t="s">
        <v>40</v>
      </c>
      <c r="F2102" t="s">
        <v>27</v>
      </c>
      <c r="G2102" t="s">
        <v>28</v>
      </c>
      <c r="H2102" t="s">
        <v>58</v>
      </c>
      <c r="I2102" s="2">
        <v>1938.15</v>
      </c>
      <c r="J2102" s="3">
        <v>3</v>
      </c>
      <c r="K2102" s="2">
        <v>20.83</v>
      </c>
    </row>
    <row r="2103" spans="1:11" x14ac:dyDescent="0.25">
      <c r="A2103" s="4">
        <v>42905</v>
      </c>
      <c r="B2103" s="3">
        <f>YEAR(SalesData[[#This Row],[Order Date]])</f>
        <v>2017</v>
      </c>
      <c r="C2103" s="3">
        <f>MONTH(SalesData[[#This Row],[Order Date]])</f>
        <v>6</v>
      </c>
      <c r="D2103" t="s">
        <v>47</v>
      </c>
      <c r="E2103" t="s">
        <v>44</v>
      </c>
      <c r="F2103" t="s">
        <v>27</v>
      </c>
      <c r="G2103" t="s">
        <v>48</v>
      </c>
      <c r="H2103" t="s">
        <v>49</v>
      </c>
      <c r="I2103" s="2">
        <v>4997.3</v>
      </c>
      <c r="J2103" s="3">
        <v>4</v>
      </c>
      <c r="K2103" s="2">
        <v>998.08</v>
      </c>
    </row>
    <row r="2104" spans="1:11" x14ac:dyDescent="0.25">
      <c r="A2104" s="4">
        <v>42905</v>
      </c>
      <c r="B2104" s="3">
        <f>YEAR(SalesData[[#This Row],[Order Date]])</f>
        <v>2017</v>
      </c>
      <c r="C2104" s="3">
        <f>MONTH(SalesData[[#This Row],[Order Date]])</f>
        <v>6</v>
      </c>
      <c r="D2104" t="s">
        <v>18</v>
      </c>
      <c r="E2104" t="s">
        <v>60</v>
      </c>
      <c r="F2104" t="s">
        <v>11</v>
      </c>
      <c r="G2104" t="s">
        <v>24</v>
      </c>
      <c r="H2104" t="s">
        <v>54</v>
      </c>
      <c r="I2104" s="2">
        <v>799.2</v>
      </c>
      <c r="J2104" s="3">
        <v>1</v>
      </c>
      <c r="K2104" s="2">
        <v>239.2</v>
      </c>
    </row>
    <row r="2105" spans="1:11" x14ac:dyDescent="0.25">
      <c r="A2105" s="4">
        <v>42905</v>
      </c>
      <c r="B2105" s="3">
        <f>YEAR(SalesData[[#This Row],[Order Date]])</f>
        <v>2017</v>
      </c>
      <c r="C2105" s="3">
        <f>MONTH(SalesData[[#This Row],[Order Date]])</f>
        <v>6</v>
      </c>
      <c r="D2105" t="s">
        <v>68</v>
      </c>
      <c r="E2105" t="s">
        <v>19</v>
      </c>
      <c r="F2105" t="s">
        <v>27</v>
      </c>
      <c r="G2105" t="s">
        <v>48</v>
      </c>
      <c r="H2105" t="s">
        <v>57</v>
      </c>
      <c r="I2105" s="2">
        <v>4100.8100000000004</v>
      </c>
      <c r="J2105" s="3">
        <v>7</v>
      </c>
      <c r="K2105" s="2">
        <v>1020.02</v>
      </c>
    </row>
    <row r="2106" spans="1:11" x14ac:dyDescent="0.25">
      <c r="A2106" s="4">
        <v>42905</v>
      </c>
      <c r="B2106" s="3">
        <f>YEAR(SalesData[[#This Row],[Order Date]])</f>
        <v>2017</v>
      </c>
      <c r="C2106" s="3">
        <f>MONTH(SalesData[[#This Row],[Order Date]])</f>
        <v>6</v>
      </c>
      <c r="D2106" t="s">
        <v>20</v>
      </c>
      <c r="E2106" t="s">
        <v>26</v>
      </c>
      <c r="F2106" t="s">
        <v>27</v>
      </c>
      <c r="G2106" t="s">
        <v>28</v>
      </c>
      <c r="H2106" t="s">
        <v>69</v>
      </c>
      <c r="I2106" s="2">
        <v>2686.04</v>
      </c>
      <c r="J2106" s="3">
        <v>9</v>
      </c>
      <c r="K2106" s="2">
        <v>596.47</v>
      </c>
    </row>
    <row r="2107" spans="1:11" x14ac:dyDescent="0.25">
      <c r="A2107" s="4">
        <v>42906</v>
      </c>
      <c r="B2107" s="3">
        <f>YEAR(SalesData[[#This Row],[Order Date]])</f>
        <v>2017</v>
      </c>
      <c r="C2107" s="3">
        <f>MONTH(SalesData[[#This Row],[Order Date]])</f>
        <v>6</v>
      </c>
      <c r="D2107" t="s">
        <v>23</v>
      </c>
      <c r="E2107" t="s">
        <v>31</v>
      </c>
      <c r="F2107" t="s">
        <v>11</v>
      </c>
      <c r="G2107" t="s">
        <v>24</v>
      </c>
      <c r="H2107" t="s">
        <v>54</v>
      </c>
      <c r="I2107" s="2">
        <v>2036.48</v>
      </c>
      <c r="J2107" s="3">
        <v>7</v>
      </c>
      <c r="K2107" s="2">
        <v>290.02999999999997</v>
      </c>
    </row>
    <row r="2108" spans="1:11" x14ac:dyDescent="0.25">
      <c r="A2108" s="4">
        <v>42906</v>
      </c>
      <c r="B2108" s="3">
        <f>YEAR(SalesData[[#This Row],[Order Date]])</f>
        <v>2017</v>
      </c>
      <c r="C2108" s="3">
        <f>MONTH(SalesData[[#This Row],[Order Date]])</f>
        <v>6</v>
      </c>
      <c r="D2108" t="s">
        <v>47</v>
      </c>
      <c r="E2108" t="s">
        <v>60</v>
      </c>
      <c r="F2108" t="s">
        <v>15</v>
      </c>
      <c r="G2108" t="s">
        <v>16</v>
      </c>
      <c r="H2108" t="s">
        <v>51</v>
      </c>
      <c r="I2108" s="2">
        <v>162.09</v>
      </c>
      <c r="J2108" s="3">
        <v>3</v>
      </c>
      <c r="K2108" s="2">
        <v>27.58</v>
      </c>
    </row>
    <row r="2109" spans="1:11" x14ac:dyDescent="0.25">
      <c r="A2109" s="4">
        <v>42908</v>
      </c>
      <c r="B2109" s="3">
        <f>YEAR(SalesData[[#This Row],[Order Date]])</f>
        <v>2017</v>
      </c>
      <c r="C2109" s="3">
        <f>MONTH(SalesData[[#This Row],[Order Date]])</f>
        <v>6</v>
      </c>
      <c r="D2109" t="s">
        <v>23</v>
      </c>
      <c r="E2109" t="s">
        <v>26</v>
      </c>
      <c r="F2109" t="s">
        <v>27</v>
      </c>
      <c r="G2109" t="s">
        <v>28</v>
      </c>
      <c r="H2109" t="s">
        <v>29</v>
      </c>
      <c r="I2109" s="2">
        <v>2631.38</v>
      </c>
      <c r="J2109" s="3">
        <v>1</v>
      </c>
      <c r="K2109" s="2">
        <v>626.91999999999996</v>
      </c>
    </row>
    <row r="2110" spans="1:11" x14ac:dyDescent="0.25">
      <c r="A2110" s="4">
        <v>42909</v>
      </c>
      <c r="B2110" s="3">
        <f>YEAR(SalesData[[#This Row],[Order Date]])</f>
        <v>2017</v>
      </c>
      <c r="C2110" s="3">
        <f>MONTH(SalesData[[#This Row],[Order Date]])</f>
        <v>6</v>
      </c>
      <c r="D2110" t="s">
        <v>68</v>
      </c>
      <c r="E2110" t="s">
        <v>40</v>
      </c>
      <c r="F2110" t="s">
        <v>27</v>
      </c>
      <c r="G2110" t="s">
        <v>48</v>
      </c>
      <c r="H2110" t="s">
        <v>57</v>
      </c>
      <c r="I2110" s="2">
        <v>4455.26</v>
      </c>
      <c r="J2110" s="3">
        <v>1</v>
      </c>
      <c r="K2110" s="2">
        <v>454.94</v>
      </c>
    </row>
    <row r="2111" spans="1:11" x14ac:dyDescent="0.25">
      <c r="A2111" s="4">
        <v>42911</v>
      </c>
      <c r="B2111" s="3">
        <f>YEAR(SalesData[[#This Row],[Order Date]])</f>
        <v>2017</v>
      </c>
      <c r="C2111" s="3">
        <f>MONTH(SalesData[[#This Row],[Order Date]])</f>
        <v>6</v>
      </c>
      <c r="D2111" t="s">
        <v>9</v>
      </c>
      <c r="E2111" t="s">
        <v>10</v>
      </c>
      <c r="F2111" t="s">
        <v>11</v>
      </c>
      <c r="G2111" t="s">
        <v>21</v>
      </c>
      <c r="H2111" t="s">
        <v>22</v>
      </c>
      <c r="I2111" s="2">
        <v>2455.16</v>
      </c>
      <c r="J2111" s="3">
        <v>4</v>
      </c>
      <c r="K2111" s="2">
        <v>229.13</v>
      </c>
    </row>
    <row r="2112" spans="1:11" x14ac:dyDescent="0.25">
      <c r="A2112" s="4">
        <v>42913</v>
      </c>
      <c r="B2112" s="3">
        <f>YEAR(SalesData[[#This Row],[Order Date]])</f>
        <v>2017</v>
      </c>
      <c r="C2112" s="3">
        <f>MONTH(SalesData[[#This Row],[Order Date]])</f>
        <v>6</v>
      </c>
      <c r="D2112" t="s">
        <v>50</v>
      </c>
      <c r="E2112" t="s">
        <v>37</v>
      </c>
      <c r="F2112" t="s">
        <v>11</v>
      </c>
      <c r="G2112" t="s">
        <v>35</v>
      </c>
      <c r="H2112" t="s">
        <v>71</v>
      </c>
      <c r="I2112" s="2">
        <v>3253.3</v>
      </c>
      <c r="J2112" s="3">
        <v>7</v>
      </c>
      <c r="K2112" s="2">
        <v>317.8</v>
      </c>
    </row>
    <row r="2113" spans="1:11" x14ac:dyDescent="0.25">
      <c r="A2113" s="4">
        <v>42913</v>
      </c>
      <c r="B2113" s="3">
        <f>YEAR(SalesData[[#This Row],[Order Date]])</f>
        <v>2017</v>
      </c>
      <c r="C2113" s="3">
        <f>MONTH(SalesData[[#This Row],[Order Date]])</f>
        <v>6</v>
      </c>
      <c r="D2113" t="s">
        <v>18</v>
      </c>
      <c r="E2113" t="s">
        <v>37</v>
      </c>
      <c r="F2113" t="s">
        <v>27</v>
      </c>
      <c r="G2113" t="s">
        <v>32</v>
      </c>
      <c r="H2113" t="s">
        <v>53</v>
      </c>
      <c r="I2113" s="2">
        <v>616.04999999999995</v>
      </c>
      <c r="J2113" s="3">
        <v>3</v>
      </c>
      <c r="K2113" s="2">
        <v>126.79</v>
      </c>
    </row>
    <row r="2114" spans="1:11" x14ac:dyDescent="0.25">
      <c r="A2114" s="4">
        <v>42915</v>
      </c>
      <c r="B2114" s="3">
        <f>YEAR(SalesData[[#This Row],[Order Date]])</f>
        <v>2017</v>
      </c>
      <c r="C2114" s="3">
        <f>MONTH(SalesData[[#This Row],[Order Date]])</f>
        <v>6</v>
      </c>
      <c r="D2114" t="s">
        <v>20</v>
      </c>
      <c r="E2114" t="s">
        <v>52</v>
      </c>
      <c r="F2114" t="s">
        <v>15</v>
      </c>
      <c r="G2114" t="s">
        <v>41</v>
      </c>
      <c r="H2114" t="s">
        <v>61</v>
      </c>
      <c r="I2114" s="2">
        <v>3674.46</v>
      </c>
      <c r="J2114" s="3">
        <v>1</v>
      </c>
      <c r="K2114" s="2">
        <v>397.53</v>
      </c>
    </row>
    <row r="2115" spans="1:11" x14ac:dyDescent="0.25">
      <c r="A2115" s="4">
        <v>42915</v>
      </c>
      <c r="B2115" s="3">
        <f>YEAR(SalesData[[#This Row],[Order Date]])</f>
        <v>2017</v>
      </c>
      <c r="C2115" s="3">
        <f>MONTH(SalesData[[#This Row],[Order Date]])</f>
        <v>6</v>
      </c>
      <c r="D2115" t="s">
        <v>18</v>
      </c>
      <c r="E2115" t="s">
        <v>34</v>
      </c>
      <c r="F2115" t="s">
        <v>27</v>
      </c>
      <c r="G2115" t="s">
        <v>32</v>
      </c>
      <c r="H2115" t="s">
        <v>33</v>
      </c>
      <c r="I2115" s="2">
        <v>1438.29</v>
      </c>
      <c r="J2115" s="3">
        <v>9</v>
      </c>
      <c r="K2115" s="2">
        <v>348.78</v>
      </c>
    </row>
    <row r="2116" spans="1:11" x14ac:dyDescent="0.25">
      <c r="A2116" s="4">
        <v>42915</v>
      </c>
      <c r="B2116" s="3">
        <f>YEAR(SalesData[[#This Row],[Order Date]])</f>
        <v>2017</v>
      </c>
      <c r="C2116" s="3">
        <f>MONTH(SalesData[[#This Row],[Order Date]])</f>
        <v>6</v>
      </c>
      <c r="D2116" t="s">
        <v>20</v>
      </c>
      <c r="E2116" t="s">
        <v>19</v>
      </c>
      <c r="F2116" t="s">
        <v>27</v>
      </c>
      <c r="G2116" t="s">
        <v>28</v>
      </c>
      <c r="H2116" t="s">
        <v>69</v>
      </c>
      <c r="I2116" s="2">
        <v>1884.8</v>
      </c>
      <c r="J2116" s="3">
        <v>8</v>
      </c>
      <c r="K2116" s="2">
        <v>161.33000000000001</v>
      </c>
    </row>
    <row r="2117" spans="1:11" x14ac:dyDescent="0.25">
      <c r="A2117" s="4">
        <v>42917</v>
      </c>
      <c r="B2117" s="3">
        <f>YEAR(SalesData[[#This Row],[Order Date]])</f>
        <v>2017</v>
      </c>
      <c r="C2117" s="3">
        <f>MONTH(SalesData[[#This Row],[Order Date]])</f>
        <v>7</v>
      </c>
      <c r="D2117" t="s">
        <v>30</v>
      </c>
      <c r="E2117" t="s">
        <v>31</v>
      </c>
      <c r="F2117" t="s">
        <v>15</v>
      </c>
      <c r="G2117" t="s">
        <v>16</v>
      </c>
      <c r="H2117" t="s">
        <v>17</v>
      </c>
      <c r="I2117" s="2">
        <v>3453.34</v>
      </c>
      <c r="J2117" s="3">
        <v>1</v>
      </c>
      <c r="K2117" s="2">
        <v>84.8</v>
      </c>
    </row>
    <row r="2118" spans="1:11" x14ac:dyDescent="0.25">
      <c r="A2118" s="4">
        <v>42918</v>
      </c>
      <c r="B2118" s="3">
        <f>YEAR(SalesData[[#This Row],[Order Date]])</f>
        <v>2017</v>
      </c>
      <c r="C2118" s="3">
        <f>MONTH(SalesData[[#This Row],[Order Date]])</f>
        <v>7</v>
      </c>
      <c r="D2118" t="s">
        <v>68</v>
      </c>
      <c r="E2118" t="s">
        <v>10</v>
      </c>
      <c r="F2118" t="s">
        <v>11</v>
      </c>
      <c r="G2118" t="s">
        <v>35</v>
      </c>
      <c r="H2118" t="s">
        <v>71</v>
      </c>
      <c r="I2118" s="2">
        <v>2182.52</v>
      </c>
      <c r="J2118" s="3">
        <v>7</v>
      </c>
      <c r="K2118" s="2">
        <v>363.88</v>
      </c>
    </row>
    <row r="2119" spans="1:11" x14ac:dyDescent="0.25">
      <c r="A2119" s="4">
        <v>42918</v>
      </c>
      <c r="B2119" s="3">
        <f>YEAR(SalesData[[#This Row],[Order Date]])</f>
        <v>2017</v>
      </c>
      <c r="C2119" s="3">
        <f>MONTH(SalesData[[#This Row],[Order Date]])</f>
        <v>7</v>
      </c>
      <c r="D2119" t="s">
        <v>43</v>
      </c>
      <c r="E2119" t="s">
        <v>52</v>
      </c>
      <c r="F2119" t="s">
        <v>15</v>
      </c>
      <c r="G2119" t="s">
        <v>38</v>
      </c>
      <c r="H2119" t="s">
        <v>39</v>
      </c>
      <c r="I2119" s="2">
        <v>1015.54</v>
      </c>
      <c r="J2119" s="3">
        <v>2</v>
      </c>
      <c r="K2119" s="2">
        <v>60.07</v>
      </c>
    </row>
    <row r="2120" spans="1:11" x14ac:dyDescent="0.25">
      <c r="A2120" s="4">
        <v>42918</v>
      </c>
      <c r="B2120" s="3">
        <f>YEAR(SalesData[[#This Row],[Order Date]])</f>
        <v>2017</v>
      </c>
      <c r="C2120" s="3">
        <f>MONTH(SalesData[[#This Row],[Order Date]])</f>
        <v>7</v>
      </c>
      <c r="D2120" t="s">
        <v>18</v>
      </c>
      <c r="E2120" t="s">
        <v>44</v>
      </c>
      <c r="F2120" t="s">
        <v>15</v>
      </c>
      <c r="G2120" t="s">
        <v>16</v>
      </c>
      <c r="H2120" t="s">
        <v>17</v>
      </c>
      <c r="I2120" s="2">
        <v>2957.41</v>
      </c>
      <c r="J2120" s="3">
        <v>5</v>
      </c>
      <c r="K2120" s="2">
        <v>300.07</v>
      </c>
    </row>
    <row r="2121" spans="1:11" x14ac:dyDescent="0.25">
      <c r="A2121" s="4">
        <v>42919</v>
      </c>
      <c r="B2121" s="3">
        <f>YEAR(SalesData[[#This Row],[Order Date]])</f>
        <v>2017</v>
      </c>
      <c r="C2121" s="3">
        <f>MONTH(SalesData[[#This Row],[Order Date]])</f>
        <v>7</v>
      </c>
      <c r="D2121" t="s">
        <v>62</v>
      </c>
      <c r="E2121" t="s">
        <v>26</v>
      </c>
      <c r="F2121" t="s">
        <v>11</v>
      </c>
      <c r="G2121" t="s">
        <v>21</v>
      </c>
      <c r="H2121" t="s">
        <v>22</v>
      </c>
      <c r="I2121" s="2">
        <v>1707.73</v>
      </c>
      <c r="J2121" s="3">
        <v>1</v>
      </c>
      <c r="K2121" s="2">
        <v>426.59</v>
      </c>
    </row>
    <row r="2122" spans="1:11" x14ac:dyDescent="0.25">
      <c r="A2122" s="4">
        <v>42919</v>
      </c>
      <c r="B2122" s="3">
        <f>YEAR(SalesData[[#This Row],[Order Date]])</f>
        <v>2017</v>
      </c>
      <c r="C2122" s="3">
        <f>MONTH(SalesData[[#This Row],[Order Date]])</f>
        <v>7</v>
      </c>
      <c r="D2122" t="s">
        <v>20</v>
      </c>
      <c r="E2122" t="s">
        <v>31</v>
      </c>
      <c r="F2122" t="s">
        <v>27</v>
      </c>
      <c r="G2122" t="s">
        <v>28</v>
      </c>
      <c r="H2122" t="s">
        <v>29</v>
      </c>
      <c r="I2122" s="2">
        <v>3003.36</v>
      </c>
      <c r="J2122" s="3">
        <v>9</v>
      </c>
      <c r="K2122" s="2">
        <v>560.6</v>
      </c>
    </row>
    <row r="2123" spans="1:11" x14ac:dyDescent="0.25">
      <c r="A2123" s="4">
        <v>42919</v>
      </c>
      <c r="B2123" s="3">
        <f>YEAR(SalesData[[#This Row],[Order Date]])</f>
        <v>2017</v>
      </c>
      <c r="C2123" s="3">
        <f>MONTH(SalesData[[#This Row],[Order Date]])</f>
        <v>7</v>
      </c>
      <c r="D2123" t="s">
        <v>20</v>
      </c>
      <c r="E2123" t="s">
        <v>26</v>
      </c>
      <c r="F2123" t="s">
        <v>11</v>
      </c>
      <c r="G2123" t="s">
        <v>24</v>
      </c>
      <c r="H2123" t="s">
        <v>54</v>
      </c>
      <c r="I2123" s="2">
        <v>709.33</v>
      </c>
      <c r="J2123" s="3">
        <v>5</v>
      </c>
      <c r="K2123" s="2">
        <v>43.74</v>
      </c>
    </row>
    <row r="2124" spans="1:11" x14ac:dyDescent="0.25">
      <c r="A2124" s="4">
        <v>42920</v>
      </c>
      <c r="B2124" s="3">
        <f>YEAR(SalesData[[#This Row],[Order Date]])</f>
        <v>2017</v>
      </c>
      <c r="C2124" s="3">
        <f>MONTH(SalesData[[#This Row],[Order Date]])</f>
        <v>7</v>
      </c>
      <c r="D2124" t="s">
        <v>43</v>
      </c>
      <c r="E2124" t="s">
        <v>60</v>
      </c>
      <c r="F2124" t="s">
        <v>11</v>
      </c>
      <c r="G2124" t="s">
        <v>24</v>
      </c>
      <c r="H2124" t="s">
        <v>54</v>
      </c>
      <c r="I2124" s="2">
        <v>1128.25</v>
      </c>
      <c r="J2124" s="3">
        <v>4</v>
      </c>
      <c r="K2124" s="2">
        <v>194.92</v>
      </c>
    </row>
    <row r="2125" spans="1:11" x14ac:dyDescent="0.25">
      <c r="A2125" s="4">
        <v>42921</v>
      </c>
      <c r="B2125" s="3">
        <f>YEAR(SalesData[[#This Row],[Order Date]])</f>
        <v>2017</v>
      </c>
      <c r="C2125" s="3">
        <f>MONTH(SalesData[[#This Row],[Order Date]])</f>
        <v>7</v>
      </c>
      <c r="D2125" t="s">
        <v>23</v>
      </c>
      <c r="E2125" t="s">
        <v>37</v>
      </c>
      <c r="F2125" t="s">
        <v>11</v>
      </c>
      <c r="G2125" t="s">
        <v>35</v>
      </c>
      <c r="H2125" t="s">
        <v>71</v>
      </c>
      <c r="I2125" s="2">
        <v>4567.62</v>
      </c>
      <c r="J2125" s="3">
        <v>7</v>
      </c>
      <c r="K2125" s="2">
        <v>347.26</v>
      </c>
    </row>
    <row r="2126" spans="1:11" x14ac:dyDescent="0.25">
      <c r="A2126" s="4">
        <v>42923</v>
      </c>
      <c r="B2126" s="3">
        <f>YEAR(SalesData[[#This Row],[Order Date]])</f>
        <v>2017</v>
      </c>
      <c r="C2126" s="3">
        <f>MONTH(SalesData[[#This Row],[Order Date]])</f>
        <v>7</v>
      </c>
      <c r="D2126" t="s">
        <v>50</v>
      </c>
      <c r="E2126" t="s">
        <v>44</v>
      </c>
      <c r="F2126" t="s">
        <v>27</v>
      </c>
      <c r="G2126" t="s">
        <v>28</v>
      </c>
      <c r="H2126" t="s">
        <v>69</v>
      </c>
      <c r="I2126" s="2">
        <v>1415.67</v>
      </c>
      <c r="J2126" s="3">
        <v>7</v>
      </c>
      <c r="K2126" s="2">
        <v>68.790000000000006</v>
      </c>
    </row>
    <row r="2127" spans="1:11" x14ac:dyDescent="0.25">
      <c r="A2127" s="4">
        <v>42923</v>
      </c>
      <c r="B2127" s="3">
        <f>YEAR(SalesData[[#This Row],[Order Date]])</f>
        <v>2017</v>
      </c>
      <c r="C2127" s="3">
        <f>MONTH(SalesData[[#This Row],[Order Date]])</f>
        <v>7</v>
      </c>
      <c r="D2127" t="s">
        <v>43</v>
      </c>
      <c r="E2127" t="s">
        <v>52</v>
      </c>
      <c r="F2127" t="s">
        <v>11</v>
      </c>
      <c r="G2127" t="s">
        <v>24</v>
      </c>
      <c r="H2127" t="s">
        <v>25</v>
      </c>
      <c r="I2127" s="2">
        <v>1270.3399999999999</v>
      </c>
      <c r="J2127" s="3">
        <v>1</v>
      </c>
      <c r="K2127" s="2">
        <v>49.4</v>
      </c>
    </row>
    <row r="2128" spans="1:11" x14ac:dyDescent="0.25">
      <c r="A2128" s="4">
        <v>42923</v>
      </c>
      <c r="B2128" s="3">
        <f>YEAR(SalesData[[#This Row],[Order Date]])</f>
        <v>2017</v>
      </c>
      <c r="C2128" s="3">
        <f>MONTH(SalesData[[#This Row],[Order Date]])</f>
        <v>7</v>
      </c>
      <c r="D2128" t="s">
        <v>9</v>
      </c>
      <c r="E2128" t="s">
        <v>19</v>
      </c>
      <c r="F2128" t="s">
        <v>27</v>
      </c>
      <c r="G2128" t="s">
        <v>48</v>
      </c>
      <c r="H2128" t="s">
        <v>57</v>
      </c>
      <c r="I2128" s="2">
        <v>746.71</v>
      </c>
      <c r="J2128" s="3">
        <v>4</v>
      </c>
      <c r="K2128" s="2">
        <v>8.83</v>
      </c>
    </row>
    <row r="2129" spans="1:11" x14ac:dyDescent="0.25">
      <c r="A2129" s="4">
        <v>42927</v>
      </c>
      <c r="B2129" s="3">
        <f>YEAR(SalesData[[#This Row],[Order Date]])</f>
        <v>2017</v>
      </c>
      <c r="C2129" s="3">
        <f>MONTH(SalesData[[#This Row],[Order Date]])</f>
        <v>7</v>
      </c>
      <c r="D2129" t="s">
        <v>68</v>
      </c>
      <c r="E2129" t="s">
        <v>60</v>
      </c>
      <c r="F2129" t="s">
        <v>15</v>
      </c>
      <c r="G2129" t="s">
        <v>16</v>
      </c>
      <c r="H2129" t="s">
        <v>51</v>
      </c>
      <c r="I2129" s="2">
        <v>2401.54</v>
      </c>
      <c r="J2129" s="3">
        <v>6</v>
      </c>
      <c r="K2129" s="2">
        <v>703.1</v>
      </c>
    </row>
    <row r="2130" spans="1:11" x14ac:dyDescent="0.25">
      <c r="A2130" s="4">
        <v>42927</v>
      </c>
      <c r="B2130" s="3">
        <f>YEAR(SalesData[[#This Row],[Order Date]])</f>
        <v>2017</v>
      </c>
      <c r="C2130" s="3">
        <f>MONTH(SalesData[[#This Row],[Order Date]])</f>
        <v>7</v>
      </c>
      <c r="D2130" t="s">
        <v>14</v>
      </c>
      <c r="E2130" t="s">
        <v>40</v>
      </c>
      <c r="F2130" t="s">
        <v>15</v>
      </c>
      <c r="G2130" t="s">
        <v>38</v>
      </c>
      <c r="H2130" t="s">
        <v>39</v>
      </c>
      <c r="I2130" s="2">
        <v>3670.78</v>
      </c>
      <c r="J2130" s="3">
        <v>9</v>
      </c>
      <c r="K2130" s="2">
        <v>738.49</v>
      </c>
    </row>
    <row r="2131" spans="1:11" x14ac:dyDescent="0.25">
      <c r="A2131" s="4">
        <v>42927</v>
      </c>
      <c r="B2131" s="3">
        <f>YEAR(SalesData[[#This Row],[Order Date]])</f>
        <v>2017</v>
      </c>
      <c r="C2131" s="3">
        <f>MONTH(SalesData[[#This Row],[Order Date]])</f>
        <v>7</v>
      </c>
      <c r="D2131" t="s">
        <v>43</v>
      </c>
      <c r="E2131" t="s">
        <v>40</v>
      </c>
      <c r="F2131" t="s">
        <v>27</v>
      </c>
      <c r="G2131" t="s">
        <v>28</v>
      </c>
      <c r="H2131" t="s">
        <v>69</v>
      </c>
      <c r="I2131" s="2">
        <v>3946.82</v>
      </c>
      <c r="J2131" s="3">
        <v>6</v>
      </c>
      <c r="K2131" s="2">
        <v>928.37</v>
      </c>
    </row>
    <row r="2132" spans="1:11" x14ac:dyDescent="0.25">
      <c r="A2132" s="4">
        <v>42928</v>
      </c>
      <c r="B2132" s="3">
        <f>YEAR(SalesData[[#This Row],[Order Date]])</f>
        <v>2017</v>
      </c>
      <c r="C2132" s="3">
        <f>MONTH(SalesData[[#This Row],[Order Date]])</f>
        <v>7</v>
      </c>
      <c r="D2132" t="s">
        <v>43</v>
      </c>
      <c r="E2132" t="s">
        <v>19</v>
      </c>
      <c r="F2132" t="s">
        <v>15</v>
      </c>
      <c r="G2132" t="s">
        <v>16</v>
      </c>
      <c r="H2132" t="s">
        <v>17</v>
      </c>
      <c r="I2132" s="2">
        <v>4304.8500000000004</v>
      </c>
      <c r="J2132" s="3">
        <v>3</v>
      </c>
      <c r="K2132" s="2">
        <v>475.69</v>
      </c>
    </row>
    <row r="2133" spans="1:11" x14ac:dyDescent="0.25">
      <c r="A2133" s="4">
        <v>42929</v>
      </c>
      <c r="B2133" s="3">
        <f>YEAR(SalesData[[#This Row],[Order Date]])</f>
        <v>2017</v>
      </c>
      <c r="C2133" s="3">
        <f>MONTH(SalesData[[#This Row],[Order Date]])</f>
        <v>7</v>
      </c>
      <c r="D2133" t="s">
        <v>18</v>
      </c>
      <c r="E2133" t="s">
        <v>44</v>
      </c>
      <c r="F2133" t="s">
        <v>27</v>
      </c>
      <c r="G2133" t="s">
        <v>28</v>
      </c>
      <c r="H2133" t="s">
        <v>58</v>
      </c>
      <c r="I2133" s="2">
        <v>4709.8</v>
      </c>
      <c r="J2133" s="3">
        <v>10</v>
      </c>
      <c r="K2133" s="2">
        <v>1222.68</v>
      </c>
    </row>
    <row r="2134" spans="1:11" x14ac:dyDescent="0.25">
      <c r="A2134" s="4">
        <v>42929</v>
      </c>
      <c r="B2134" s="3">
        <f>YEAR(SalesData[[#This Row],[Order Date]])</f>
        <v>2017</v>
      </c>
      <c r="C2134" s="3">
        <f>MONTH(SalesData[[#This Row],[Order Date]])</f>
        <v>7</v>
      </c>
      <c r="D2134" t="s">
        <v>62</v>
      </c>
      <c r="E2134" t="s">
        <v>44</v>
      </c>
      <c r="F2134" t="s">
        <v>27</v>
      </c>
      <c r="G2134" t="s">
        <v>28</v>
      </c>
      <c r="H2134" t="s">
        <v>58</v>
      </c>
      <c r="I2134" s="2">
        <v>3276.28</v>
      </c>
      <c r="J2134" s="3">
        <v>3</v>
      </c>
      <c r="K2134" s="2">
        <v>556</v>
      </c>
    </row>
    <row r="2135" spans="1:11" x14ac:dyDescent="0.25">
      <c r="A2135" s="4">
        <v>42930</v>
      </c>
      <c r="B2135" s="3">
        <f>YEAR(SalesData[[#This Row],[Order Date]])</f>
        <v>2017</v>
      </c>
      <c r="C2135" s="3">
        <f>MONTH(SalesData[[#This Row],[Order Date]])</f>
        <v>7</v>
      </c>
      <c r="D2135" t="s">
        <v>50</v>
      </c>
      <c r="E2135" t="s">
        <v>44</v>
      </c>
      <c r="F2135" t="s">
        <v>27</v>
      </c>
      <c r="G2135" t="s">
        <v>48</v>
      </c>
      <c r="H2135" t="s">
        <v>57</v>
      </c>
      <c r="I2135" s="2">
        <v>827.56</v>
      </c>
      <c r="J2135" s="3">
        <v>6</v>
      </c>
      <c r="K2135" s="2">
        <v>203.5</v>
      </c>
    </row>
    <row r="2136" spans="1:11" x14ac:dyDescent="0.25">
      <c r="A2136" s="4">
        <v>42931</v>
      </c>
      <c r="B2136" s="3">
        <f>YEAR(SalesData[[#This Row],[Order Date]])</f>
        <v>2017</v>
      </c>
      <c r="C2136" s="3">
        <f>MONTH(SalesData[[#This Row],[Order Date]])</f>
        <v>7</v>
      </c>
      <c r="D2136" t="s">
        <v>14</v>
      </c>
      <c r="E2136" t="s">
        <v>34</v>
      </c>
      <c r="F2136" t="s">
        <v>11</v>
      </c>
      <c r="G2136" t="s">
        <v>35</v>
      </c>
      <c r="H2136" t="s">
        <v>36</v>
      </c>
      <c r="I2136" s="2">
        <v>4720.43</v>
      </c>
      <c r="J2136" s="3">
        <v>5</v>
      </c>
      <c r="K2136" s="2">
        <v>712.96</v>
      </c>
    </row>
    <row r="2137" spans="1:11" x14ac:dyDescent="0.25">
      <c r="A2137" s="4">
        <v>42931</v>
      </c>
      <c r="B2137" s="3">
        <f>YEAR(SalesData[[#This Row],[Order Date]])</f>
        <v>2017</v>
      </c>
      <c r="C2137" s="3">
        <f>MONTH(SalesData[[#This Row],[Order Date]])</f>
        <v>7</v>
      </c>
      <c r="D2137" t="s">
        <v>14</v>
      </c>
      <c r="E2137" t="s">
        <v>40</v>
      </c>
      <c r="F2137" t="s">
        <v>27</v>
      </c>
      <c r="G2137" t="s">
        <v>32</v>
      </c>
      <c r="H2137" t="s">
        <v>33</v>
      </c>
      <c r="I2137" s="2">
        <v>931.97</v>
      </c>
      <c r="J2137" s="3">
        <v>7</v>
      </c>
      <c r="K2137" s="2">
        <v>35.299999999999997</v>
      </c>
    </row>
    <row r="2138" spans="1:11" x14ac:dyDescent="0.25">
      <c r="A2138" s="4">
        <v>42931</v>
      </c>
      <c r="B2138" s="3">
        <f>YEAR(SalesData[[#This Row],[Order Date]])</f>
        <v>2017</v>
      </c>
      <c r="C2138" s="3">
        <f>MONTH(SalesData[[#This Row],[Order Date]])</f>
        <v>7</v>
      </c>
      <c r="D2138" t="s">
        <v>43</v>
      </c>
      <c r="E2138" t="s">
        <v>40</v>
      </c>
      <c r="F2138" t="s">
        <v>15</v>
      </c>
      <c r="G2138" t="s">
        <v>38</v>
      </c>
      <c r="H2138" t="s">
        <v>56</v>
      </c>
      <c r="I2138" s="2">
        <v>90.23</v>
      </c>
      <c r="J2138" s="3">
        <v>5</v>
      </c>
      <c r="K2138" s="2">
        <v>6.14</v>
      </c>
    </row>
    <row r="2139" spans="1:11" x14ac:dyDescent="0.25">
      <c r="A2139" s="4">
        <v>42932</v>
      </c>
      <c r="B2139" s="3">
        <f>YEAR(SalesData[[#This Row],[Order Date]])</f>
        <v>2017</v>
      </c>
      <c r="C2139" s="3">
        <f>MONTH(SalesData[[#This Row],[Order Date]])</f>
        <v>7</v>
      </c>
      <c r="D2139" t="s">
        <v>23</v>
      </c>
      <c r="E2139" t="s">
        <v>34</v>
      </c>
      <c r="F2139" t="s">
        <v>27</v>
      </c>
      <c r="G2139" t="s">
        <v>28</v>
      </c>
      <c r="H2139" t="s">
        <v>58</v>
      </c>
      <c r="I2139" s="2">
        <v>4357.18</v>
      </c>
      <c r="J2139" s="3">
        <v>9</v>
      </c>
      <c r="K2139" s="2">
        <v>153.24</v>
      </c>
    </row>
    <row r="2140" spans="1:11" x14ac:dyDescent="0.25">
      <c r="A2140" s="4">
        <v>42932</v>
      </c>
      <c r="B2140" s="3">
        <f>YEAR(SalesData[[#This Row],[Order Date]])</f>
        <v>2017</v>
      </c>
      <c r="C2140" s="3">
        <f>MONTH(SalesData[[#This Row],[Order Date]])</f>
        <v>7</v>
      </c>
      <c r="D2140" t="s">
        <v>68</v>
      </c>
      <c r="E2140" t="s">
        <v>34</v>
      </c>
      <c r="F2140" t="s">
        <v>15</v>
      </c>
      <c r="G2140" t="s">
        <v>38</v>
      </c>
      <c r="H2140" t="s">
        <v>39</v>
      </c>
      <c r="I2140" s="2">
        <v>2347.2800000000002</v>
      </c>
      <c r="J2140" s="3">
        <v>7</v>
      </c>
      <c r="K2140" s="2">
        <v>49.56</v>
      </c>
    </row>
    <row r="2141" spans="1:11" x14ac:dyDescent="0.25">
      <c r="A2141" s="4">
        <v>42933</v>
      </c>
      <c r="B2141" s="3">
        <f>YEAR(SalesData[[#This Row],[Order Date]])</f>
        <v>2017</v>
      </c>
      <c r="C2141" s="3">
        <f>MONTH(SalesData[[#This Row],[Order Date]])</f>
        <v>7</v>
      </c>
      <c r="D2141" t="s">
        <v>68</v>
      </c>
      <c r="E2141" t="s">
        <v>10</v>
      </c>
      <c r="F2141" t="s">
        <v>11</v>
      </c>
      <c r="G2141" t="s">
        <v>12</v>
      </c>
      <c r="H2141" t="s">
        <v>13</v>
      </c>
      <c r="I2141" s="2">
        <v>3132.15</v>
      </c>
      <c r="J2141" s="3">
        <v>9</v>
      </c>
      <c r="K2141" s="2">
        <v>590.15</v>
      </c>
    </row>
    <row r="2142" spans="1:11" x14ac:dyDescent="0.25">
      <c r="A2142" s="4">
        <v>42933</v>
      </c>
      <c r="B2142" s="3">
        <f>YEAR(SalesData[[#This Row],[Order Date]])</f>
        <v>2017</v>
      </c>
      <c r="C2142" s="3">
        <f>MONTH(SalesData[[#This Row],[Order Date]])</f>
        <v>7</v>
      </c>
      <c r="D2142" t="s">
        <v>20</v>
      </c>
      <c r="E2142" t="s">
        <v>34</v>
      </c>
      <c r="F2142" t="s">
        <v>11</v>
      </c>
      <c r="G2142" t="s">
        <v>35</v>
      </c>
      <c r="H2142" t="s">
        <v>70</v>
      </c>
      <c r="I2142" s="2">
        <v>650.76</v>
      </c>
      <c r="J2142" s="3">
        <v>3</v>
      </c>
      <c r="K2142" s="2">
        <v>190.12</v>
      </c>
    </row>
    <row r="2143" spans="1:11" x14ac:dyDescent="0.25">
      <c r="A2143" s="4">
        <v>42933</v>
      </c>
      <c r="B2143" s="3">
        <f>YEAR(SalesData[[#This Row],[Order Date]])</f>
        <v>2017</v>
      </c>
      <c r="C2143" s="3">
        <f>MONTH(SalesData[[#This Row],[Order Date]])</f>
        <v>7</v>
      </c>
      <c r="D2143" t="s">
        <v>50</v>
      </c>
      <c r="E2143" t="s">
        <v>52</v>
      </c>
      <c r="F2143" t="s">
        <v>27</v>
      </c>
      <c r="G2143" t="s">
        <v>48</v>
      </c>
      <c r="H2143" t="s">
        <v>57</v>
      </c>
      <c r="I2143" s="2">
        <v>3233.19</v>
      </c>
      <c r="J2143" s="3">
        <v>3</v>
      </c>
      <c r="K2143" s="2">
        <v>81.569999999999993</v>
      </c>
    </row>
    <row r="2144" spans="1:11" x14ac:dyDescent="0.25">
      <c r="A2144" s="4">
        <v>42934</v>
      </c>
      <c r="B2144" s="3">
        <f>YEAR(SalesData[[#This Row],[Order Date]])</f>
        <v>2017</v>
      </c>
      <c r="C2144" s="3">
        <f>MONTH(SalesData[[#This Row],[Order Date]])</f>
        <v>7</v>
      </c>
      <c r="D2144" t="s">
        <v>47</v>
      </c>
      <c r="E2144" t="s">
        <v>60</v>
      </c>
      <c r="F2144" t="s">
        <v>11</v>
      </c>
      <c r="G2144" t="s">
        <v>35</v>
      </c>
      <c r="H2144" t="s">
        <v>36</v>
      </c>
      <c r="I2144" s="2">
        <v>871.44</v>
      </c>
      <c r="J2144" s="3">
        <v>1</v>
      </c>
      <c r="K2144" s="2">
        <v>34.32</v>
      </c>
    </row>
    <row r="2145" spans="1:11" x14ac:dyDescent="0.25">
      <c r="A2145" s="4">
        <v>42936</v>
      </c>
      <c r="B2145" s="3">
        <f>YEAR(SalesData[[#This Row],[Order Date]])</f>
        <v>2017</v>
      </c>
      <c r="C2145" s="3">
        <f>MONTH(SalesData[[#This Row],[Order Date]])</f>
        <v>7</v>
      </c>
      <c r="D2145" t="s">
        <v>30</v>
      </c>
      <c r="E2145" t="s">
        <v>19</v>
      </c>
      <c r="F2145" t="s">
        <v>15</v>
      </c>
      <c r="G2145" t="s">
        <v>41</v>
      </c>
      <c r="H2145" t="s">
        <v>42</v>
      </c>
      <c r="I2145" s="2">
        <v>2972.5</v>
      </c>
      <c r="J2145" s="3">
        <v>10</v>
      </c>
      <c r="K2145" s="2">
        <v>456.32</v>
      </c>
    </row>
    <row r="2146" spans="1:11" x14ac:dyDescent="0.25">
      <c r="A2146" s="4">
        <v>42937</v>
      </c>
      <c r="B2146" s="3">
        <f>YEAR(SalesData[[#This Row],[Order Date]])</f>
        <v>2017</v>
      </c>
      <c r="C2146" s="3">
        <f>MONTH(SalesData[[#This Row],[Order Date]])</f>
        <v>7</v>
      </c>
      <c r="D2146" t="s">
        <v>43</v>
      </c>
      <c r="E2146" t="s">
        <v>31</v>
      </c>
      <c r="F2146" t="s">
        <v>11</v>
      </c>
      <c r="G2146" t="s">
        <v>12</v>
      </c>
      <c r="H2146" t="s">
        <v>65</v>
      </c>
      <c r="I2146" s="2">
        <v>3351.91</v>
      </c>
      <c r="J2146" s="3">
        <v>10</v>
      </c>
      <c r="K2146" s="2">
        <v>832.75</v>
      </c>
    </row>
    <row r="2147" spans="1:11" x14ac:dyDescent="0.25">
      <c r="A2147" s="4">
        <v>42937</v>
      </c>
      <c r="B2147" s="3">
        <f>YEAR(SalesData[[#This Row],[Order Date]])</f>
        <v>2017</v>
      </c>
      <c r="C2147" s="3">
        <f>MONTH(SalesData[[#This Row],[Order Date]])</f>
        <v>7</v>
      </c>
      <c r="D2147" t="s">
        <v>47</v>
      </c>
      <c r="E2147" t="s">
        <v>60</v>
      </c>
      <c r="F2147" t="s">
        <v>11</v>
      </c>
      <c r="G2147" t="s">
        <v>35</v>
      </c>
      <c r="H2147" t="s">
        <v>70</v>
      </c>
      <c r="I2147" s="2">
        <v>2898.13</v>
      </c>
      <c r="J2147" s="3">
        <v>3</v>
      </c>
      <c r="K2147" s="2">
        <v>795.24</v>
      </c>
    </row>
    <row r="2148" spans="1:11" x14ac:dyDescent="0.25">
      <c r="A2148" s="4">
        <v>42938</v>
      </c>
      <c r="B2148" s="3">
        <f>YEAR(SalesData[[#This Row],[Order Date]])</f>
        <v>2017</v>
      </c>
      <c r="C2148" s="3">
        <f>MONTH(SalesData[[#This Row],[Order Date]])</f>
        <v>7</v>
      </c>
      <c r="D2148" t="s">
        <v>9</v>
      </c>
      <c r="E2148" t="s">
        <v>31</v>
      </c>
      <c r="F2148" t="s">
        <v>15</v>
      </c>
      <c r="G2148" t="s">
        <v>16</v>
      </c>
      <c r="H2148" t="s">
        <v>17</v>
      </c>
      <c r="I2148" s="2">
        <v>1272.8900000000001</v>
      </c>
      <c r="J2148" s="3">
        <v>4</v>
      </c>
      <c r="K2148" s="2">
        <v>144.09</v>
      </c>
    </row>
    <row r="2149" spans="1:11" x14ac:dyDescent="0.25">
      <c r="A2149" s="4">
        <v>42938</v>
      </c>
      <c r="B2149" s="3">
        <f>YEAR(SalesData[[#This Row],[Order Date]])</f>
        <v>2017</v>
      </c>
      <c r="C2149" s="3">
        <f>MONTH(SalesData[[#This Row],[Order Date]])</f>
        <v>7</v>
      </c>
      <c r="D2149" t="s">
        <v>20</v>
      </c>
      <c r="E2149" t="s">
        <v>52</v>
      </c>
      <c r="F2149" t="s">
        <v>11</v>
      </c>
      <c r="G2149" t="s">
        <v>24</v>
      </c>
      <c r="H2149" t="s">
        <v>54</v>
      </c>
      <c r="I2149" s="2">
        <v>4069.31</v>
      </c>
      <c r="J2149" s="3">
        <v>1</v>
      </c>
      <c r="K2149" s="2">
        <v>1153.23</v>
      </c>
    </row>
    <row r="2150" spans="1:11" x14ac:dyDescent="0.25">
      <c r="A2150" s="4">
        <v>42939</v>
      </c>
      <c r="B2150" s="3">
        <f>YEAR(SalesData[[#This Row],[Order Date]])</f>
        <v>2017</v>
      </c>
      <c r="C2150" s="3">
        <f>MONTH(SalesData[[#This Row],[Order Date]])</f>
        <v>7</v>
      </c>
      <c r="D2150" t="s">
        <v>55</v>
      </c>
      <c r="E2150" t="s">
        <v>31</v>
      </c>
      <c r="F2150" t="s">
        <v>11</v>
      </c>
      <c r="G2150" t="s">
        <v>24</v>
      </c>
      <c r="H2150" t="s">
        <v>25</v>
      </c>
      <c r="I2150" s="2">
        <v>4446.76</v>
      </c>
      <c r="J2150" s="3">
        <v>7</v>
      </c>
      <c r="K2150" s="2">
        <v>217.15</v>
      </c>
    </row>
    <row r="2151" spans="1:11" x14ac:dyDescent="0.25">
      <c r="A2151" s="4">
        <v>42940</v>
      </c>
      <c r="B2151" s="3">
        <f>YEAR(SalesData[[#This Row],[Order Date]])</f>
        <v>2017</v>
      </c>
      <c r="C2151" s="3">
        <f>MONTH(SalesData[[#This Row],[Order Date]])</f>
        <v>7</v>
      </c>
      <c r="D2151" t="s">
        <v>50</v>
      </c>
      <c r="E2151" t="s">
        <v>40</v>
      </c>
      <c r="F2151" t="s">
        <v>27</v>
      </c>
      <c r="G2151" t="s">
        <v>48</v>
      </c>
      <c r="H2151" t="s">
        <v>49</v>
      </c>
      <c r="I2151" s="2">
        <v>3581.18</v>
      </c>
      <c r="J2151" s="3">
        <v>9</v>
      </c>
      <c r="K2151" s="2">
        <v>542.44000000000005</v>
      </c>
    </row>
    <row r="2152" spans="1:11" x14ac:dyDescent="0.25">
      <c r="A2152" s="4">
        <v>42943</v>
      </c>
      <c r="B2152" s="3">
        <f>YEAR(SalesData[[#This Row],[Order Date]])</f>
        <v>2017</v>
      </c>
      <c r="C2152" s="3">
        <f>MONTH(SalesData[[#This Row],[Order Date]])</f>
        <v>7</v>
      </c>
      <c r="D2152" t="s">
        <v>20</v>
      </c>
      <c r="E2152" t="s">
        <v>44</v>
      </c>
      <c r="F2152" t="s">
        <v>15</v>
      </c>
      <c r="G2152" t="s">
        <v>16</v>
      </c>
      <c r="H2152" t="s">
        <v>17</v>
      </c>
      <c r="I2152" s="2">
        <v>3579.41</v>
      </c>
      <c r="J2152" s="3">
        <v>8</v>
      </c>
      <c r="K2152" s="2">
        <v>308.95</v>
      </c>
    </row>
    <row r="2153" spans="1:11" x14ac:dyDescent="0.25">
      <c r="A2153" s="4">
        <v>42943</v>
      </c>
      <c r="B2153" s="3">
        <f>YEAR(SalesData[[#This Row],[Order Date]])</f>
        <v>2017</v>
      </c>
      <c r="C2153" s="3">
        <f>MONTH(SalesData[[#This Row],[Order Date]])</f>
        <v>7</v>
      </c>
      <c r="D2153" t="s">
        <v>68</v>
      </c>
      <c r="E2153" t="s">
        <v>26</v>
      </c>
      <c r="F2153" t="s">
        <v>15</v>
      </c>
      <c r="G2153" t="s">
        <v>41</v>
      </c>
      <c r="H2153" t="s">
        <v>61</v>
      </c>
      <c r="I2153" s="2">
        <v>3724.09</v>
      </c>
      <c r="J2153" s="3">
        <v>2</v>
      </c>
      <c r="K2153" s="2">
        <v>705.49</v>
      </c>
    </row>
    <row r="2154" spans="1:11" x14ac:dyDescent="0.25">
      <c r="A2154" s="4">
        <v>42945</v>
      </c>
      <c r="B2154" s="3">
        <f>YEAR(SalesData[[#This Row],[Order Date]])</f>
        <v>2017</v>
      </c>
      <c r="C2154" s="3">
        <f>MONTH(SalesData[[#This Row],[Order Date]])</f>
        <v>7</v>
      </c>
      <c r="D2154" t="s">
        <v>20</v>
      </c>
      <c r="E2154" t="s">
        <v>10</v>
      </c>
      <c r="F2154" t="s">
        <v>15</v>
      </c>
      <c r="G2154" t="s">
        <v>38</v>
      </c>
      <c r="H2154" t="s">
        <v>39</v>
      </c>
      <c r="I2154" s="2">
        <v>743.92</v>
      </c>
      <c r="J2154" s="3">
        <v>7</v>
      </c>
      <c r="K2154" s="2">
        <v>56.18</v>
      </c>
    </row>
    <row r="2155" spans="1:11" x14ac:dyDescent="0.25">
      <c r="A2155" s="4">
        <v>42946</v>
      </c>
      <c r="B2155" s="3">
        <f>YEAR(SalesData[[#This Row],[Order Date]])</f>
        <v>2017</v>
      </c>
      <c r="C2155" s="3">
        <f>MONTH(SalesData[[#This Row],[Order Date]])</f>
        <v>7</v>
      </c>
      <c r="D2155" t="s">
        <v>23</v>
      </c>
      <c r="E2155" t="s">
        <v>37</v>
      </c>
      <c r="F2155" t="s">
        <v>27</v>
      </c>
      <c r="G2155" t="s">
        <v>28</v>
      </c>
      <c r="H2155" t="s">
        <v>29</v>
      </c>
      <c r="I2155" s="2">
        <v>4802.3100000000004</v>
      </c>
      <c r="J2155" s="3">
        <v>9</v>
      </c>
      <c r="K2155" s="2">
        <v>1343.09</v>
      </c>
    </row>
    <row r="2156" spans="1:11" x14ac:dyDescent="0.25">
      <c r="A2156" s="4">
        <v>42946</v>
      </c>
      <c r="B2156" s="3">
        <f>YEAR(SalesData[[#This Row],[Order Date]])</f>
        <v>2017</v>
      </c>
      <c r="C2156" s="3">
        <f>MONTH(SalesData[[#This Row],[Order Date]])</f>
        <v>7</v>
      </c>
      <c r="D2156" t="s">
        <v>68</v>
      </c>
      <c r="E2156" t="s">
        <v>19</v>
      </c>
      <c r="F2156" t="s">
        <v>11</v>
      </c>
      <c r="G2156" t="s">
        <v>35</v>
      </c>
      <c r="H2156" t="s">
        <v>70</v>
      </c>
      <c r="I2156" s="2">
        <v>456.2</v>
      </c>
      <c r="J2156" s="3">
        <v>9</v>
      </c>
      <c r="K2156" s="2">
        <v>75.989999999999995</v>
      </c>
    </row>
    <row r="2157" spans="1:11" x14ac:dyDescent="0.25">
      <c r="A2157" s="4">
        <v>42946</v>
      </c>
      <c r="B2157" s="3">
        <f>YEAR(SalesData[[#This Row],[Order Date]])</f>
        <v>2017</v>
      </c>
      <c r="C2157" s="3">
        <f>MONTH(SalesData[[#This Row],[Order Date]])</f>
        <v>7</v>
      </c>
      <c r="D2157" t="s">
        <v>50</v>
      </c>
      <c r="E2157" t="s">
        <v>37</v>
      </c>
      <c r="F2157" t="s">
        <v>15</v>
      </c>
      <c r="G2157" t="s">
        <v>38</v>
      </c>
      <c r="H2157" t="s">
        <v>39</v>
      </c>
      <c r="I2157" s="2">
        <v>4143.2299999999996</v>
      </c>
      <c r="J2157" s="3">
        <v>1</v>
      </c>
      <c r="K2157" s="2">
        <v>550.32000000000005</v>
      </c>
    </row>
    <row r="2158" spans="1:11" x14ac:dyDescent="0.25">
      <c r="A2158" s="4">
        <v>42947</v>
      </c>
      <c r="B2158" s="3">
        <f>YEAR(SalesData[[#This Row],[Order Date]])</f>
        <v>2017</v>
      </c>
      <c r="C2158" s="3">
        <f>MONTH(SalesData[[#This Row],[Order Date]])</f>
        <v>7</v>
      </c>
      <c r="D2158" t="s">
        <v>55</v>
      </c>
      <c r="E2158" t="s">
        <v>19</v>
      </c>
      <c r="F2158" t="s">
        <v>15</v>
      </c>
      <c r="G2158" t="s">
        <v>63</v>
      </c>
      <c r="H2158" t="s">
        <v>64</v>
      </c>
      <c r="I2158" s="2">
        <v>1505.31</v>
      </c>
      <c r="J2158" s="3">
        <v>9</v>
      </c>
      <c r="K2158" s="2">
        <v>409.14</v>
      </c>
    </row>
    <row r="2159" spans="1:11" x14ac:dyDescent="0.25">
      <c r="A2159" s="4">
        <v>42948</v>
      </c>
      <c r="B2159" s="3">
        <f>YEAR(SalesData[[#This Row],[Order Date]])</f>
        <v>2017</v>
      </c>
      <c r="C2159" s="3">
        <f>MONTH(SalesData[[#This Row],[Order Date]])</f>
        <v>8</v>
      </c>
      <c r="D2159" t="s">
        <v>30</v>
      </c>
      <c r="E2159" t="s">
        <v>60</v>
      </c>
      <c r="F2159" t="s">
        <v>27</v>
      </c>
      <c r="G2159" t="s">
        <v>28</v>
      </c>
      <c r="H2159" t="s">
        <v>69</v>
      </c>
      <c r="I2159" s="2">
        <v>3656.42</v>
      </c>
      <c r="J2159" s="3">
        <v>6</v>
      </c>
      <c r="K2159" s="2">
        <v>826.44</v>
      </c>
    </row>
    <row r="2160" spans="1:11" x14ac:dyDescent="0.25">
      <c r="A2160" s="4">
        <v>42948</v>
      </c>
      <c r="B2160" s="3">
        <f>YEAR(SalesData[[#This Row],[Order Date]])</f>
        <v>2017</v>
      </c>
      <c r="C2160" s="3">
        <f>MONTH(SalesData[[#This Row],[Order Date]])</f>
        <v>8</v>
      </c>
      <c r="D2160" t="s">
        <v>18</v>
      </c>
      <c r="E2160" t="s">
        <v>26</v>
      </c>
      <c r="F2160" t="s">
        <v>15</v>
      </c>
      <c r="G2160" t="s">
        <v>41</v>
      </c>
      <c r="H2160" t="s">
        <v>42</v>
      </c>
      <c r="I2160" s="2">
        <v>1585.45</v>
      </c>
      <c r="J2160" s="3">
        <v>8</v>
      </c>
      <c r="K2160" s="2">
        <v>390.75</v>
      </c>
    </row>
    <row r="2161" spans="1:11" x14ac:dyDescent="0.25">
      <c r="A2161" s="4">
        <v>42948</v>
      </c>
      <c r="B2161" s="3">
        <f>YEAR(SalesData[[#This Row],[Order Date]])</f>
        <v>2017</v>
      </c>
      <c r="C2161" s="3">
        <f>MONTH(SalesData[[#This Row],[Order Date]])</f>
        <v>8</v>
      </c>
      <c r="D2161" t="s">
        <v>9</v>
      </c>
      <c r="E2161" t="s">
        <v>52</v>
      </c>
      <c r="F2161" t="s">
        <v>15</v>
      </c>
      <c r="G2161" t="s">
        <v>45</v>
      </c>
      <c r="H2161" t="s">
        <v>59</v>
      </c>
      <c r="I2161" s="2">
        <v>4495.87</v>
      </c>
      <c r="J2161" s="3">
        <v>4</v>
      </c>
      <c r="K2161" s="2">
        <v>244.78</v>
      </c>
    </row>
    <row r="2162" spans="1:11" x14ac:dyDescent="0.25">
      <c r="A2162" s="4">
        <v>42950</v>
      </c>
      <c r="B2162" s="3">
        <f>YEAR(SalesData[[#This Row],[Order Date]])</f>
        <v>2017</v>
      </c>
      <c r="C2162" s="3">
        <f>MONTH(SalesData[[#This Row],[Order Date]])</f>
        <v>8</v>
      </c>
      <c r="D2162" t="s">
        <v>43</v>
      </c>
      <c r="E2162" t="s">
        <v>40</v>
      </c>
      <c r="F2162" t="s">
        <v>15</v>
      </c>
      <c r="G2162" t="s">
        <v>38</v>
      </c>
      <c r="H2162" t="s">
        <v>39</v>
      </c>
      <c r="I2162" s="2">
        <v>3700.64</v>
      </c>
      <c r="J2162" s="3">
        <v>8</v>
      </c>
      <c r="K2162" s="2">
        <v>958.56</v>
      </c>
    </row>
    <row r="2163" spans="1:11" x14ac:dyDescent="0.25">
      <c r="A2163" s="4">
        <v>42950</v>
      </c>
      <c r="B2163" s="3">
        <f>YEAR(SalesData[[#This Row],[Order Date]])</f>
        <v>2017</v>
      </c>
      <c r="C2163" s="3">
        <f>MONTH(SalesData[[#This Row],[Order Date]])</f>
        <v>8</v>
      </c>
      <c r="D2163" t="s">
        <v>30</v>
      </c>
      <c r="E2163" t="s">
        <v>40</v>
      </c>
      <c r="F2163" t="s">
        <v>15</v>
      </c>
      <c r="G2163" t="s">
        <v>41</v>
      </c>
      <c r="H2163" t="s">
        <v>61</v>
      </c>
      <c r="I2163" s="2">
        <v>4098.25</v>
      </c>
      <c r="J2163" s="3">
        <v>8</v>
      </c>
      <c r="K2163" s="2">
        <v>679.37</v>
      </c>
    </row>
    <row r="2164" spans="1:11" x14ac:dyDescent="0.25">
      <c r="A2164" s="4">
        <v>42950</v>
      </c>
      <c r="B2164" s="3">
        <f>YEAR(SalesData[[#This Row],[Order Date]])</f>
        <v>2017</v>
      </c>
      <c r="C2164" s="3">
        <f>MONTH(SalesData[[#This Row],[Order Date]])</f>
        <v>8</v>
      </c>
      <c r="D2164" t="s">
        <v>20</v>
      </c>
      <c r="E2164" t="s">
        <v>40</v>
      </c>
      <c r="F2164" t="s">
        <v>15</v>
      </c>
      <c r="G2164" t="s">
        <v>16</v>
      </c>
      <c r="H2164" t="s">
        <v>17</v>
      </c>
      <c r="I2164" s="2">
        <v>2564.52</v>
      </c>
      <c r="J2164" s="3">
        <v>5</v>
      </c>
      <c r="K2164" s="2">
        <v>139.02000000000001</v>
      </c>
    </row>
    <row r="2165" spans="1:11" x14ac:dyDescent="0.25">
      <c r="A2165" s="4">
        <v>42950</v>
      </c>
      <c r="B2165" s="3">
        <f>YEAR(SalesData[[#This Row],[Order Date]])</f>
        <v>2017</v>
      </c>
      <c r="C2165" s="3">
        <f>MONTH(SalesData[[#This Row],[Order Date]])</f>
        <v>8</v>
      </c>
      <c r="D2165" t="s">
        <v>18</v>
      </c>
      <c r="E2165" t="s">
        <v>31</v>
      </c>
      <c r="F2165" t="s">
        <v>11</v>
      </c>
      <c r="G2165" t="s">
        <v>24</v>
      </c>
      <c r="H2165" t="s">
        <v>54</v>
      </c>
      <c r="I2165" s="2">
        <v>3634.2</v>
      </c>
      <c r="J2165" s="3">
        <v>2</v>
      </c>
      <c r="K2165" s="2">
        <v>1078.28</v>
      </c>
    </row>
    <row r="2166" spans="1:11" x14ac:dyDescent="0.25">
      <c r="A2166" s="4">
        <v>42951</v>
      </c>
      <c r="B2166" s="3">
        <f>YEAR(SalesData[[#This Row],[Order Date]])</f>
        <v>2017</v>
      </c>
      <c r="C2166" s="3">
        <f>MONTH(SalesData[[#This Row],[Order Date]])</f>
        <v>8</v>
      </c>
      <c r="D2166" t="s">
        <v>50</v>
      </c>
      <c r="E2166" t="s">
        <v>19</v>
      </c>
      <c r="F2166" t="s">
        <v>27</v>
      </c>
      <c r="G2166" t="s">
        <v>48</v>
      </c>
      <c r="H2166" t="s">
        <v>57</v>
      </c>
      <c r="I2166" s="2">
        <v>536.5</v>
      </c>
      <c r="J2166" s="3">
        <v>1</v>
      </c>
      <c r="K2166" s="2">
        <v>108.86</v>
      </c>
    </row>
    <row r="2167" spans="1:11" x14ac:dyDescent="0.25">
      <c r="A2167" s="4">
        <v>42952</v>
      </c>
      <c r="B2167" s="3">
        <f>YEAR(SalesData[[#This Row],[Order Date]])</f>
        <v>2017</v>
      </c>
      <c r="C2167" s="3">
        <f>MONTH(SalesData[[#This Row],[Order Date]])</f>
        <v>8</v>
      </c>
      <c r="D2167" t="s">
        <v>55</v>
      </c>
      <c r="E2167" t="s">
        <v>37</v>
      </c>
      <c r="F2167" t="s">
        <v>15</v>
      </c>
      <c r="G2167" t="s">
        <v>41</v>
      </c>
      <c r="H2167" t="s">
        <v>42</v>
      </c>
      <c r="I2167" s="2">
        <v>4822.87</v>
      </c>
      <c r="J2167" s="3">
        <v>4</v>
      </c>
      <c r="K2167" s="2">
        <v>191.04</v>
      </c>
    </row>
    <row r="2168" spans="1:11" x14ac:dyDescent="0.25">
      <c r="A2168" s="4">
        <v>42952</v>
      </c>
      <c r="B2168" s="3">
        <f>YEAR(SalesData[[#This Row],[Order Date]])</f>
        <v>2017</v>
      </c>
      <c r="C2168" s="3">
        <f>MONTH(SalesData[[#This Row],[Order Date]])</f>
        <v>8</v>
      </c>
      <c r="D2168" t="s">
        <v>43</v>
      </c>
      <c r="E2168" t="s">
        <v>31</v>
      </c>
      <c r="F2168" t="s">
        <v>11</v>
      </c>
      <c r="G2168" t="s">
        <v>21</v>
      </c>
      <c r="H2168" t="s">
        <v>22</v>
      </c>
      <c r="I2168" s="2">
        <v>349.11</v>
      </c>
      <c r="J2168" s="3">
        <v>4</v>
      </c>
      <c r="K2168" s="2">
        <v>10.28</v>
      </c>
    </row>
    <row r="2169" spans="1:11" x14ac:dyDescent="0.25">
      <c r="A2169" s="4">
        <v>42953</v>
      </c>
      <c r="B2169" s="3">
        <f>YEAR(SalesData[[#This Row],[Order Date]])</f>
        <v>2017</v>
      </c>
      <c r="C2169" s="3">
        <f>MONTH(SalesData[[#This Row],[Order Date]])</f>
        <v>8</v>
      </c>
      <c r="D2169" t="s">
        <v>68</v>
      </c>
      <c r="E2169" t="s">
        <v>37</v>
      </c>
      <c r="F2169" t="s">
        <v>15</v>
      </c>
      <c r="G2169" t="s">
        <v>38</v>
      </c>
      <c r="H2169" t="s">
        <v>56</v>
      </c>
      <c r="I2169" s="2">
        <v>1136.7</v>
      </c>
      <c r="J2169" s="3">
        <v>1</v>
      </c>
      <c r="K2169" s="2">
        <v>65.25</v>
      </c>
    </row>
    <row r="2170" spans="1:11" x14ac:dyDescent="0.25">
      <c r="A2170" s="4">
        <v>42953</v>
      </c>
      <c r="B2170" s="3">
        <f>YEAR(SalesData[[#This Row],[Order Date]])</f>
        <v>2017</v>
      </c>
      <c r="C2170" s="3">
        <f>MONTH(SalesData[[#This Row],[Order Date]])</f>
        <v>8</v>
      </c>
      <c r="D2170" t="s">
        <v>18</v>
      </c>
      <c r="E2170" t="s">
        <v>52</v>
      </c>
      <c r="F2170" t="s">
        <v>15</v>
      </c>
      <c r="G2170" t="s">
        <v>16</v>
      </c>
      <c r="H2170" t="s">
        <v>51</v>
      </c>
      <c r="I2170" s="2">
        <v>819.62</v>
      </c>
      <c r="J2170" s="3">
        <v>7</v>
      </c>
      <c r="K2170" s="2">
        <v>186.84</v>
      </c>
    </row>
    <row r="2171" spans="1:11" x14ac:dyDescent="0.25">
      <c r="A2171" s="4">
        <v>42953</v>
      </c>
      <c r="B2171" s="3">
        <f>YEAR(SalesData[[#This Row],[Order Date]])</f>
        <v>2017</v>
      </c>
      <c r="C2171" s="3">
        <f>MONTH(SalesData[[#This Row],[Order Date]])</f>
        <v>8</v>
      </c>
      <c r="D2171" t="s">
        <v>20</v>
      </c>
      <c r="E2171" t="s">
        <v>19</v>
      </c>
      <c r="F2171" t="s">
        <v>15</v>
      </c>
      <c r="G2171" t="s">
        <v>38</v>
      </c>
      <c r="H2171" t="s">
        <v>56</v>
      </c>
      <c r="I2171" s="2">
        <v>2391.14</v>
      </c>
      <c r="J2171" s="3">
        <v>5</v>
      </c>
      <c r="K2171" s="2">
        <v>260.95999999999998</v>
      </c>
    </row>
    <row r="2172" spans="1:11" x14ac:dyDescent="0.25">
      <c r="A2172" s="4">
        <v>42954</v>
      </c>
      <c r="B2172" s="3">
        <f>YEAR(SalesData[[#This Row],[Order Date]])</f>
        <v>2017</v>
      </c>
      <c r="C2172" s="3">
        <f>MONTH(SalesData[[#This Row],[Order Date]])</f>
        <v>8</v>
      </c>
      <c r="D2172" t="s">
        <v>55</v>
      </c>
      <c r="E2172" t="s">
        <v>34</v>
      </c>
      <c r="F2172" t="s">
        <v>15</v>
      </c>
      <c r="G2172" t="s">
        <v>16</v>
      </c>
      <c r="H2172" t="s">
        <v>51</v>
      </c>
      <c r="I2172" s="2">
        <v>3509.06</v>
      </c>
      <c r="J2172" s="3">
        <v>9</v>
      </c>
      <c r="K2172" s="2">
        <v>288.26</v>
      </c>
    </row>
    <row r="2173" spans="1:11" x14ac:dyDescent="0.25">
      <c r="A2173" s="4">
        <v>42954</v>
      </c>
      <c r="B2173" s="3">
        <f>YEAR(SalesData[[#This Row],[Order Date]])</f>
        <v>2017</v>
      </c>
      <c r="C2173" s="3">
        <f>MONTH(SalesData[[#This Row],[Order Date]])</f>
        <v>8</v>
      </c>
      <c r="D2173" t="s">
        <v>68</v>
      </c>
      <c r="E2173" t="s">
        <v>37</v>
      </c>
      <c r="F2173" t="s">
        <v>11</v>
      </c>
      <c r="G2173" t="s">
        <v>24</v>
      </c>
      <c r="H2173" t="s">
        <v>25</v>
      </c>
      <c r="I2173" s="2">
        <v>938.62</v>
      </c>
      <c r="J2173" s="3">
        <v>6</v>
      </c>
      <c r="K2173" s="2">
        <v>26.44</v>
      </c>
    </row>
    <row r="2174" spans="1:11" x14ac:dyDescent="0.25">
      <c r="A2174" s="4">
        <v>42955</v>
      </c>
      <c r="B2174" s="3">
        <f>YEAR(SalesData[[#This Row],[Order Date]])</f>
        <v>2017</v>
      </c>
      <c r="C2174" s="3">
        <f>MONTH(SalesData[[#This Row],[Order Date]])</f>
        <v>8</v>
      </c>
      <c r="D2174" t="s">
        <v>20</v>
      </c>
      <c r="E2174" t="s">
        <v>34</v>
      </c>
      <c r="F2174" t="s">
        <v>11</v>
      </c>
      <c r="G2174" t="s">
        <v>35</v>
      </c>
      <c r="H2174" t="s">
        <v>70</v>
      </c>
      <c r="I2174" s="2">
        <v>2842.8</v>
      </c>
      <c r="J2174" s="3">
        <v>9</v>
      </c>
      <c r="K2174" s="2">
        <v>693.71</v>
      </c>
    </row>
    <row r="2175" spans="1:11" x14ac:dyDescent="0.25">
      <c r="A2175" s="4">
        <v>42956</v>
      </c>
      <c r="B2175" s="3">
        <f>YEAR(SalesData[[#This Row],[Order Date]])</f>
        <v>2017</v>
      </c>
      <c r="C2175" s="3">
        <f>MONTH(SalesData[[#This Row],[Order Date]])</f>
        <v>8</v>
      </c>
      <c r="D2175" t="s">
        <v>18</v>
      </c>
      <c r="E2175" t="s">
        <v>19</v>
      </c>
      <c r="F2175" t="s">
        <v>11</v>
      </c>
      <c r="G2175" t="s">
        <v>21</v>
      </c>
      <c r="H2175" t="s">
        <v>67</v>
      </c>
      <c r="I2175" s="2">
        <v>4439.37</v>
      </c>
      <c r="J2175" s="3">
        <v>3</v>
      </c>
      <c r="K2175" s="2">
        <v>206.58</v>
      </c>
    </row>
    <row r="2176" spans="1:11" x14ac:dyDescent="0.25">
      <c r="A2176" s="4">
        <v>42956</v>
      </c>
      <c r="B2176" s="3">
        <f>YEAR(SalesData[[#This Row],[Order Date]])</f>
        <v>2017</v>
      </c>
      <c r="C2176" s="3">
        <f>MONTH(SalesData[[#This Row],[Order Date]])</f>
        <v>8</v>
      </c>
      <c r="D2176" t="s">
        <v>50</v>
      </c>
      <c r="E2176" t="s">
        <v>34</v>
      </c>
      <c r="F2176" t="s">
        <v>11</v>
      </c>
      <c r="G2176" t="s">
        <v>12</v>
      </c>
      <c r="H2176" t="s">
        <v>65</v>
      </c>
      <c r="I2176" s="2">
        <v>4815.9799999999996</v>
      </c>
      <c r="J2176" s="3">
        <v>4</v>
      </c>
      <c r="K2176" s="2">
        <v>1061.19</v>
      </c>
    </row>
    <row r="2177" spans="1:11" x14ac:dyDescent="0.25">
      <c r="A2177" s="4">
        <v>42957</v>
      </c>
      <c r="B2177" s="3">
        <f>YEAR(SalesData[[#This Row],[Order Date]])</f>
        <v>2017</v>
      </c>
      <c r="C2177" s="3">
        <f>MONTH(SalesData[[#This Row],[Order Date]])</f>
        <v>8</v>
      </c>
      <c r="D2177" t="s">
        <v>20</v>
      </c>
      <c r="E2177" t="s">
        <v>10</v>
      </c>
      <c r="F2177" t="s">
        <v>11</v>
      </c>
      <c r="G2177" t="s">
        <v>21</v>
      </c>
      <c r="H2177" t="s">
        <v>67</v>
      </c>
      <c r="I2177" s="2">
        <v>4093.71</v>
      </c>
      <c r="J2177" s="3">
        <v>10</v>
      </c>
      <c r="K2177" s="2">
        <v>367.47</v>
      </c>
    </row>
    <row r="2178" spans="1:11" x14ac:dyDescent="0.25">
      <c r="A2178" s="4">
        <v>42957</v>
      </c>
      <c r="B2178" s="3">
        <f>YEAR(SalesData[[#This Row],[Order Date]])</f>
        <v>2017</v>
      </c>
      <c r="C2178" s="3">
        <f>MONTH(SalesData[[#This Row],[Order Date]])</f>
        <v>8</v>
      </c>
      <c r="D2178" t="s">
        <v>50</v>
      </c>
      <c r="E2178" t="s">
        <v>31</v>
      </c>
      <c r="F2178" t="s">
        <v>15</v>
      </c>
      <c r="G2178" t="s">
        <v>45</v>
      </c>
      <c r="H2178" t="s">
        <v>59</v>
      </c>
      <c r="I2178" s="2">
        <v>4659.5200000000004</v>
      </c>
      <c r="J2178" s="3">
        <v>8</v>
      </c>
      <c r="K2178" s="2">
        <v>1149.33</v>
      </c>
    </row>
    <row r="2179" spans="1:11" x14ac:dyDescent="0.25">
      <c r="A2179" s="4">
        <v>42957</v>
      </c>
      <c r="B2179" s="3">
        <f>YEAR(SalesData[[#This Row],[Order Date]])</f>
        <v>2017</v>
      </c>
      <c r="C2179" s="3">
        <f>MONTH(SalesData[[#This Row],[Order Date]])</f>
        <v>8</v>
      </c>
      <c r="D2179" t="s">
        <v>18</v>
      </c>
      <c r="E2179" t="s">
        <v>34</v>
      </c>
      <c r="F2179" t="s">
        <v>11</v>
      </c>
      <c r="G2179" t="s">
        <v>21</v>
      </c>
      <c r="H2179" t="s">
        <v>22</v>
      </c>
      <c r="I2179" s="2">
        <v>3549.52</v>
      </c>
      <c r="J2179" s="3">
        <v>7</v>
      </c>
      <c r="K2179" s="2">
        <v>836.99</v>
      </c>
    </row>
    <row r="2180" spans="1:11" x14ac:dyDescent="0.25">
      <c r="A2180" s="4">
        <v>42958</v>
      </c>
      <c r="B2180" s="3">
        <f>YEAR(SalesData[[#This Row],[Order Date]])</f>
        <v>2017</v>
      </c>
      <c r="C2180" s="3">
        <f>MONTH(SalesData[[#This Row],[Order Date]])</f>
        <v>8</v>
      </c>
      <c r="D2180" t="s">
        <v>62</v>
      </c>
      <c r="E2180" t="s">
        <v>34</v>
      </c>
      <c r="F2180" t="s">
        <v>27</v>
      </c>
      <c r="G2180" t="s">
        <v>32</v>
      </c>
      <c r="H2180" t="s">
        <v>53</v>
      </c>
      <c r="I2180" s="2">
        <v>1898.37</v>
      </c>
      <c r="J2180" s="3">
        <v>1</v>
      </c>
      <c r="K2180" s="2">
        <v>490.78</v>
      </c>
    </row>
    <row r="2181" spans="1:11" x14ac:dyDescent="0.25">
      <c r="A2181" s="4">
        <v>42958</v>
      </c>
      <c r="B2181" s="3">
        <f>YEAR(SalesData[[#This Row],[Order Date]])</f>
        <v>2017</v>
      </c>
      <c r="C2181" s="3">
        <f>MONTH(SalesData[[#This Row],[Order Date]])</f>
        <v>8</v>
      </c>
      <c r="D2181" t="s">
        <v>30</v>
      </c>
      <c r="E2181" t="s">
        <v>40</v>
      </c>
      <c r="F2181" t="s">
        <v>11</v>
      </c>
      <c r="G2181" t="s">
        <v>21</v>
      </c>
      <c r="H2181" t="s">
        <v>22</v>
      </c>
      <c r="I2181" s="2">
        <v>3323.6</v>
      </c>
      <c r="J2181" s="3">
        <v>4</v>
      </c>
      <c r="K2181" s="2">
        <v>299.70999999999998</v>
      </c>
    </row>
    <row r="2182" spans="1:11" x14ac:dyDescent="0.25">
      <c r="A2182" s="4">
        <v>42959</v>
      </c>
      <c r="B2182" s="3">
        <f>YEAR(SalesData[[#This Row],[Order Date]])</f>
        <v>2017</v>
      </c>
      <c r="C2182" s="3">
        <f>MONTH(SalesData[[#This Row],[Order Date]])</f>
        <v>8</v>
      </c>
      <c r="D2182" t="s">
        <v>14</v>
      </c>
      <c r="E2182" t="s">
        <v>52</v>
      </c>
      <c r="F2182" t="s">
        <v>27</v>
      </c>
      <c r="G2182" t="s">
        <v>32</v>
      </c>
      <c r="H2182" t="s">
        <v>33</v>
      </c>
      <c r="I2182" s="2">
        <v>4520.7</v>
      </c>
      <c r="J2182" s="3">
        <v>10</v>
      </c>
      <c r="K2182" s="2">
        <v>706.66</v>
      </c>
    </row>
    <row r="2183" spans="1:11" x14ac:dyDescent="0.25">
      <c r="A2183" s="4">
        <v>42959</v>
      </c>
      <c r="B2183" s="3">
        <f>YEAR(SalesData[[#This Row],[Order Date]])</f>
        <v>2017</v>
      </c>
      <c r="C2183" s="3">
        <f>MONTH(SalesData[[#This Row],[Order Date]])</f>
        <v>8</v>
      </c>
      <c r="D2183" t="s">
        <v>62</v>
      </c>
      <c r="E2183" t="s">
        <v>60</v>
      </c>
      <c r="F2183" t="s">
        <v>15</v>
      </c>
      <c r="G2183" t="s">
        <v>63</v>
      </c>
      <c r="H2183" t="s">
        <v>66</v>
      </c>
      <c r="I2183" s="2">
        <v>2091.94</v>
      </c>
      <c r="J2183" s="3">
        <v>10</v>
      </c>
      <c r="K2183" s="2">
        <v>551.23</v>
      </c>
    </row>
    <row r="2184" spans="1:11" x14ac:dyDescent="0.25">
      <c r="A2184" s="4">
        <v>42959</v>
      </c>
      <c r="B2184" s="3">
        <f>YEAR(SalesData[[#This Row],[Order Date]])</f>
        <v>2017</v>
      </c>
      <c r="C2184" s="3">
        <f>MONTH(SalesData[[#This Row],[Order Date]])</f>
        <v>8</v>
      </c>
      <c r="D2184" t="s">
        <v>20</v>
      </c>
      <c r="E2184" t="s">
        <v>26</v>
      </c>
      <c r="F2184" t="s">
        <v>15</v>
      </c>
      <c r="G2184" t="s">
        <v>63</v>
      </c>
      <c r="H2184" t="s">
        <v>66</v>
      </c>
      <c r="I2184" s="2">
        <v>1905.65</v>
      </c>
      <c r="J2184" s="3">
        <v>5</v>
      </c>
      <c r="K2184" s="2">
        <v>287.88</v>
      </c>
    </row>
    <row r="2185" spans="1:11" x14ac:dyDescent="0.25">
      <c r="A2185" s="4">
        <v>42960</v>
      </c>
      <c r="B2185" s="3">
        <f>YEAR(SalesData[[#This Row],[Order Date]])</f>
        <v>2017</v>
      </c>
      <c r="C2185" s="3">
        <f>MONTH(SalesData[[#This Row],[Order Date]])</f>
        <v>8</v>
      </c>
      <c r="D2185" t="s">
        <v>68</v>
      </c>
      <c r="E2185" t="s">
        <v>44</v>
      </c>
      <c r="F2185" t="s">
        <v>27</v>
      </c>
      <c r="G2185" t="s">
        <v>28</v>
      </c>
      <c r="H2185" t="s">
        <v>29</v>
      </c>
      <c r="I2185" s="2">
        <v>205.81</v>
      </c>
      <c r="J2185" s="3">
        <v>7</v>
      </c>
      <c r="K2185" s="2">
        <v>40.24</v>
      </c>
    </row>
    <row r="2186" spans="1:11" x14ac:dyDescent="0.25">
      <c r="A2186" s="4">
        <v>42962</v>
      </c>
      <c r="B2186" s="3">
        <f>YEAR(SalesData[[#This Row],[Order Date]])</f>
        <v>2017</v>
      </c>
      <c r="C2186" s="3">
        <f>MONTH(SalesData[[#This Row],[Order Date]])</f>
        <v>8</v>
      </c>
      <c r="D2186" t="s">
        <v>50</v>
      </c>
      <c r="E2186" t="s">
        <v>26</v>
      </c>
      <c r="F2186" t="s">
        <v>15</v>
      </c>
      <c r="G2186" t="s">
        <v>41</v>
      </c>
      <c r="H2186" t="s">
        <v>42</v>
      </c>
      <c r="I2186" s="2">
        <v>253.68</v>
      </c>
      <c r="J2186" s="3">
        <v>10</v>
      </c>
      <c r="K2186" s="2">
        <v>2.94</v>
      </c>
    </row>
    <row r="2187" spans="1:11" x14ac:dyDescent="0.25">
      <c r="A2187" s="4">
        <v>42962</v>
      </c>
      <c r="B2187" s="3">
        <f>YEAR(SalesData[[#This Row],[Order Date]])</f>
        <v>2017</v>
      </c>
      <c r="C2187" s="3">
        <f>MONTH(SalesData[[#This Row],[Order Date]])</f>
        <v>8</v>
      </c>
      <c r="D2187" t="s">
        <v>9</v>
      </c>
      <c r="E2187" t="s">
        <v>34</v>
      </c>
      <c r="F2187" t="s">
        <v>15</v>
      </c>
      <c r="G2187" t="s">
        <v>41</v>
      </c>
      <c r="H2187" t="s">
        <v>42</v>
      </c>
      <c r="I2187" s="2">
        <v>4579.08</v>
      </c>
      <c r="J2187" s="3">
        <v>7</v>
      </c>
      <c r="K2187" s="2">
        <v>254.49</v>
      </c>
    </row>
    <row r="2188" spans="1:11" x14ac:dyDescent="0.25">
      <c r="A2188" s="4">
        <v>42962</v>
      </c>
      <c r="B2188" s="3">
        <f>YEAR(SalesData[[#This Row],[Order Date]])</f>
        <v>2017</v>
      </c>
      <c r="C2188" s="3">
        <f>MONTH(SalesData[[#This Row],[Order Date]])</f>
        <v>8</v>
      </c>
      <c r="D2188" t="s">
        <v>43</v>
      </c>
      <c r="E2188" t="s">
        <v>37</v>
      </c>
      <c r="F2188" t="s">
        <v>15</v>
      </c>
      <c r="G2188" t="s">
        <v>16</v>
      </c>
      <c r="H2188" t="s">
        <v>51</v>
      </c>
      <c r="I2188" s="2">
        <v>3646.05</v>
      </c>
      <c r="J2188" s="3">
        <v>9</v>
      </c>
      <c r="K2188" s="2">
        <v>58.55</v>
      </c>
    </row>
    <row r="2189" spans="1:11" x14ac:dyDescent="0.25">
      <c r="A2189" s="4">
        <v>42964</v>
      </c>
      <c r="B2189" s="3">
        <f>YEAR(SalesData[[#This Row],[Order Date]])</f>
        <v>2017</v>
      </c>
      <c r="C2189" s="3">
        <f>MONTH(SalesData[[#This Row],[Order Date]])</f>
        <v>8</v>
      </c>
      <c r="D2189" t="s">
        <v>43</v>
      </c>
      <c r="E2189" t="s">
        <v>40</v>
      </c>
      <c r="F2189" t="s">
        <v>27</v>
      </c>
      <c r="G2189" t="s">
        <v>32</v>
      </c>
      <c r="H2189" t="s">
        <v>53</v>
      </c>
      <c r="I2189" s="2">
        <v>2508.38</v>
      </c>
      <c r="J2189" s="3">
        <v>7</v>
      </c>
      <c r="K2189" s="2">
        <v>209.19</v>
      </c>
    </row>
    <row r="2190" spans="1:11" x14ac:dyDescent="0.25">
      <c r="A2190" s="4">
        <v>42965</v>
      </c>
      <c r="B2190" s="3">
        <f>YEAR(SalesData[[#This Row],[Order Date]])</f>
        <v>2017</v>
      </c>
      <c r="C2190" s="3">
        <f>MONTH(SalesData[[#This Row],[Order Date]])</f>
        <v>8</v>
      </c>
      <c r="D2190" t="s">
        <v>9</v>
      </c>
      <c r="E2190" t="s">
        <v>37</v>
      </c>
      <c r="F2190" t="s">
        <v>15</v>
      </c>
      <c r="G2190" t="s">
        <v>16</v>
      </c>
      <c r="H2190" t="s">
        <v>17</v>
      </c>
      <c r="I2190" s="2">
        <v>1248.06</v>
      </c>
      <c r="J2190" s="3">
        <v>10</v>
      </c>
      <c r="K2190" s="2">
        <v>251.5</v>
      </c>
    </row>
    <row r="2191" spans="1:11" x14ac:dyDescent="0.25">
      <c r="A2191" s="4">
        <v>42965</v>
      </c>
      <c r="B2191" s="3">
        <f>YEAR(SalesData[[#This Row],[Order Date]])</f>
        <v>2017</v>
      </c>
      <c r="C2191" s="3">
        <f>MONTH(SalesData[[#This Row],[Order Date]])</f>
        <v>8</v>
      </c>
      <c r="D2191" t="s">
        <v>30</v>
      </c>
      <c r="E2191" t="s">
        <v>37</v>
      </c>
      <c r="F2191" t="s">
        <v>11</v>
      </c>
      <c r="G2191" t="s">
        <v>12</v>
      </c>
      <c r="H2191" t="s">
        <v>65</v>
      </c>
      <c r="I2191" s="2">
        <v>229.22</v>
      </c>
      <c r="J2191" s="3">
        <v>1</v>
      </c>
      <c r="K2191" s="2">
        <v>1.93</v>
      </c>
    </row>
    <row r="2192" spans="1:11" x14ac:dyDescent="0.25">
      <c r="A2192" s="4">
        <v>42965</v>
      </c>
      <c r="B2192" s="3">
        <f>YEAR(SalesData[[#This Row],[Order Date]])</f>
        <v>2017</v>
      </c>
      <c r="C2192" s="3">
        <f>MONTH(SalesData[[#This Row],[Order Date]])</f>
        <v>8</v>
      </c>
      <c r="D2192" t="s">
        <v>30</v>
      </c>
      <c r="E2192" t="s">
        <v>60</v>
      </c>
      <c r="F2192" t="s">
        <v>15</v>
      </c>
      <c r="G2192" t="s">
        <v>38</v>
      </c>
      <c r="H2192" t="s">
        <v>56</v>
      </c>
      <c r="I2192" s="2">
        <v>1170.6099999999999</v>
      </c>
      <c r="J2192" s="3">
        <v>8</v>
      </c>
      <c r="K2192" s="2">
        <v>62.89</v>
      </c>
    </row>
    <row r="2193" spans="1:11" x14ac:dyDescent="0.25">
      <c r="A2193" s="4">
        <v>42966</v>
      </c>
      <c r="B2193" s="3">
        <f>YEAR(SalesData[[#This Row],[Order Date]])</f>
        <v>2017</v>
      </c>
      <c r="C2193" s="3">
        <f>MONTH(SalesData[[#This Row],[Order Date]])</f>
        <v>8</v>
      </c>
      <c r="D2193" t="s">
        <v>30</v>
      </c>
      <c r="E2193" t="s">
        <v>52</v>
      </c>
      <c r="F2193" t="s">
        <v>15</v>
      </c>
      <c r="G2193" t="s">
        <v>45</v>
      </c>
      <c r="H2193" t="s">
        <v>46</v>
      </c>
      <c r="I2193" s="2">
        <v>919.42</v>
      </c>
      <c r="J2193" s="3">
        <v>5</v>
      </c>
      <c r="K2193" s="2">
        <v>30.49</v>
      </c>
    </row>
    <row r="2194" spans="1:11" x14ac:dyDescent="0.25">
      <c r="A2194" s="4">
        <v>42966</v>
      </c>
      <c r="B2194" s="3">
        <f>YEAR(SalesData[[#This Row],[Order Date]])</f>
        <v>2017</v>
      </c>
      <c r="C2194" s="3">
        <f>MONTH(SalesData[[#This Row],[Order Date]])</f>
        <v>8</v>
      </c>
      <c r="D2194" t="s">
        <v>23</v>
      </c>
      <c r="E2194" t="s">
        <v>31</v>
      </c>
      <c r="F2194" t="s">
        <v>27</v>
      </c>
      <c r="G2194" t="s">
        <v>48</v>
      </c>
      <c r="H2194" t="s">
        <v>57</v>
      </c>
      <c r="I2194" s="2">
        <v>1066.98</v>
      </c>
      <c r="J2194" s="3">
        <v>4</v>
      </c>
      <c r="K2194" s="2">
        <v>158.96</v>
      </c>
    </row>
    <row r="2195" spans="1:11" x14ac:dyDescent="0.25">
      <c r="A2195" s="4">
        <v>42967</v>
      </c>
      <c r="B2195" s="3">
        <f>YEAR(SalesData[[#This Row],[Order Date]])</f>
        <v>2017</v>
      </c>
      <c r="C2195" s="3">
        <f>MONTH(SalesData[[#This Row],[Order Date]])</f>
        <v>8</v>
      </c>
      <c r="D2195" t="s">
        <v>18</v>
      </c>
      <c r="E2195" t="s">
        <v>34</v>
      </c>
      <c r="F2195" t="s">
        <v>27</v>
      </c>
      <c r="G2195" t="s">
        <v>48</v>
      </c>
      <c r="H2195" t="s">
        <v>49</v>
      </c>
      <c r="I2195" s="2">
        <v>4155.24</v>
      </c>
      <c r="J2195" s="3">
        <v>7</v>
      </c>
      <c r="K2195" s="2">
        <v>758.36</v>
      </c>
    </row>
    <row r="2196" spans="1:11" x14ac:dyDescent="0.25">
      <c r="A2196" s="4">
        <v>42967</v>
      </c>
      <c r="B2196" s="3">
        <f>YEAR(SalesData[[#This Row],[Order Date]])</f>
        <v>2017</v>
      </c>
      <c r="C2196" s="3">
        <f>MONTH(SalesData[[#This Row],[Order Date]])</f>
        <v>8</v>
      </c>
      <c r="D2196" t="s">
        <v>47</v>
      </c>
      <c r="E2196" t="s">
        <v>31</v>
      </c>
      <c r="F2196" t="s">
        <v>15</v>
      </c>
      <c r="G2196" t="s">
        <v>38</v>
      </c>
      <c r="H2196" t="s">
        <v>56</v>
      </c>
      <c r="I2196" s="2">
        <v>761.17</v>
      </c>
      <c r="J2196" s="3">
        <v>6</v>
      </c>
      <c r="K2196" s="2">
        <v>151.44</v>
      </c>
    </row>
    <row r="2197" spans="1:11" x14ac:dyDescent="0.25">
      <c r="A2197" s="4">
        <v>42967</v>
      </c>
      <c r="B2197" s="3">
        <f>YEAR(SalesData[[#This Row],[Order Date]])</f>
        <v>2017</v>
      </c>
      <c r="C2197" s="3">
        <f>MONTH(SalesData[[#This Row],[Order Date]])</f>
        <v>8</v>
      </c>
      <c r="D2197" t="s">
        <v>23</v>
      </c>
      <c r="E2197" t="s">
        <v>60</v>
      </c>
      <c r="F2197" t="s">
        <v>15</v>
      </c>
      <c r="G2197" t="s">
        <v>38</v>
      </c>
      <c r="H2197" t="s">
        <v>56</v>
      </c>
      <c r="I2197" s="2">
        <v>2024.48</v>
      </c>
      <c r="J2197" s="3">
        <v>7</v>
      </c>
      <c r="K2197" s="2">
        <v>484.01</v>
      </c>
    </row>
    <row r="2198" spans="1:11" x14ac:dyDescent="0.25">
      <c r="A2198" s="4">
        <v>42968</v>
      </c>
      <c r="B2198" s="3">
        <f>YEAR(SalesData[[#This Row],[Order Date]])</f>
        <v>2017</v>
      </c>
      <c r="C2198" s="3">
        <f>MONTH(SalesData[[#This Row],[Order Date]])</f>
        <v>8</v>
      </c>
      <c r="D2198" t="s">
        <v>20</v>
      </c>
      <c r="E2198" t="s">
        <v>34</v>
      </c>
      <c r="F2198" t="s">
        <v>15</v>
      </c>
      <c r="G2198" t="s">
        <v>41</v>
      </c>
      <c r="H2198" t="s">
        <v>42</v>
      </c>
      <c r="I2198" s="2">
        <v>4549.67</v>
      </c>
      <c r="J2198" s="3">
        <v>6</v>
      </c>
      <c r="K2198" s="2">
        <v>111.8</v>
      </c>
    </row>
    <row r="2199" spans="1:11" x14ac:dyDescent="0.25">
      <c r="A2199" s="4">
        <v>42969</v>
      </c>
      <c r="B2199" s="3">
        <f>YEAR(SalesData[[#This Row],[Order Date]])</f>
        <v>2017</v>
      </c>
      <c r="C2199" s="3">
        <f>MONTH(SalesData[[#This Row],[Order Date]])</f>
        <v>8</v>
      </c>
      <c r="D2199" t="s">
        <v>47</v>
      </c>
      <c r="E2199" t="s">
        <v>19</v>
      </c>
      <c r="F2199" t="s">
        <v>15</v>
      </c>
      <c r="G2199" t="s">
        <v>63</v>
      </c>
      <c r="H2199" t="s">
        <v>66</v>
      </c>
      <c r="I2199" s="2">
        <v>2499.89</v>
      </c>
      <c r="J2199" s="3">
        <v>4</v>
      </c>
      <c r="K2199" s="2">
        <v>99.47</v>
      </c>
    </row>
    <row r="2200" spans="1:11" x14ac:dyDescent="0.25">
      <c r="A2200" s="4">
        <v>42970</v>
      </c>
      <c r="B2200" s="3">
        <f>YEAR(SalesData[[#This Row],[Order Date]])</f>
        <v>2017</v>
      </c>
      <c r="C2200" s="3">
        <f>MONTH(SalesData[[#This Row],[Order Date]])</f>
        <v>8</v>
      </c>
      <c r="D2200" t="s">
        <v>68</v>
      </c>
      <c r="E2200" t="s">
        <v>31</v>
      </c>
      <c r="F2200" t="s">
        <v>11</v>
      </c>
      <c r="G2200" t="s">
        <v>24</v>
      </c>
      <c r="H2200" t="s">
        <v>25</v>
      </c>
      <c r="I2200" s="2">
        <v>3587.98</v>
      </c>
      <c r="J2200" s="3">
        <v>1</v>
      </c>
      <c r="K2200" s="2">
        <v>500.42</v>
      </c>
    </row>
    <row r="2201" spans="1:11" x14ac:dyDescent="0.25">
      <c r="A2201" s="4">
        <v>42971</v>
      </c>
      <c r="B2201" s="3">
        <f>YEAR(SalesData[[#This Row],[Order Date]])</f>
        <v>2017</v>
      </c>
      <c r="C2201" s="3">
        <f>MONTH(SalesData[[#This Row],[Order Date]])</f>
        <v>8</v>
      </c>
      <c r="D2201" t="s">
        <v>50</v>
      </c>
      <c r="E2201" t="s">
        <v>26</v>
      </c>
      <c r="F2201" t="s">
        <v>15</v>
      </c>
      <c r="G2201" t="s">
        <v>41</v>
      </c>
      <c r="H2201" t="s">
        <v>42</v>
      </c>
      <c r="I2201" s="2">
        <v>2385.38</v>
      </c>
      <c r="J2201" s="3">
        <v>6</v>
      </c>
      <c r="K2201" s="2">
        <v>114.31</v>
      </c>
    </row>
    <row r="2202" spans="1:11" x14ac:dyDescent="0.25">
      <c r="A2202" s="4">
        <v>42971</v>
      </c>
      <c r="B2202" s="3">
        <f>YEAR(SalesData[[#This Row],[Order Date]])</f>
        <v>2017</v>
      </c>
      <c r="C2202" s="3">
        <f>MONTH(SalesData[[#This Row],[Order Date]])</f>
        <v>8</v>
      </c>
      <c r="D2202" t="s">
        <v>9</v>
      </c>
      <c r="E2202" t="s">
        <v>44</v>
      </c>
      <c r="F2202" t="s">
        <v>15</v>
      </c>
      <c r="G2202" t="s">
        <v>16</v>
      </c>
      <c r="H2202" t="s">
        <v>51</v>
      </c>
      <c r="I2202" s="2">
        <v>3240.44</v>
      </c>
      <c r="J2202" s="3">
        <v>9</v>
      </c>
      <c r="K2202" s="2">
        <v>812.38</v>
      </c>
    </row>
    <row r="2203" spans="1:11" x14ac:dyDescent="0.25">
      <c r="A2203" s="4">
        <v>42971</v>
      </c>
      <c r="B2203" s="3">
        <f>YEAR(SalesData[[#This Row],[Order Date]])</f>
        <v>2017</v>
      </c>
      <c r="C2203" s="3">
        <f>MONTH(SalesData[[#This Row],[Order Date]])</f>
        <v>8</v>
      </c>
      <c r="D2203" t="s">
        <v>68</v>
      </c>
      <c r="E2203" t="s">
        <v>60</v>
      </c>
      <c r="F2203" t="s">
        <v>15</v>
      </c>
      <c r="G2203" t="s">
        <v>45</v>
      </c>
      <c r="H2203" t="s">
        <v>59</v>
      </c>
      <c r="I2203" s="2">
        <v>3973.3</v>
      </c>
      <c r="J2203" s="3">
        <v>10</v>
      </c>
      <c r="K2203" s="2">
        <v>800.15</v>
      </c>
    </row>
    <row r="2204" spans="1:11" x14ac:dyDescent="0.25">
      <c r="A2204" s="4">
        <v>42972</v>
      </c>
      <c r="B2204" s="3">
        <f>YEAR(SalesData[[#This Row],[Order Date]])</f>
        <v>2017</v>
      </c>
      <c r="C2204" s="3">
        <f>MONTH(SalesData[[#This Row],[Order Date]])</f>
        <v>8</v>
      </c>
      <c r="D2204" t="s">
        <v>50</v>
      </c>
      <c r="E2204" t="s">
        <v>60</v>
      </c>
      <c r="F2204" t="s">
        <v>15</v>
      </c>
      <c r="G2204" t="s">
        <v>45</v>
      </c>
      <c r="H2204" t="s">
        <v>46</v>
      </c>
      <c r="I2204" s="2">
        <v>2181.4299999999998</v>
      </c>
      <c r="J2204" s="3">
        <v>2</v>
      </c>
      <c r="K2204" s="2">
        <v>400.1</v>
      </c>
    </row>
    <row r="2205" spans="1:11" x14ac:dyDescent="0.25">
      <c r="A2205" s="4">
        <v>42972</v>
      </c>
      <c r="B2205" s="3">
        <f>YEAR(SalesData[[#This Row],[Order Date]])</f>
        <v>2017</v>
      </c>
      <c r="C2205" s="3">
        <f>MONTH(SalesData[[#This Row],[Order Date]])</f>
        <v>8</v>
      </c>
      <c r="D2205" t="s">
        <v>18</v>
      </c>
      <c r="E2205" t="s">
        <v>34</v>
      </c>
      <c r="F2205" t="s">
        <v>11</v>
      </c>
      <c r="G2205" t="s">
        <v>35</v>
      </c>
      <c r="H2205" t="s">
        <v>36</v>
      </c>
      <c r="I2205" s="2">
        <v>1780.22</v>
      </c>
      <c r="J2205" s="3">
        <v>4</v>
      </c>
      <c r="K2205" s="2">
        <v>403.23</v>
      </c>
    </row>
    <row r="2206" spans="1:11" x14ac:dyDescent="0.25">
      <c r="A2206" s="4">
        <v>42972</v>
      </c>
      <c r="B2206" s="3">
        <f>YEAR(SalesData[[#This Row],[Order Date]])</f>
        <v>2017</v>
      </c>
      <c r="C2206" s="3">
        <f>MONTH(SalesData[[#This Row],[Order Date]])</f>
        <v>8</v>
      </c>
      <c r="D2206" t="s">
        <v>23</v>
      </c>
      <c r="E2206" t="s">
        <v>19</v>
      </c>
      <c r="F2206" t="s">
        <v>27</v>
      </c>
      <c r="G2206" t="s">
        <v>48</v>
      </c>
      <c r="H2206" t="s">
        <v>57</v>
      </c>
      <c r="I2206" s="2">
        <v>3811.56</v>
      </c>
      <c r="J2206" s="3">
        <v>5</v>
      </c>
      <c r="K2206" s="2">
        <v>52</v>
      </c>
    </row>
    <row r="2207" spans="1:11" x14ac:dyDescent="0.25">
      <c r="A2207" s="4">
        <v>42972</v>
      </c>
      <c r="B2207" s="3">
        <f>YEAR(SalesData[[#This Row],[Order Date]])</f>
        <v>2017</v>
      </c>
      <c r="C2207" s="3">
        <f>MONTH(SalesData[[#This Row],[Order Date]])</f>
        <v>8</v>
      </c>
      <c r="D2207" t="s">
        <v>62</v>
      </c>
      <c r="E2207" t="s">
        <v>44</v>
      </c>
      <c r="F2207" t="s">
        <v>11</v>
      </c>
      <c r="G2207" t="s">
        <v>24</v>
      </c>
      <c r="H2207" t="s">
        <v>54</v>
      </c>
      <c r="I2207" s="2">
        <v>957.02</v>
      </c>
      <c r="J2207" s="3">
        <v>9</v>
      </c>
      <c r="K2207" s="2">
        <v>70.8</v>
      </c>
    </row>
    <row r="2208" spans="1:11" x14ac:dyDescent="0.25">
      <c r="A2208" s="4">
        <v>42973</v>
      </c>
      <c r="B2208" s="3">
        <f>YEAR(SalesData[[#This Row],[Order Date]])</f>
        <v>2017</v>
      </c>
      <c r="C2208" s="3">
        <f>MONTH(SalesData[[#This Row],[Order Date]])</f>
        <v>8</v>
      </c>
      <c r="D2208" t="s">
        <v>47</v>
      </c>
      <c r="E2208" t="s">
        <v>40</v>
      </c>
      <c r="F2208" t="s">
        <v>11</v>
      </c>
      <c r="G2208" t="s">
        <v>24</v>
      </c>
      <c r="H2208" t="s">
        <v>25</v>
      </c>
      <c r="I2208" s="2">
        <v>3745.3</v>
      </c>
      <c r="J2208" s="3">
        <v>2</v>
      </c>
      <c r="K2208" s="2">
        <v>150.72999999999999</v>
      </c>
    </row>
    <row r="2209" spans="1:11" x14ac:dyDescent="0.25">
      <c r="A2209" s="4">
        <v>42973</v>
      </c>
      <c r="B2209" s="3">
        <f>YEAR(SalesData[[#This Row],[Order Date]])</f>
        <v>2017</v>
      </c>
      <c r="C2209" s="3">
        <f>MONTH(SalesData[[#This Row],[Order Date]])</f>
        <v>8</v>
      </c>
      <c r="D2209" t="s">
        <v>43</v>
      </c>
      <c r="E2209" t="s">
        <v>31</v>
      </c>
      <c r="F2209" t="s">
        <v>11</v>
      </c>
      <c r="G2209" t="s">
        <v>24</v>
      </c>
      <c r="H2209" t="s">
        <v>25</v>
      </c>
      <c r="I2209" s="2">
        <v>120.33</v>
      </c>
      <c r="J2209" s="3">
        <v>3</v>
      </c>
      <c r="K2209" s="2">
        <v>2.63</v>
      </c>
    </row>
    <row r="2210" spans="1:11" x14ac:dyDescent="0.25">
      <c r="A2210" s="4">
        <v>42975</v>
      </c>
      <c r="B2210" s="3">
        <f>YEAR(SalesData[[#This Row],[Order Date]])</f>
        <v>2017</v>
      </c>
      <c r="C2210" s="3">
        <f>MONTH(SalesData[[#This Row],[Order Date]])</f>
        <v>8</v>
      </c>
      <c r="D2210" t="s">
        <v>9</v>
      </c>
      <c r="E2210" t="s">
        <v>44</v>
      </c>
      <c r="F2210" t="s">
        <v>11</v>
      </c>
      <c r="G2210" t="s">
        <v>21</v>
      </c>
      <c r="H2210" t="s">
        <v>67</v>
      </c>
      <c r="I2210" s="2">
        <v>4426.7</v>
      </c>
      <c r="J2210" s="3">
        <v>9</v>
      </c>
      <c r="K2210" s="2">
        <v>164.51</v>
      </c>
    </row>
    <row r="2211" spans="1:11" x14ac:dyDescent="0.25">
      <c r="A2211" s="4">
        <v>42975</v>
      </c>
      <c r="B2211" s="3">
        <f>YEAR(SalesData[[#This Row],[Order Date]])</f>
        <v>2017</v>
      </c>
      <c r="C2211" s="3">
        <f>MONTH(SalesData[[#This Row],[Order Date]])</f>
        <v>8</v>
      </c>
      <c r="D2211" t="s">
        <v>68</v>
      </c>
      <c r="E2211" t="s">
        <v>60</v>
      </c>
      <c r="F2211" t="s">
        <v>15</v>
      </c>
      <c r="G2211" t="s">
        <v>63</v>
      </c>
      <c r="H2211" t="s">
        <v>64</v>
      </c>
      <c r="I2211" s="2">
        <v>2507.66</v>
      </c>
      <c r="J2211" s="3">
        <v>1</v>
      </c>
      <c r="K2211" s="2">
        <v>308.19</v>
      </c>
    </row>
    <row r="2212" spans="1:11" x14ac:dyDescent="0.25">
      <c r="A2212" s="4">
        <v>42975</v>
      </c>
      <c r="B2212" s="3">
        <f>YEAR(SalesData[[#This Row],[Order Date]])</f>
        <v>2017</v>
      </c>
      <c r="C2212" s="3">
        <f>MONTH(SalesData[[#This Row],[Order Date]])</f>
        <v>8</v>
      </c>
      <c r="D2212" t="s">
        <v>20</v>
      </c>
      <c r="E2212" t="s">
        <v>10</v>
      </c>
      <c r="F2212" t="s">
        <v>11</v>
      </c>
      <c r="G2212" t="s">
        <v>21</v>
      </c>
      <c r="H2212" t="s">
        <v>22</v>
      </c>
      <c r="I2212" s="2">
        <v>314.81</v>
      </c>
      <c r="J2212" s="3">
        <v>7</v>
      </c>
      <c r="K2212" s="2">
        <v>72.209999999999994</v>
      </c>
    </row>
    <row r="2213" spans="1:11" x14ac:dyDescent="0.25">
      <c r="A2213" s="4">
        <v>42975</v>
      </c>
      <c r="B2213" s="3">
        <f>YEAR(SalesData[[#This Row],[Order Date]])</f>
        <v>2017</v>
      </c>
      <c r="C2213" s="3">
        <f>MONTH(SalesData[[#This Row],[Order Date]])</f>
        <v>8</v>
      </c>
      <c r="D2213" t="s">
        <v>23</v>
      </c>
      <c r="E2213" t="s">
        <v>44</v>
      </c>
      <c r="F2213" t="s">
        <v>15</v>
      </c>
      <c r="G2213" t="s">
        <v>41</v>
      </c>
      <c r="H2213" t="s">
        <v>42</v>
      </c>
      <c r="I2213" s="2">
        <v>291.82</v>
      </c>
      <c r="J2213" s="3">
        <v>5</v>
      </c>
      <c r="K2213" s="2">
        <v>59.01</v>
      </c>
    </row>
    <row r="2214" spans="1:11" x14ac:dyDescent="0.25">
      <c r="A2214" s="4">
        <v>42976</v>
      </c>
      <c r="B2214" s="3">
        <f>YEAR(SalesData[[#This Row],[Order Date]])</f>
        <v>2017</v>
      </c>
      <c r="C2214" s="3">
        <f>MONTH(SalesData[[#This Row],[Order Date]])</f>
        <v>8</v>
      </c>
      <c r="D2214" t="s">
        <v>20</v>
      </c>
      <c r="E2214" t="s">
        <v>19</v>
      </c>
      <c r="F2214" t="s">
        <v>27</v>
      </c>
      <c r="G2214" t="s">
        <v>32</v>
      </c>
      <c r="H2214" t="s">
        <v>33</v>
      </c>
      <c r="I2214" s="2">
        <v>106.16</v>
      </c>
      <c r="J2214" s="3">
        <v>2</v>
      </c>
      <c r="K2214" s="2">
        <v>10.55</v>
      </c>
    </row>
    <row r="2215" spans="1:11" x14ac:dyDescent="0.25">
      <c r="A2215" s="4">
        <v>42976</v>
      </c>
      <c r="B2215" s="3">
        <f>YEAR(SalesData[[#This Row],[Order Date]])</f>
        <v>2017</v>
      </c>
      <c r="C2215" s="3">
        <f>MONTH(SalesData[[#This Row],[Order Date]])</f>
        <v>8</v>
      </c>
      <c r="D2215" t="s">
        <v>23</v>
      </c>
      <c r="E2215" t="s">
        <v>19</v>
      </c>
      <c r="F2215" t="s">
        <v>27</v>
      </c>
      <c r="G2215" t="s">
        <v>28</v>
      </c>
      <c r="H2215" t="s">
        <v>69</v>
      </c>
      <c r="I2215" s="2">
        <v>3911.41</v>
      </c>
      <c r="J2215" s="3">
        <v>4</v>
      </c>
      <c r="K2215" s="2">
        <v>1092.99</v>
      </c>
    </row>
    <row r="2216" spans="1:11" x14ac:dyDescent="0.25">
      <c r="A2216" s="4">
        <v>42976</v>
      </c>
      <c r="B2216" s="3">
        <f>YEAR(SalesData[[#This Row],[Order Date]])</f>
        <v>2017</v>
      </c>
      <c r="C2216" s="3">
        <f>MONTH(SalesData[[#This Row],[Order Date]])</f>
        <v>8</v>
      </c>
      <c r="D2216" t="s">
        <v>43</v>
      </c>
      <c r="E2216" t="s">
        <v>26</v>
      </c>
      <c r="F2216" t="s">
        <v>15</v>
      </c>
      <c r="G2216" t="s">
        <v>41</v>
      </c>
      <c r="H2216" t="s">
        <v>42</v>
      </c>
      <c r="I2216" s="2">
        <v>233.04</v>
      </c>
      <c r="J2216" s="3">
        <v>1</v>
      </c>
      <c r="K2216" s="2">
        <v>16.75</v>
      </c>
    </row>
    <row r="2217" spans="1:11" x14ac:dyDescent="0.25">
      <c r="A2217" s="4">
        <v>42976</v>
      </c>
      <c r="B2217" s="3">
        <f>YEAR(SalesData[[#This Row],[Order Date]])</f>
        <v>2017</v>
      </c>
      <c r="C2217" s="3">
        <f>MONTH(SalesData[[#This Row],[Order Date]])</f>
        <v>8</v>
      </c>
      <c r="D2217" t="s">
        <v>62</v>
      </c>
      <c r="E2217" t="s">
        <v>60</v>
      </c>
      <c r="F2217" t="s">
        <v>27</v>
      </c>
      <c r="G2217" t="s">
        <v>28</v>
      </c>
      <c r="H2217" t="s">
        <v>69</v>
      </c>
      <c r="I2217" s="2">
        <v>2562.08</v>
      </c>
      <c r="J2217" s="3">
        <v>8</v>
      </c>
      <c r="K2217" s="2">
        <v>498.67</v>
      </c>
    </row>
    <row r="2218" spans="1:11" x14ac:dyDescent="0.25">
      <c r="A2218" s="4">
        <v>42977</v>
      </c>
      <c r="B2218" s="3">
        <f>YEAR(SalesData[[#This Row],[Order Date]])</f>
        <v>2017</v>
      </c>
      <c r="C2218" s="3">
        <f>MONTH(SalesData[[#This Row],[Order Date]])</f>
        <v>8</v>
      </c>
      <c r="D2218" t="s">
        <v>68</v>
      </c>
      <c r="E2218" t="s">
        <v>52</v>
      </c>
      <c r="F2218" t="s">
        <v>27</v>
      </c>
      <c r="G2218" t="s">
        <v>48</v>
      </c>
      <c r="H2218" t="s">
        <v>57</v>
      </c>
      <c r="I2218" s="2">
        <v>811.41</v>
      </c>
      <c r="J2218" s="3">
        <v>1</v>
      </c>
      <c r="K2218" s="2">
        <v>24.2</v>
      </c>
    </row>
    <row r="2219" spans="1:11" x14ac:dyDescent="0.25">
      <c r="A2219" s="4">
        <v>42977</v>
      </c>
      <c r="B2219" s="3">
        <f>YEAR(SalesData[[#This Row],[Order Date]])</f>
        <v>2017</v>
      </c>
      <c r="C2219" s="3">
        <f>MONTH(SalesData[[#This Row],[Order Date]])</f>
        <v>8</v>
      </c>
      <c r="D2219" t="s">
        <v>23</v>
      </c>
      <c r="E2219" t="s">
        <v>19</v>
      </c>
      <c r="F2219" t="s">
        <v>27</v>
      </c>
      <c r="G2219" t="s">
        <v>48</v>
      </c>
      <c r="H2219" t="s">
        <v>57</v>
      </c>
      <c r="I2219" s="2">
        <v>2532.17</v>
      </c>
      <c r="J2219" s="3">
        <v>2</v>
      </c>
      <c r="K2219" s="2">
        <v>749.13</v>
      </c>
    </row>
    <row r="2220" spans="1:11" x14ac:dyDescent="0.25">
      <c r="A2220" s="4">
        <v>42977</v>
      </c>
      <c r="B2220" s="3">
        <f>YEAR(SalesData[[#This Row],[Order Date]])</f>
        <v>2017</v>
      </c>
      <c r="C2220" s="3">
        <f>MONTH(SalesData[[#This Row],[Order Date]])</f>
        <v>8</v>
      </c>
      <c r="D2220" t="s">
        <v>43</v>
      </c>
      <c r="E2220" t="s">
        <v>37</v>
      </c>
      <c r="F2220" t="s">
        <v>11</v>
      </c>
      <c r="G2220" t="s">
        <v>24</v>
      </c>
      <c r="H2220" t="s">
        <v>54</v>
      </c>
      <c r="I2220" s="2">
        <v>1581.91</v>
      </c>
      <c r="J2220" s="3">
        <v>6</v>
      </c>
      <c r="K2220" s="2">
        <v>346.03</v>
      </c>
    </row>
    <row r="2221" spans="1:11" x14ac:dyDescent="0.25">
      <c r="A2221" s="4">
        <v>42978</v>
      </c>
      <c r="B2221" s="3">
        <f>YEAR(SalesData[[#This Row],[Order Date]])</f>
        <v>2017</v>
      </c>
      <c r="C2221" s="3">
        <f>MONTH(SalesData[[#This Row],[Order Date]])</f>
        <v>8</v>
      </c>
      <c r="D2221" t="s">
        <v>20</v>
      </c>
      <c r="E2221" t="s">
        <v>10</v>
      </c>
      <c r="F2221" t="s">
        <v>11</v>
      </c>
      <c r="G2221" t="s">
        <v>21</v>
      </c>
      <c r="H2221" t="s">
        <v>22</v>
      </c>
      <c r="I2221" s="2">
        <v>3909.9</v>
      </c>
      <c r="J2221" s="3">
        <v>5</v>
      </c>
      <c r="K2221" s="2">
        <v>103.5</v>
      </c>
    </row>
    <row r="2222" spans="1:11" x14ac:dyDescent="0.25">
      <c r="A2222" s="4">
        <v>42978</v>
      </c>
      <c r="B2222" s="3">
        <f>YEAR(SalesData[[#This Row],[Order Date]])</f>
        <v>2017</v>
      </c>
      <c r="C2222" s="3">
        <f>MONTH(SalesData[[#This Row],[Order Date]])</f>
        <v>8</v>
      </c>
      <c r="D2222" t="s">
        <v>55</v>
      </c>
      <c r="E2222" t="s">
        <v>10</v>
      </c>
      <c r="F2222" t="s">
        <v>15</v>
      </c>
      <c r="G2222" t="s">
        <v>45</v>
      </c>
      <c r="H2222" t="s">
        <v>46</v>
      </c>
      <c r="I2222" s="2">
        <v>341.33</v>
      </c>
      <c r="J2222" s="3">
        <v>7</v>
      </c>
      <c r="K2222" s="2">
        <v>5.99</v>
      </c>
    </row>
    <row r="2223" spans="1:11" x14ac:dyDescent="0.25">
      <c r="A2223" s="4">
        <v>42979</v>
      </c>
      <c r="B2223" s="3">
        <f>YEAR(SalesData[[#This Row],[Order Date]])</f>
        <v>2017</v>
      </c>
      <c r="C2223" s="3">
        <f>MONTH(SalesData[[#This Row],[Order Date]])</f>
        <v>9</v>
      </c>
      <c r="D2223" t="s">
        <v>43</v>
      </c>
      <c r="E2223" t="s">
        <v>44</v>
      </c>
      <c r="F2223" t="s">
        <v>27</v>
      </c>
      <c r="G2223" t="s">
        <v>48</v>
      </c>
      <c r="H2223" t="s">
        <v>49</v>
      </c>
      <c r="I2223" s="2">
        <v>2905.42</v>
      </c>
      <c r="J2223" s="3">
        <v>2</v>
      </c>
      <c r="K2223" s="2">
        <v>180.09</v>
      </c>
    </row>
    <row r="2224" spans="1:11" x14ac:dyDescent="0.25">
      <c r="A2224" s="4">
        <v>42981</v>
      </c>
      <c r="B2224" s="3">
        <f>YEAR(SalesData[[#This Row],[Order Date]])</f>
        <v>2017</v>
      </c>
      <c r="C2224" s="3">
        <f>MONTH(SalesData[[#This Row],[Order Date]])</f>
        <v>9</v>
      </c>
      <c r="D2224" t="s">
        <v>55</v>
      </c>
      <c r="E2224" t="s">
        <v>19</v>
      </c>
      <c r="F2224" t="s">
        <v>11</v>
      </c>
      <c r="G2224" t="s">
        <v>12</v>
      </c>
      <c r="H2224" t="s">
        <v>65</v>
      </c>
      <c r="I2224" s="2">
        <v>3556.05</v>
      </c>
      <c r="J2224" s="3">
        <v>5</v>
      </c>
      <c r="K2224" s="2">
        <v>600.41</v>
      </c>
    </row>
    <row r="2225" spans="1:11" x14ac:dyDescent="0.25">
      <c r="A2225" s="4">
        <v>42982</v>
      </c>
      <c r="B2225" s="3">
        <f>YEAR(SalesData[[#This Row],[Order Date]])</f>
        <v>2017</v>
      </c>
      <c r="C2225" s="3">
        <f>MONTH(SalesData[[#This Row],[Order Date]])</f>
        <v>9</v>
      </c>
      <c r="D2225" t="s">
        <v>9</v>
      </c>
      <c r="E2225" t="s">
        <v>19</v>
      </c>
      <c r="F2225" t="s">
        <v>11</v>
      </c>
      <c r="G2225" t="s">
        <v>21</v>
      </c>
      <c r="H2225" t="s">
        <v>22</v>
      </c>
      <c r="I2225" s="2">
        <v>4073.59</v>
      </c>
      <c r="J2225" s="3">
        <v>4</v>
      </c>
      <c r="K2225" s="2">
        <v>482.67</v>
      </c>
    </row>
    <row r="2226" spans="1:11" x14ac:dyDescent="0.25">
      <c r="A2226" s="4">
        <v>42982</v>
      </c>
      <c r="B2226" s="3">
        <f>YEAR(SalesData[[#This Row],[Order Date]])</f>
        <v>2017</v>
      </c>
      <c r="C2226" s="3">
        <f>MONTH(SalesData[[#This Row],[Order Date]])</f>
        <v>9</v>
      </c>
      <c r="D2226" t="s">
        <v>14</v>
      </c>
      <c r="E2226" t="s">
        <v>34</v>
      </c>
      <c r="F2226" t="s">
        <v>27</v>
      </c>
      <c r="G2226" t="s">
        <v>48</v>
      </c>
      <c r="H2226" t="s">
        <v>49</v>
      </c>
      <c r="I2226" s="2">
        <v>312.93</v>
      </c>
      <c r="J2226" s="3">
        <v>3</v>
      </c>
      <c r="K2226" s="2">
        <v>4.63</v>
      </c>
    </row>
    <row r="2227" spans="1:11" x14ac:dyDescent="0.25">
      <c r="A2227" s="4">
        <v>42982</v>
      </c>
      <c r="B2227" s="3">
        <f>YEAR(SalesData[[#This Row],[Order Date]])</f>
        <v>2017</v>
      </c>
      <c r="C2227" s="3">
        <f>MONTH(SalesData[[#This Row],[Order Date]])</f>
        <v>9</v>
      </c>
      <c r="D2227" t="s">
        <v>9</v>
      </c>
      <c r="E2227" t="s">
        <v>52</v>
      </c>
      <c r="F2227" t="s">
        <v>15</v>
      </c>
      <c r="G2227" t="s">
        <v>63</v>
      </c>
      <c r="H2227" t="s">
        <v>66</v>
      </c>
      <c r="I2227" s="2">
        <v>1597.79</v>
      </c>
      <c r="J2227" s="3">
        <v>1</v>
      </c>
      <c r="K2227" s="2">
        <v>101.81</v>
      </c>
    </row>
    <row r="2228" spans="1:11" x14ac:dyDescent="0.25">
      <c r="A2228" s="4">
        <v>42982</v>
      </c>
      <c r="B2228" s="3">
        <f>YEAR(SalesData[[#This Row],[Order Date]])</f>
        <v>2017</v>
      </c>
      <c r="C2228" s="3">
        <f>MONTH(SalesData[[#This Row],[Order Date]])</f>
        <v>9</v>
      </c>
      <c r="D2228" t="s">
        <v>18</v>
      </c>
      <c r="E2228" t="s">
        <v>37</v>
      </c>
      <c r="F2228" t="s">
        <v>11</v>
      </c>
      <c r="G2228" t="s">
        <v>12</v>
      </c>
      <c r="H2228" t="s">
        <v>13</v>
      </c>
      <c r="I2228" s="2">
        <v>420.21</v>
      </c>
      <c r="J2228" s="3">
        <v>4</v>
      </c>
      <c r="K2228" s="2">
        <v>125.11</v>
      </c>
    </row>
    <row r="2229" spans="1:11" x14ac:dyDescent="0.25">
      <c r="A2229" s="4">
        <v>42982</v>
      </c>
      <c r="B2229" s="3">
        <f>YEAR(SalesData[[#This Row],[Order Date]])</f>
        <v>2017</v>
      </c>
      <c r="C2229" s="3">
        <f>MONTH(SalesData[[#This Row],[Order Date]])</f>
        <v>9</v>
      </c>
      <c r="D2229" t="s">
        <v>20</v>
      </c>
      <c r="E2229" t="s">
        <v>44</v>
      </c>
      <c r="F2229" t="s">
        <v>27</v>
      </c>
      <c r="G2229" t="s">
        <v>48</v>
      </c>
      <c r="H2229" t="s">
        <v>57</v>
      </c>
      <c r="I2229" s="2">
        <v>3742.13</v>
      </c>
      <c r="J2229" s="3">
        <v>1</v>
      </c>
      <c r="K2229" s="2">
        <v>27.33</v>
      </c>
    </row>
    <row r="2230" spans="1:11" x14ac:dyDescent="0.25">
      <c r="A2230" s="4">
        <v>42983</v>
      </c>
      <c r="B2230" s="3">
        <f>YEAR(SalesData[[#This Row],[Order Date]])</f>
        <v>2017</v>
      </c>
      <c r="C2230" s="3">
        <f>MONTH(SalesData[[#This Row],[Order Date]])</f>
        <v>9</v>
      </c>
      <c r="D2230" t="s">
        <v>62</v>
      </c>
      <c r="E2230" t="s">
        <v>40</v>
      </c>
      <c r="F2230" t="s">
        <v>11</v>
      </c>
      <c r="G2230" t="s">
        <v>12</v>
      </c>
      <c r="H2230" t="s">
        <v>13</v>
      </c>
      <c r="I2230" s="2">
        <v>2945.8</v>
      </c>
      <c r="J2230" s="3">
        <v>1</v>
      </c>
      <c r="K2230" s="2">
        <v>288.37</v>
      </c>
    </row>
    <row r="2231" spans="1:11" x14ac:dyDescent="0.25">
      <c r="A2231" s="4">
        <v>42983</v>
      </c>
      <c r="B2231" s="3">
        <f>YEAR(SalesData[[#This Row],[Order Date]])</f>
        <v>2017</v>
      </c>
      <c r="C2231" s="3">
        <f>MONTH(SalesData[[#This Row],[Order Date]])</f>
        <v>9</v>
      </c>
      <c r="D2231" t="s">
        <v>9</v>
      </c>
      <c r="E2231" t="s">
        <v>26</v>
      </c>
      <c r="F2231" t="s">
        <v>27</v>
      </c>
      <c r="G2231" t="s">
        <v>32</v>
      </c>
      <c r="H2231" t="s">
        <v>33</v>
      </c>
      <c r="I2231" s="2">
        <v>2731.93</v>
      </c>
      <c r="J2231" s="3">
        <v>4</v>
      </c>
      <c r="K2231" s="2">
        <v>452.05</v>
      </c>
    </row>
    <row r="2232" spans="1:11" x14ac:dyDescent="0.25">
      <c r="A2232" s="4">
        <v>42983</v>
      </c>
      <c r="B2232" s="3">
        <f>YEAR(SalesData[[#This Row],[Order Date]])</f>
        <v>2017</v>
      </c>
      <c r="C2232" s="3">
        <f>MONTH(SalesData[[#This Row],[Order Date]])</f>
        <v>9</v>
      </c>
      <c r="D2232" t="s">
        <v>9</v>
      </c>
      <c r="E2232" t="s">
        <v>37</v>
      </c>
      <c r="F2232" t="s">
        <v>11</v>
      </c>
      <c r="G2232" t="s">
        <v>24</v>
      </c>
      <c r="H2232" t="s">
        <v>25</v>
      </c>
      <c r="I2232" s="2">
        <v>2593.8000000000002</v>
      </c>
      <c r="J2232" s="3">
        <v>6</v>
      </c>
      <c r="K2232" s="2">
        <v>8.36</v>
      </c>
    </row>
    <row r="2233" spans="1:11" x14ac:dyDescent="0.25">
      <c r="A2233" s="4">
        <v>42984</v>
      </c>
      <c r="B2233" s="3">
        <f>YEAR(SalesData[[#This Row],[Order Date]])</f>
        <v>2017</v>
      </c>
      <c r="C2233" s="3">
        <f>MONTH(SalesData[[#This Row],[Order Date]])</f>
        <v>9</v>
      </c>
      <c r="D2233" t="s">
        <v>23</v>
      </c>
      <c r="E2233" t="s">
        <v>37</v>
      </c>
      <c r="F2233" t="s">
        <v>27</v>
      </c>
      <c r="G2233" t="s">
        <v>48</v>
      </c>
      <c r="H2233" t="s">
        <v>49</v>
      </c>
      <c r="I2233" s="2">
        <v>4334.21</v>
      </c>
      <c r="J2233" s="3">
        <v>7</v>
      </c>
      <c r="K2233" s="2">
        <v>993.31</v>
      </c>
    </row>
    <row r="2234" spans="1:11" x14ac:dyDescent="0.25">
      <c r="A2234" s="4">
        <v>42984</v>
      </c>
      <c r="B2234" s="3">
        <f>YEAR(SalesData[[#This Row],[Order Date]])</f>
        <v>2017</v>
      </c>
      <c r="C2234" s="3">
        <f>MONTH(SalesData[[#This Row],[Order Date]])</f>
        <v>9</v>
      </c>
      <c r="D2234" t="s">
        <v>55</v>
      </c>
      <c r="E2234" t="s">
        <v>40</v>
      </c>
      <c r="F2234" t="s">
        <v>11</v>
      </c>
      <c r="G2234" t="s">
        <v>24</v>
      </c>
      <c r="H2234" t="s">
        <v>54</v>
      </c>
      <c r="I2234" s="2">
        <v>77.27</v>
      </c>
      <c r="J2234" s="3">
        <v>6</v>
      </c>
      <c r="K2234" s="2">
        <v>16.559999999999999</v>
      </c>
    </row>
    <row r="2235" spans="1:11" x14ac:dyDescent="0.25">
      <c r="A2235" s="4">
        <v>42985</v>
      </c>
      <c r="B2235" s="3">
        <f>YEAR(SalesData[[#This Row],[Order Date]])</f>
        <v>2017</v>
      </c>
      <c r="C2235" s="3">
        <f>MONTH(SalesData[[#This Row],[Order Date]])</f>
        <v>9</v>
      </c>
      <c r="D2235" t="s">
        <v>30</v>
      </c>
      <c r="E2235" t="s">
        <v>60</v>
      </c>
      <c r="F2235" t="s">
        <v>15</v>
      </c>
      <c r="G2235" t="s">
        <v>45</v>
      </c>
      <c r="H2235" t="s">
        <v>59</v>
      </c>
      <c r="I2235" s="2">
        <v>3802.57</v>
      </c>
      <c r="J2235" s="3">
        <v>3</v>
      </c>
      <c r="K2235" s="2">
        <v>308.89</v>
      </c>
    </row>
    <row r="2236" spans="1:11" x14ac:dyDescent="0.25">
      <c r="A2236" s="4">
        <v>42985</v>
      </c>
      <c r="B2236" s="3">
        <f>YEAR(SalesData[[#This Row],[Order Date]])</f>
        <v>2017</v>
      </c>
      <c r="C2236" s="3">
        <f>MONTH(SalesData[[#This Row],[Order Date]])</f>
        <v>9</v>
      </c>
      <c r="D2236" t="s">
        <v>14</v>
      </c>
      <c r="E2236" t="s">
        <v>40</v>
      </c>
      <c r="F2236" t="s">
        <v>11</v>
      </c>
      <c r="G2236" t="s">
        <v>35</v>
      </c>
      <c r="H2236" t="s">
        <v>70</v>
      </c>
      <c r="I2236" s="2">
        <v>3159.01</v>
      </c>
      <c r="J2236" s="3">
        <v>5</v>
      </c>
      <c r="K2236" s="2">
        <v>209.06</v>
      </c>
    </row>
    <row r="2237" spans="1:11" x14ac:dyDescent="0.25">
      <c r="A2237" s="4">
        <v>42985</v>
      </c>
      <c r="B2237" s="3">
        <f>YEAR(SalesData[[#This Row],[Order Date]])</f>
        <v>2017</v>
      </c>
      <c r="C2237" s="3">
        <f>MONTH(SalesData[[#This Row],[Order Date]])</f>
        <v>9</v>
      </c>
      <c r="D2237" t="s">
        <v>9</v>
      </c>
      <c r="E2237" t="s">
        <v>44</v>
      </c>
      <c r="F2237" t="s">
        <v>27</v>
      </c>
      <c r="G2237" t="s">
        <v>48</v>
      </c>
      <c r="H2237" t="s">
        <v>57</v>
      </c>
      <c r="I2237" s="2">
        <v>1790.49</v>
      </c>
      <c r="J2237" s="3">
        <v>3</v>
      </c>
      <c r="K2237" s="2">
        <v>241.89</v>
      </c>
    </row>
    <row r="2238" spans="1:11" x14ac:dyDescent="0.25">
      <c r="A2238" s="4">
        <v>42985</v>
      </c>
      <c r="B2238" s="3">
        <f>YEAR(SalesData[[#This Row],[Order Date]])</f>
        <v>2017</v>
      </c>
      <c r="C2238" s="3">
        <f>MONTH(SalesData[[#This Row],[Order Date]])</f>
        <v>9</v>
      </c>
      <c r="D2238" t="s">
        <v>43</v>
      </c>
      <c r="E2238" t="s">
        <v>34</v>
      </c>
      <c r="F2238" t="s">
        <v>15</v>
      </c>
      <c r="G2238" t="s">
        <v>16</v>
      </c>
      <c r="H2238" t="s">
        <v>51</v>
      </c>
      <c r="I2238" s="2">
        <v>852.55</v>
      </c>
      <c r="J2238" s="3">
        <v>3</v>
      </c>
      <c r="K2238" s="2">
        <v>20.21</v>
      </c>
    </row>
    <row r="2239" spans="1:11" x14ac:dyDescent="0.25">
      <c r="A2239" s="4">
        <v>42986</v>
      </c>
      <c r="B2239" s="3">
        <f>YEAR(SalesData[[#This Row],[Order Date]])</f>
        <v>2017</v>
      </c>
      <c r="C2239" s="3">
        <f>MONTH(SalesData[[#This Row],[Order Date]])</f>
        <v>9</v>
      </c>
      <c r="D2239" t="s">
        <v>62</v>
      </c>
      <c r="E2239" t="s">
        <v>37</v>
      </c>
      <c r="F2239" t="s">
        <v>27</v>
      </c>
      <c r="G2239" t="s">
        <v>28</v>
      </c>
      <c r="H2239" t="s">
        <v>29</v>
      </c>
      <c r="I2239" s="2">
        <v>1487.3</v>
      </c>
      <c r="J2239" s="3">
        <v>2</v>
      </c>
      <c r="K2239" s="2">
        <v>430.59</v>
      </c>
    </row>
    <row r="2240" spans="1:11" x14ac:dyDescent="0.25">
      <c r="A2240" s="4">
        <v>42986</v>
      </c>
      <c r="B2240" s="3">
        <f>YEAR(SalesData[[#This Row],[Order Date]])</f>
        <v>2017</v>
      </c>
      <c r="C2240" s="3">
        <f>MONTH(SalesData[[#This Row],[Order Date]])</f>
        <v>9</v>
      </c>
      <c r="D2240" t="s">
        <v>20</v>
      </c>
      <c r="E2240" t="s">
        <v>34</v>
      </c>
      <c r="F2240" t="s">
        <v>15</v>
      </c>
      <c r="G2240" t="s">
        <v>41</v>
      </c>
      <c r="H2240" t="s">
        <v>61</v>
      </c>
      <c r="I2240" s="2">
        <v>1312.74</v>
      </c>
      <c r="J2240" s="3">
        <v>5</v>
      </c>
      <c r="K2240" s="2">
        <v>103.54</v>
      </c>
    </row>
    <row r="2241" spans="1:11" x14ac:dyDescent="0.25">
      <c r="A2241" s="4">
        <v>42987</v>
      </c>
      <c r="B2241" s="3">
        <f>YEAR(SalesData[[#This Row],[Order Date]])</f>
        <v>2017</v>
      </c>
      <c r="C2241" s="3">
        <f>MONTH(SalesData[[#This Row],[Order Date]])</f>
        <v>9</v>
      </c>
      <c r="D2241" t="s">
        <v>20</v>
      </c>
      <c r="E2241" t="s">
        <v>26</v>
      </c>
      <c r="F2241" t="s">
        <v>15</v>
      </c>
      <c r="G2241" t="s">
        <v>38</v>
      </c>
      <c r="H2241" t="s">
        <v>56</v>
      </c>
      <c r="I2241" s="2">
        <v>378.47</v>
      </c>
      <c r="J2241" s="3">
        <v>5</v>
      </c>
      <c r="K2241" s="2">
        <v>14.08</v>
      </c>
    </row>
    <row r="2242" spans="1:11" x14ac:dyDescent="0.25">
      <c r="A2242" s="4">
        <v>42987</v>
      </c>
      <c r="B2242" s="3">
        <f>YEAR(SalesData[[#This Row],[Order Date]])</f>
        <v>2017</v>
      </c>
      <c r="C2242" s="3">
        <f>MONTH(SalesData[[#This Row],[Order Date]])</f>
        <v>9</v>
      </c>
      <c r="D2242" t="s">
        <v>43</v>
      </c>
      <c r="E2242" t="s">
        <v>31</v>
      </c>
      <c r="F2242" t="s">
        <v>15</v>
      </c>
      <c r="G2242" t="s">
        <v>41</v>
      </c>
      <c r="H2242" t="s">
        <v>42</v>
      </c>
      <c r="I2242" s="2">
        <v>1939.67</v>
      </c>
      <c r="J2242" s="3">
        <v>2</v>
      </c>
      <c r="K2242" s="2">
        <v>159.38</v>
      </c>
    </row>
    <row r="2243" spans="1:11" x14ac:dyDescent="0.25">
      <c r="A2243" s="4">
        <v>42987</v>
      </c>
      <c r="B2243" s="3">
        <f>YEAR(SalesData[[#This Row],[Order Date]])</f>
        <v>2017</v>
      </c>
      <c r="C2243" s="3">
        <f>MONTH(SalesData[[#This Row],[Order Date]])</f>
        <v>9</v>
      </c>
      <c r="D2243" t="s">
        <v>18</v>
      </c>
      <c r="E2243" t="s">
        <v>44</v>
      </c>
      <c r="F2243" t="s">
        <v>15</v>
      </c>
      <c r="G2243" t="s">
        <v>45</v>
      </c>
      <c r="H2243" t="s">
        <v>59</v>
      </c>
      <c r="I2243" s="2">
        <v>2744.08</v>
      </c>
      <c r="J2243" s="3">
        <v>4</v>
      </c>
      <c r="K2243" s="2">
        <v>8.9499999999999993</v>
      </c>
    </row>
    <row r="2244" spans="1:11" x14ac:dyDescent="0.25">
      <c r="A2244" s="4">
        <v>42988</v>
      </c>
      <c r="B2244" s="3">
        <f>YEAR(SalesData[[#This Row],[Order Date]])</f>
        <v>2017</v>
      </c>
      <c r="C2244" s="3">
        <f>MONTH(SalesData[[#This Row],[Order Date]])</f>
        <v>9</v>
      </c>
      <c r="D2244" t="s">
        <v>62</v>
      </c>
      <c r="E2244" t="s">
        <v>26</v>
      </c>
      <c r="F2244" t="s">
        <v>11</v>
      </c>
      <c r="G2244" t="s">
        <v>24</v>
      </c>
      <c r="H2244" t="s">
        <v>25</v>
      </c>
      <c r="I2244" s="2">
        <v>4417.1899999999996</v>
      </c>
      <c r="J2244" s="3">
        <v>8</v>
      </c>
      <c r="K2244" s="2">
        <v>668.41</v>
      </c>
    </row>
    <row r="2245" spans="1:11" x14ac:dyDescent="0.25">
      <c r="A2245" s="4">
        <v>42988</v>
      </c>
      <c r="B2245" s="3">
        <f>YEAR(SalesData[[#This Row],[Order Date]])</f>
        <v>2017</v>
      </c>
      <c r="C2245" s="3">
        <f>MONTH(SalesData[[#This Row],[Order Date]])</f>
        <v>9</v>
      </c>
      <c r="D2245" t="s">
        <v>55</v>
      </c>
      <c r="E2245" t="s">
        <v>40</v>
      </c>
      <c r="F2245" t="s">
        <v>11</v>
      </c>
      <c r="G2245" t="s">
        <v>12</v>
      </c>
      <c r="H2245" t="s">
        <v>13</v>
      </c>
      <c r="I2245" s="2">
        <v>1111.92</v>
      </c>
      <c r="J2245" s="3">
        <v>6</v>
      </c>
      <c r="K2245" s="2">
        <v>319.83</v>
      </c>
    </row>
    <row r="2246" spans="1:11" x14ac:dyDescent="0.25">
      <c r="A2246" s="4">
        <v>42989</v>
      </c>
      <c r="B2246" s="3">
        <f>YEAR(SalesData[[#This Row],[Order Date]])</f>
        <v>2017</v>
      </c>
      <c r="C2246" s="3">
        <f>MONTH(SalesData[[#This Row],[Order Date]])</f>
        <v>9</v>
      </c>
      <c r="D2246" t="s">
        <v>23</v>
      </c>
      <c r="E2246" t="s">
        <v>10</v>
      </c>
      <c r="F2246" t="s">
        <v>15</v>
      </c>
      <c r="G2246" t="s">
        <v>45</v>
      </c>
      <c r="H2246" t="s">
        <v>46</v>
      </c>
      <c r="I2246" s="2">
        <v>155.09</v>
      </c>
      <c r="J2246" s="3">
        <v>10</v>
      </c>
      <c r="K2246" s="2">
        <v>26.4</v>
      </c>
    </row>
    <row r="2247" spans="1:11" x14ac:dyDescent="0.25">
      <c r="A2247" s="4">
        <v>42989</v>
      </c>
      <c r="B2247" s="3">
        <f>YEAR(SalesData[[#This Row],[Order Date]])</f>
        <v>2017</v>
      </c>
      <c r="C2247" s="3">
        <f>MONTH(SalesData[[#This Row],[Order Date]])</f>
        <v>9</v>
      </c>
      <c r="D2247" t="s">
        <v>68</v>
      </c>
      <c r="E2247" t="s">
        <v>52</v>
      </c>
      <c r="F2247" t="s">
        <v>27</v>
      </c>
      <c r="G2247" t="s">
        <v>32</v>
      </c>
      <c r="H2247" t="s">
        <v>53</v>
      </c>
      <c r="I2247" s="2">
        <v>3669.99</v>
      </c>
      <c r="J2247" s="3">
        <v>2</v>
      </c>
      <c r="K2247" s="2">
        <v>857.03</v>
      </c>
    </row>
    <row r="2248" spans="1:11" x14ac:dyDescent="0.25">
      <c r="A2248" s="4">
        <v>42992</v>
      </c>
      <c r="B2248" s="3">
        <f>YEAR(SalesData[[#This Row],[Order Date]])</f>
        <v>2017</v>
      </c>
      <c r="C2248" s="3">
        <f>MONTH(SalesData[[#This Row],[Order Date]])</f>
        <v>9</v>
      </c>
      <c r="D2248" t="s">
        <v>9</v>
      </c>
      <c r="E2248" t="s">
        <v>34</v>
      </c>
      <c r="F2248" t="s">
        <v>11</v>
      </c>
      <c r="G2248" t="s">
        <v>35</v>
      </c>
      <c r="H2248" t="s">
        <v>71</v>
      </c>
      <c r="I2248" s="2">
        <v>1539.22</v>
      </c>
      <c r="J2248" s="3">
        <v>4</v>
      </c>
      <c r="K2248" s="2">
        <v>7.83</v>
      </c>
    </row>
    <row r="2249" spans="1:11" x14ac:dyDescent="0.25">
      <c r="A2249" s="4">
        <v>42992</v>
      </c>
      <c r="B2249" s="3">
        <f>YEAR(SalesData[[#This Row],[Order Date]])</f>
        <v>2017</v>
      </c>
      <c r="C2249" s="3">
        <f>MONTH(SalesData[[#This Row],[Order Date]])</f>
        <v>9</v>
      </c>
      <c r="D2249" t="s">
        <v>62</v>
      </c>
      <c r="E2249" t="s">
        <v>26</v>
      </c>
      <c r="F2249" t="s">
        <v>11</v>
      </c>
      <c r="G2249" t="s">
        <v>35</v>
      </c>
      <c r="H2249" t="s">
        <v>70</v>
      </c>
      <c r="I2249" s="2">
        <v>747.23</v>
      </c>
      <c r="J2249" s="3">
        <v>1</v>
      </c>
      <c r="K2249" s="2">
        <v>138.97999999999999</v>
      </c>
    </row>
    <row r="2250" spans="1:11" x14ac:dyDescent="0.25">
      <c r="A2250" s="4">
        <v>42993</v>
      </c>
      <c r="B2250" s="3">
        <f>YEAR(SalesData[[#This Row],[Order Date]])</f>
        <v>2017</v>
      </c>
      <c r="C2250" s="3">
        <f>MONTH(SalesData[[#This Row],[Order Date]])</f>
        <v>9</v>
      </c>
      <c r="D2250" t="s">
        <v>30</v>
      </c>
      <c r="E2250" t="s">
        <v>40</v>
      </c>
      <c r="F2250" t="s">
        <v>27</v>
      </c>
      <c r="G2250" t="s">
        <v>28</v>
      </c>
      <c r="H2250" t="s">
        <v>29</v>
      </c>
      <c r="I2250" s="2">
        <v>2172.1</v>
      </c>
      <c r="J2250" s="3">
        <v>7</v>
      </c>
      <c r="K2250" s="2">
        <v>502.88</v>
      </c>
    </row>
    <row r="2251" spans="1:11" x14ac:dyDescent="0.25">
      <c r="A2251" s="4">
        <v>42994</v>
      </c>
      <c r="B2251" s="3">
        <f>YEAR(SalesData[[#This Row],[Order Date]])</f>
        <v>2017</v>
      </c>
      <c r="C2251" s="3">
        <f>MONTH(SalesData[[#This Row],[Order Date]])</f>
        <v>9</v>
      </c>
      <c r="D2251" t="s">
        <v>20</v>
      </c>
      <c r="E2251" t="s">
        <v>31</v>
      </c>
      <c r="F2251" t="s">
        <v>27</v>
      </c>
      <c r="G2251" t="s">
        <v>48</v>
      </c>
      <c r="H2251" t="s">
        <v>57</v>
      </c>
      <c r="I2251" s="2">
        <v>2927.64</v>
      </c>
      <c r="J2251" s="3">
        <v>1</v>
      </c>
      <c r="K2251" s="2">
        <v>318.19</v>
      </c>
    </row>
    <row r="2252" spans="1:11" x14ac:dyDescent="0.25">
      <c r="A2252" s="4">
        <v>42994</v>
      </c>
      <c r="B2252" s="3">
        <f>YEAR(SalesData[[#This Row],[Order Date]])</f>
        <v>2017</v>
      </c>
      <c r="C2252" s="3">
        <f>MONTH(SalesData[[#This Row],[Order Date]])</f>
        <v>9</v>
      </c>
      <c r="D2252" t="s">
        <v>55</v>
      </c>
      <c r="E2252" t="s">
        <v>37</v>
      </c>
      <c r="F2252" t="s">
        <v>11</v>
      </c>
      <c r="G2252" t="s">
        <v>12</v>
      </c>
      <c r="H2252" t="s">
        <v>13</v>
      </c>
      <c r="I2252" s="2">
        <v>387.8</v>
      </c>
      <c r="J2252" s="3">
        <v>4</v>
      </c>
      <c r="K2252" s="2">
        <v>101.06</v>
      </c>
    </row>
    <row r="2253" spans="1:11" x14ac:dyDescent="0.25">
      <c r="A2253" s="4">
        <v>42994</v>
      </c>
      <c r="B2253" s="3">
        <f>YEAR(SalesData[[#This Row],[Order Date]])</f>
        <v>2017</v>
      </c>
      <c r="C2253" s="3">
        <f>MONTH(SalesData[[#This Row],[Order Date]])</f>
        <v>9</v>
      </c>
      <c r="D2253" t="s">
        <v>55</v>
      </c>
      <c r="E2253" t="s">
        <v>26</v>
      </c>
      <c r="F2253" t="s">
        <v>27</v>
      </c>
      <c r="G2253" t="s">
        <v>48</v>
      </c>
      <c r="H2253" t="s">
        <v>49</v>
      </c>
      <c r="I2253" s="2">
        <v>387.47</v>
      </c>
      <c r="J2253" s="3">
        <v>8</v>
      </c>
      <c r="K2253" s="2">
        <v>47.35</v>
      </c>
    </row>
    <row r="2254" spans="1:11" x14ac:dyDescent="0.25">
      <c r="A2254" s="4">
        <v>42994</v>
      </c>
      <c r="B2254" s="3">
        <f>YEAR(SalesData[[#This Row],[Order Date]])</f>
        <v>2017</v>
      </c>
      <c r="C2254" s="3">
        <f>MONTH(SalesData[[#This Row],[Order Date]])</f>
        <v>9</v>
      </c>
      <c r="D2254" t="s">
        <v>47</v>
      </c>
      <c r="E2254" t="s">
        <v>10</v>
      </c>
      <c r="F2254" t="s">
        <v>11</v>
      </c>
      <c r="G2254" t="s">
        <v>24</v>
      </c>
      <c r="H2254" t="s">
        <v>54</v>
      </c>
      <c r="I2254" s="2">
        <v>4968.82</v>
      </c>
      <c r="J2254" s="3">
        <v>9</v>
      </c>
      <c r="K2254" s="2">
        <v>201.78</v>
      </c>
    </row>
    <row r="2255" spans="1:11" x14ac:dyDescent="0.25">
      <c r="A2255" s="4">
        <v>42994</v>
      </c>
      <c r="B2255" s="3">
        <f>YEAR(SalesData[[#This Row],[Order Date]])</f>
        <v>2017</v>
      </c>
      <c r="C2255" s="3">
        <f>MONTH(SalesData[[#This Row],[Order Date]])</f>
        <v>9</v>
      </c>
      <c r="D2255" t="s">
        <v>20</v>
      </c>
      <c r="E2255" t="s">
        <v>37</v>
      </c>
      <c r="F2255" t="s">
        <v>27</v>
      </c>
      <c r="G2255" t="s">
        <v>28</v>
      </c>
      <c r="H2255" t="s">
        <v>69</v>
      </c>
      <c r="I2255" s="2">
        <v>252.61</v>
      </c>
      <c r="J2255" s="3">
        <v>3</v>
      </c>
      <c r="K2255" s="2">
        <v>31.31</v>
      </c>
    </row>
    <row r="2256" spans="1:11" x14ac:dyDescent="0.25">
      <c r="A2256" s="4">
        <v>42995</v>
      </c>
      <c r="B2256" s="3">
        <f>YEAR(SalesData[[#This Row],[Order Date]])</f>
        <v>2017</v>
      </c>
      <c r="C2256" s="3">
        <f>MONTH(SalesData[[#This Row],[Order Date]])</f>
        <v>9</v>
      </c>
      <c r="D2256" t="s">
        <v>68</v>
      </c>
      <c r="E2256" t="s">
        <v>37</v>
      </c>
      <c r="F2256" t="s">
        <v>27</v>
      </c>
      <c r="G2256" t="s">
        <v>32</v>
      </c>
      <c r="H2256" t="s">
        <v>33</v>
      </c>
      <c r="I2256" s="2">
        <v>1365.13</v>
      </c>
      <c r="J2256" s="3">
        <v>3</v>
      </c>
      <c r="K2256" s="2">
        <v>117.5</v>
      </c>
    </row>
    <row r="2257" spans="1:11" x14ac:dyDescent="0.25">
      <c r="A2257" s="4">
        <v>42996</v>
      </c>
      <c r="B2257" s="3">
        <f>YEAR(SalesData[[#This Row],[Order Date]])</f>
        <v>2017</v>
      </c>
      <c r="C2257" s="3">
        <f>MONTH(SalesData[[#This Row],[Order Date]])</f>
        <v>9</v>
      </c>
      <c r="D2257" t="s">
        <v>47</v>
      </c>
      <c r="E2257" t="s">
        <v>31</v>
      </c>
      <c r="F2257" t="s">
        <v>11</v>
      </c>
      <c r="G2257" t="s">
        <v>24</v>
      </c>
      <c r="H2257" t="s">
        <v>25</v>
      </c>
      <c r="I2257" s="2">
        <v>845.45</v>
      </c>
      <c r="J2257" s="3">
        <v>2</v>
      </c>
      <c r="K2257" s="2">
        <v>182.51</v>
      </c>
    </row>
    <row r="2258" spans="1:11" x14ac:dyDescent="0.25">
      <c r="A2258" s="4">
        <v>42996</v>
      </c>
      <c r="B2258" s="3">
        <f>YEAR(SalesData[[#This Row],[Order Date]])</f>
        <v>2017</v>
      </c>
      <c r="C2258" s="3">
        <f>MONTH(SalesData[[#This Row],[Order Date]])</f>
        <v>9</v>
      </c>
      <c r="D2258" t="s">
        <v>43</v>
      </c>
      <c r="E2258" t="s">
        <v>37</v>
      </c>
      <c r="F2258" t="s">
        <v>27</v>
      </c>
      <c r="G2258" t="s">
        <v>28</v>
      </c>
      <c r="H2258" t="s">
        <v>29</v>
      </c>
      <c r="I2258" s="2">
        <v>2138.27</v>
      </c>
      <c r="J2258" s="3">
        <v>4</v>
      </c>
      <c r="K2258" s="2">
        <v>618.57000000000005</v>
      </c>
    </row>
    <row r="2259" spans="1:11" x14ac:dyDescent="0.25">
      <c r="A2259" s="4">
        <v>42997</v>
      </c>
      <c r="B2259" s="3">
        <f>YEAR(SalesData[[#This Row],[Order Date]])</f>
        <v>2017</v>
      </c>
      <c r="C2259" s="3">
        <f>MONTH(SalesData[[#This Row],[Order Date]])</f>
        <v>9</v>
      </c>
      <c r="D2259" t="s">
        <v>43</v>
      </c>
      <c r="E2259" t="s">
        <v>44</v>
      </c>
      <c r="F2259" t="s">
        <v>11</v>
      </c>
      <c r="G2259" t="s">
        <v>12</v>
      </c>
      <c r="H2259" t="s">
        <v>13</v>
      </c>
      <c r="I2259" s="2">
        <v>4736.4399999999996</v>
      </c>
      <c r="J2259" s="3">
        <v>5</v>
      </c>
      <c r="K2259" s="2">
        <v>385.05</v>
      </c>
    </row>
    <row r="2260" spans="1:11" x14ac:dyDescent="0.25">
      <c r="A2260" s="4">
        <v>42997</v>
      </c>
      <c r="B2260" s="3">
        <f>YEAR(SalesData[[#This Row],[Order Date]])</f>
        <v>2017</v>
      </c>
      <c r="C2260" s="3">
        <f>MONTH(SalesData[[#This Row],[Order Date]])</f>
        <v>9</v>
      </c>
      <c r="D2260" t="s">
        <v>30</v>
      </c>
      <c r="E2260" t="s">
        <v>31</v>
      </c>
      <c r="F2260" t="s">
        <v>27</v>
      </c>
      <c r="G2260" t="s">
        <v>32</v>
      </c>
      <c r="H2260" t="s">
        <v>33</v>
      </c>
      <c r="I2260" s="2">
        <v>1211.56</v>
      </c>
      <c r="J2260" s="3">
        <v>7</v>
      </c>
      <c r="K2260" s="2">
        <v>304.48</v>
      </c>
    </row>
    <row r="2261" spans="1:11" x14ac:dyDescent="0.25">
      <c r="A2261" s="4">
        <v>42997</v>
      </c>
      <c r="B2261" s="3">
        <f>YEAR(SalesData[[#This Row],[Order Date]])</f>
        <v>2017</v>
      </c>
      <c r="C2261" s="3">
        <f>MONTH(SalesData[[#This Row],[Order Date]])</f>
        <v>9</v>
      </c>
      <c r="D2261" t="s">
        <v>23</v>
      </c>
      <c r="E2261" t="s">
        <v>10</v>
      </c>
      <c r="F2261" t="s">
        <v>11</v>
      </c>
      <c r="G2261" t="s">
        <v>21</v>
      </c>
      <c r="H2261" t="s">
        <v>22</v>
      </c>
      <c r="I2261" s="2">
        <v>4607.04</v>
      </c>
      <c r="J2261" s="3">
        <v>5</v>
      </c>
      <c r="K2261" s="2">
        <v>1068.57</v>
      </c>
    </row>
    <row r="2262" spans="1:11" x14ac:dyDescent="0.25">
      <c r="A2262" s="4">
        <v>42998</v>
      </c>
      <c r="B2262" s="3">
        <f>YEAR(SalesData[[#This Row],[Order Date]])</f>
        <v>2017</v>
      </c>
      <c r="C2262" s="3">
        <f>MONTH(SalesData[[#This Row],[Order Date]])</f>
        <v>9</v>
      </c>
      <c r="D2262" t="s">
        <v>68</v>
      </c>
      <c r="E2262" t="s">
        <v>19</v>
      </c>
      <c r="F2262" t="s">
        <v>27</v>
      </c>
      <c r="G2262" t="s">
        <v>28</v>
      </c>
      <c r="H2262" t="s">
        <v>29</v>
      </c>
      <c r="I2262" s="2">
        <v>4458.1000000000004</v>
      </c>
      <c r="J2262" s="3">
        <v>3</v>
      </c>
      <c r="K2262" s="2">
        <v>399.79</v>
      </c>
    </row>
    <row r="2263" spans="1:11" x14ac:dyDescent="0.25">
      <c r="A2263" s="4">
        <v>42998</v>
      </c>
      <c r="B2263" s="3">
        <f>YEAR(SalesData[[#This Row],[Order Date]])</f>
        <v>2017</v>
      </c>
      <c r="C2263" s="3">
        <f>MONTH(SalesData[[#This Row],[Order Date]])</f>
        <v>9</v>
      </c>
      <c r="D2263" t="s">
        <v>43</v>
      </c>
      <c r="E2263" t="s">
        <v>44</v>
      </c>
      <c r="F2263" t="s">
        <v>27</v>
      </c>
      <c r="G2263" t="s">
        <v>32</v>
      </c>
      <c r="H2263" t="s">
        <v>33</v>
      </c>
      <c r="I2263" s="2">
        <v>3091.41</v>
      </c>
      <c r="J2263" s="3">
        <v>7</v>
      </c>
      <c r="K2263" s="2">
        <v>475.8</v>
      </c>
    </row>
    <row r="2264" spans="1:11" x14ac:dyDescent="0.25">
      <c r="A2264" s="4">
        <v>42998</v>
      </c>
      <c r="B2264" s="3">
        <f>YEAR(SalesData[[#This Row],[Order Date]])</f>
        <v>2017</v>
      </c>
      <c r="C2264" s="3">
        <f>MONTH(SalesData[[#This Row],[Order Date]])</f>
        <v>9</v>
      </c>
      <c r="D2264" t="s">
        <v>68</v>
      </c>
      <c r="E2264" t="s">
        <v>60</v>
      </c>
      <c r="F2264" t="s">
        <v>11</v>
      </c>
      <c r="G2264" t="s">
        <v>24</v>
      </c>
      <c r="H2264" t="s">
        <v>54</v>
      </c>
      <c r="I2264" s="2">
        <v>902.27</v>
      </c>
      <c r="J2264" s="3">
        <v>5</v>
      </c>
      <c r="K2264" s="2">
        <v>131.04</v>
      </c>
    </row>
    <row r="2265" spans="1:11" x14ac:dyDescent="0.25">
      <c r="A2265" s="4">
        <v>42998</v>
      </c>
      <c r="B2265" s="3">
        <f>YEAR(SalesData[[#This Row],[Order Date]])</f>
        <v>2017</v>
      </c>
      <c r="C2265" s="3">
        <f>MONTH(SalesData[[#This Row],[Order Date]])</f>
        <v>9</v>
      </c>
      <c r="D2265" t="s">
        <v>30</v>
      </c>
      <c r="E2265" t="s">
        <v>19</v>
      </c>
      <c r="F2265" t="s">
        <v>15</v>
      </c>
      <c r="G2265" t="s">
        <v>45</v>
      </c>
      <c r="H2265" t="s">
        <v>59</v>
      </c>
      <c r="I2265" s="2">
        <v>3736.33</v>
      </c>
      <c r="J2265" s="3">
        <v>9</v>
      </c>
      <c r="K2265" s="2">
        <v>574.46</v>
      </c>
    </row>
    <row r="2266" spans="1:11" x14ac:dyDescent="0.25">
      <c r="A2266" s="4">
        <v>42999</v>
      </c>
      <c r="B2266" s="3">
        <f>YEAR(SalesData[[#This Row],[Order Date]])</f>
        <v>2017</v>
      </c>
      <c r="C2266" s="3">
        <f>MONTH(SalesData[[#This Row],[Order Date]])</f>
        <v>9</v>
      </c>
      <c r="D2266" t="s">
        <v>18</v>
      </c>
      <c r="E2266" t="s">
        <v>44</v>
      </c>
      <c r="F2266" t="s">
        <v>15</v>
      </c>
      <c r="G2266" t="s">
        <v>16</v>
      </c>
      <c r="H2266" t="s">
        <v>51</v>
      </c>
      <c r="I2266" s="2">
        <v>4819.51</v>
      </c>
      <c r="J2266" s="3">
        <v>10</v>
      </c>
      <c r="K2266" s="2">
        <v>1408.63</v>
      </c>
    </row>
    <row r="2267" spans="1:11" x14ac:dyDescent="0.25">
      <c r="A2267" s="4">
        <v>43000</v>
      </c>
      <c r="B2267" s="3">
        <f>YEAR(SalesData[[#This Row],[Order Date]])</f>
        <v>2017</v>
      </c>
      <c r="C2267" s="3">
        <f>MONTH(SalesData[[#This Row],[Order Date]])</f>
        <v>9</v>
      </c>
      <c r="D2267" t="s">
        <v>23</v>
      </c>
      <c r="E2267" t="s">
        <v>10</v>
      </c>
      <c r="F2267" t="s">
        <v>11</v>
      </c>
      <c r="G2267" t="s">
        <v>35</v>
      </c>
      <c r="H2267" t="s">
        <v>71</v>
      </c>
      <c r="I2267" s="2">
        <v>1243.6300000000001</v>
      </c>
      <c r="J2267" s="3">
        <v>9</v>
      </c>
      <c r="K2267" s="2">
        <v>10.37</v>
      </c>
    </row>
    <row r="2268" spans="1:11" x14ac:dyDescent="0.25">
      <c r="A2268" s="4">
        <v>43001</v>
      </c>
      <c r="B2268" s="3">
        <f>YEAR(SalesData[[#This Row],[Order Date]])</f>
        <v>2017</v>
      </c>
      <c r="C2268" s="3">
        <f>MONTH(SalesData[[#This Row],[Order Date]])</f>
        <v>9</v>
      </c>
      <c r="D2268" t="s">
        <v>30</v>
      </c>
      <c r="E2268" t="s">
        <v>26</v>
      </c>
      <c r="F2268" t="s">
        <v>27</v>
      </c>
      <c r="G2268" t="s">
        <v>32</v>
      </c>
      <c r="H2268" t="s">
        <v>33</v>
      </c>
      <c r="I2268" s="2">
        <v>2368.25</v>
      </c>
      <c r="J2268" s="3">
        <v>3</v>
      </c>
      <c r="K2268" s="2">
        <v>138.56</v>
      </c>
    </row>
    <row r="2269" spans="1:11" x14ac:dyDescent="0.25">
      <c r="A2269" s="4">
        <v>43001</v>
      </c>
      <c r="B2269" s="3">
        <f>YEAR(SalesData[[#This Row],[Order Date]])</f>
        <v>2017</v>
      </c>
      <c r="C2269" s="3">
        <f>MONTH(SalesData[[#This Row],[Order Date]])</f>
        <v>9</v>
      </c>
      <c r="D2269" t="s">
        <v>14</v>
      </c>
      <c r="E2269" t="s">
        <v>37</v>
      </c>
      <c r="F2269" t="s">
        <v>11</v>
      </c>
      <c r="G2269" t="s">
        <v>35</v>
      </c>
      <c r="H2269" t="s">
        <v>70</v>
      </c>
      <c r="I2269" s="2">
        <v>37.56</v>
      </c>
      <c r="J2269" s="3">
        <v>2</v>
      </c>
      <c r="K2269" s="2">
        <v>7.96</v>
      </c>
    </row>
    <row r="2270" spans="1:11" x14ac:dyDescent="0.25">
      <c r="A2270" s="4">
        <v>43001</v>
      </c>
      <c r="B2270" s="3">
        <f>YEAR(SalesData[[#This Row],[Order Date]])</f>
        <v>2017</v>
      </c>
      <c r="C2270" s="3">
        <f>MONTH(SalesData[[#This Row],[Order Date]])</f>
        <v>9</v>
      </c>
      <c r="D2270" t="s">
        <v>18</v>
      </c>
      <c r="E2270" t="s">
        <v>26</v>
      </c>
      <c r="F2270" t="s">
        <v>11</v>
      </c>
      <c r="G2270" t="s">
        <v>21</v>
      </c>
      <c r="H2270" t="s">
        <v>67</v>
      </c>
      <c r="I2270" s="2">
        <v>613.36</v>
      </c>
      <c r="J2270" s="3">
        <v>7</v>
      </c>
      <c r="K2270" s="2">
        <v>95.27</v>
      </c>
    </row>
    <row r="2271" spans="1:11" x14ac:dyDescent="0.25">
      <c r="A2271" s="4">
        <v>43002</v>
      </c>
      <c r="B2271" s="3">
        <f>YEAR(SalesData[[#This Row],[Order Date]])</f>
        <v>2017</v>
      </c>
      <c r="C2271" s="3">
        <f>MONTH(SalesData[[#This Row],[Order Date]])</f>
        <v>9</v>
      </c>
      <c r="D2271" t="s">
        <v>14</v>
      </c>
      <c r="E2271" t="s">
        <v>34</v>
      </c>
      <c r="F2271" t="s">
        <v>15</v>
      </c>
      <c r="G2271" t="s">
        <v>38</v>
      </c>
      <c r="H2271" t="s">
        <v>39</v>
      </c>
      <c r="I2271" s="2">
        <v>2379.46</v>
      </c>
      <c r="J2271" s="3">
        <v>8</v>
      </c>
      <c r="K2271" s="2">
        <v>586.48</v>
      </c>
    </row>
    <row r="2272" spans="1:11" x14ac:dyDescent="0.25">
      <c r="A2272" s="4">
        <v>43002</v>
      </c>
      <c r="B2272" s="3">
        <f>YEAR(SalesData[[#This Row],[Order Date]])</f>
        <v>2017</v>
      </c>
      <c r="C2272" s="3">
        <f>MONTH(SalesData[[#This Row],[Order Date]])</f>
        <v>9</v>
      </c>
      <c r="D2272" t="s">
        <v>62</v>
      </c>
      <c r="E2272" t="s">
        <v>37</v>
      </c>
      <c r="F2272" t="s">
        <v>27</v>
      </c>
      <c r="G2272" t="s">
        <v>48</v>
      </c>
      <c r="H2272" t="s">
        <v>57</v>
      </c>
      <c r="I2272" s="2">
        <v>2583.56</v>
      </c>
      <c r="J2272" s="3">
        <v>4</v>
      </c>
      <c r="K2272" s="2">
        <v>699.01</v>
      </c>
    </row>
    <row r="2273" spans="1:11" x14ac:dyDescent="0.25">
      <c r="A2273" s="4">
        <v>43002</v>
      </c>
      <c r="B2273" s="3">
        <f>YEAR(SalesData[[#This Row],[Order Date]])</f>
        <v>2017</v>
      </c>
      <c r="C2273" s="3">
        <f>MONTH(SalesData[[#This Row],[Order Date]])</f>
        <v>9</v>
      </c>
      <c r="D2273" t="s">
        <v>43</v>
      </c>
      <c r="E2273" t="s">
        <v>44</v>
      </c>
      <c r="F2273" t="s">
        <v>11</v>
      </c>
      <c r="G2273" t="s">
        <v>24</v>
      </c>
      <c r="H2273" t="s">
        <v>54</v>
      </c>
      <c r="I2273" s="2">
        <v>1913.09</v>
      </c>
      <c r="J2273" s="3">
        <v>10</v>
      </c>
      <c r="K2273" s="2">
        <v>381.95</v>
      </c>
    </row>
    <row r="2274" spans="1:11" x14ac:dyDescent="0.25">
      <c r="A2274" s="4">
        <v>43002</v>
      </c>
      <c r="B2274" s="3">
        <f>YEAR(SalesData[[#This Row],[Order Date]])</f>
        <v>2017</v>
      </c>
      <c r="C2274" s="3">
        <f>MONTH(SalesData[[#This Row],[Order Date]])</f>
        <v>9</v>
      </c>
      <c r="D2274" t="s">
        <v>43</v>
      </c>
      <c r="E2274" t="s">
        <v>52</v>
      </c>
      <c r="F2274" t="s">
        <v>27</v>
      </c>
      <c r="G2274" t="s">
        <v>32</v>
      </c>
      <c r="H2274" t="s">
        <v>33</v>
      </c>
      <c r="I2274" s="2">
        <v>1735.25</v>
      </c>
      <c r="J2274" s="3">
        <v>2</v>
      </c>
      <c r="K2274" s="2">
        <v>245.87</v>
      </c>
    </row>
    <row r="2275" spans="1:11" x14ac:dyDescent="0.25">
      <c r="A2275" s="4">
        <v>43003</v>
      </c>
      <c r="B2275" s="3">
        <f>YEAR(SalesData[[#This Row],[Order Date]])</f>
        <v>2017</v>
      </c>
      <c r="C2275" s="3">
        <f>MONTH(SalesData[[#This Row],[Order Date]])</f>
        <v>9</v>
      </c>
      <c r="D2275" t="s">
        <v>43</v>
      </c>
      <c r="E2275" t="s">
        <v>60</v>
      </c>
      <c r="F2275" t="s">
        <v>11</v>
      </c>
      <c r="G2275" t="s">
        <v>35</v>
      </c>
      <c r="H2275" t="s">
        <v>36</v>
      </c>
      <c r="I2275" s="2">
        <v>2295.04</v>
      </c>
      <c r="J2275" s="3">
        <v>9</v>
      </c>
      <c r="K2275" s="2">
        <v>576.42999999999995</v>
      </c>
    </row>
    <row r="2276" spans="1:11" x14ac:dyDescent="0.25">
      <c r="A2276" s="4">
        <v>43003</v>
      </c>
      <c r="B2276" s="3">
        <f>YEAR(SalesData[[#This Row],[Order Date]])</f>
        <v>2017</v>
      </c>
      <c r="C2276" s="3">
        <f>MONTH(SalesData[[#This Row],[Order Date]])</f>
        <v>9</v>
      </c>
      <c r="D2276" t="s">
        <v>9</v>
      </c>
      <c r="E2276" t="s">
        <v>44</v>
      </c>
      <c r="F2276" t="s">
        <v>15</v>
      </c>
      <c r="G2276" t="s">
        <v>41</v>
      </c>
      <c r="H2276" t="s">
        <v>42</v>
      </c>
      <c r="I2276" s="2">
        <v>3478.67</v>
      </c>
      <c r="J2276" s="3">
        <v>10</v>
      </c>
      <c r="K2276" s="2">
        <v>482.41</v>
      </c>
    </row>
    <row r="2277" spans="1:11" x14ac:dyDescent="0.25">
      <c r="A2277" s="4">
        <v>43003</v>
      </c>
      <c r="B2277" s="3">
        <f>YEAR(SalesData[[#This Row],[Order Date]])</f>
        <v>2017</v>
      </c>
      <c r="C2277" s="3">
        <f>MONTH(SalesData[[#This Row],[Order Date]])</f>
        <v>9</v>
      </c>
      <c r="D2277" t="s">
        <v>14</v>
      </c>
      <c r="E2277" t="s">
        <v>34</v>
      </c>
      <c r="F2277" t="s">
        <v>15</v>
      </c>
      <c r="G2277" t="s">
        <v>38</v>
      </c>
      <c r="H2277" t="s">
        <v>56</v>
      </c>
      <c r="I2277" s="2">
        <v>4930.95</v>
      </c>
      <c r="J2277" s="3">
        <v>3</v>
      </c>
      <c r="K2277" s="2">
        <v>407.34</v>
      </c>
    </row>
    <row r="2278" spans="1:11" x14ac:dyDescent="0.25">
      <c r="A2278" s="4">
        <v>43004</v>
      </c>
      <c r="B2278" s="3">
        <f>YEAR(SalesData[[#This Row],[Order Date]])</f>
        <v>2017</v>
      </c>
      <c r="C2278" s="3">
        <f>MONTH(SalesData[[#This Row],[Order Date]])</f>
        <v>9</v>
      </c>
      <c r="D2278" t="s">
        <v>14</v>
      </c>
      <c r="E2278" t="s">
        <v>26</v>
      </c>
      <c r="F2278" t="s">
        <v>11</v>
      </c>
      <c r="G2278" t="s">
        <v>12</v>
      </c>
      <c r="H2278" t="s">
        <v>13</v>
      </c>
      <c r="I2278" s="2">
        <v>97.77</v>
      </c>
      <c r="J2278" s="3">
        <v>9</v>
      </c>
      <c r="K2278" s="2">
        <v>21.65</v>
      </c>
    </row>
    <row r="2279" spans="1:11" x14ac:dyDescent="0.25">
      <c r="A2279" s="4">
        <v>43004</v>
      </c>
      <c r="B2279" s="3">
        <f>YEAR(SalesData[[#This Row],[Order Date]])</f>
        <v>2017</v>
      </c>
      <c r="C2279" s="3">
        <f>MONTH(SalesData[[#This Row],[Order Date]])</f>
        <v>9</v>
      </c>
      <c r="D2279" t="s">
        <v>30</v>
      </c>
      <c r="E2279" t="s">
        <v>19</v>
      </c>
      <c r="F2279" t="s">
        <v>11</v>
      </c>
      <c r="G2279" t="s">
        <v>24</v>
      </c>
      <c r="H2279" t="s">
        <v>25</v>
      </c>
      <c r="I2279" s="2">
        <v>3287.33</v>
      </c>
      <c r="J2279" s="3">
        <v>1</v>
      </c>
      <c r="K2279" s="2">
        <v>506.53</v>
      </c>
    </row>
    <row r="2280" spans="1:11" x14ac:dyDescent="0.25">
      <c r="A2280" s="4">
        <v>43005</v>
      </c>
      <c r="B2280" s="3">
        <f>YEAR(SalesData[[#This Row],[Order Date]])</f>
        <v>2017</v>
      </c>
      <c r="C2280" s="3">
        <f>MONTH(SalesData[[#This Row],[Order Date]])</f>
        <v>9</v>
      </c>
      <c r="D2280" t="s">
        <v>30</v>
      </c>
      <c r="E2280" t="s">
        <v>26</v>
      </c>
      <c r="F2280" t="s">
        <v>27</v>
      </c>
      <c r="G2280" t="s">
        <v>28</v>
      </c>
      <c r="H2280" t="s">
        <v>58</v>
      </c>
      <c r="I2280" s="2">
        <v>2680.19</v>
      </c>
      <c r="J2280" s="3">
        <v>2</v>
      </c>
      <c r="K2280" s="2">
        <v>31.24</v>
      </c>
    </row>
    <row r="2281" spans="1:11" x14ac:dyDescent="0.25">
      <c r="A2281" s="4">
        <v>43006</v>
      </c>
      <c r="B2281" s="3">
        <f>YEAR(SalesData[[#This Row],[Order Date]])</f>
        <v>2017</v>
      </c>
      <c r="C2281" s="3">
        <f>MONTH(SalesData[[#This Row],[Order Date]])</f>
        <v>9</v>
      </c>
      <c r="D2281" t="s">
        <v>50</v>
      </c>
      <c r="E2281" t="s">
        <v>40</v>
      </c>
      <c r="F2281" t="s">
        <v>11</v>
      </c>
      <c r="G2281" t="s">
        <v>24</v>
      </c>
      <c r="H2281" t="s">
        <v>25</v>
      </c>
      <c r="I2281" s="2">
        <v>3087.31</v>
      </c>
      <c r="J2281" s="3">
        <v>9</v>
      </c>
      <c r="K2281" s="2">
        <v>432.55</v>
      </c>
    </row>
    <row r="2282" spans="1:11" x14ac:dyDescent="0.25">
      <c r="A2282" s="4">
        <v>43007</v>
      </c>
      <c r="B2282" s="3">
        <f>YEAR(SalesData[[#This Row],[Order Date]])</f>
        <v>2017</v>
      </c>
      <c r="C2282" s="3">
        <f>MONTH(SalesData[[#This Row],[Order Date]])</f>
        <v>9</v>
      </c>
      <c r="D2282" t="s">
        <v>14</v>
      </c>
      <c r="E2282" t="s">
        <v>60</v>
      </c>
      <c r="F2282" t="s">
        <v>27</v>
      </c>
      <c r="G2282" t="s">
        <v>32</v>
      </c>
      <c r="H2282" t="s">
        <v>33</v>
      </c>
      <c r="I2282" s="2">
        <v>3233.8</v>
      </c>
      <c r="J2282" s="3">
        <v>10</v>
      </c>
      <c r="K2282" s="2">
        <v>354.34</v>
      </c>
    </row>
    <row r="2283" spans="1:11" x14ac:dyDescent="0.25">
      <c r="A2283" s="4">
        <v>43007</v>
      </c>
      <c r="B2283" s="3">
        <f>YEAR(SalesData[[#This Row],[Order Date]])</f>
        <v>2017</v>
      </c>
      <c r="C2283" s="3">
        <f>MONTH(SalesData[[#This Row],[Order Date]])</f>
        <v>9</v>
      </c>
      <c r="D2283" t="s">
        <v>68</v>
      </c>
      <c r="E2283" t="s">
        <v>31</v>
      </c>
      <c r="F2283" t="s">
        <v>15</v>
      </c>
      <c r="G2283" t="s">
        <v>41</v>
      </c>
      <c r="H2283" t="s">
        <v>61</v>
      </c>
      <c r="I2283" s="2">
        <v>989.29</v>
      </c>
      <c r="J2283" s="3">
        <v>4</v>
      </c>
      <c r="K2283" s="2">
        <v>33.979999999999997</v>
      </c>
    </row>
    <row r="2284" spans="1:11" x14ac:dyDescent="0.25">
      <c r="A2284" s="4">
        <v>43008</v>
      </c>
      <c r="B2284" s="3">
        <f>YEAR(SalesData[[#This Row],[Order Date]])</f>
        <v>2017</v>
      </c>
      <c r="C2284" s="3">
        <f>MONTH(SalesData[[#This Row],[Order Date]])</f>
        <v>9</v>
      </c>
      <c r="D2284" t="s">
        <v>18</v>
      </c>
      <c r="E2284" t="s">
        <v>60</v>
      </c>
      <c r="F2284" t="s">
        <v>15</v>
      </c>
      <c r="G2284" t="s">
        <v>41</v>
      </c>
      <c r="H2284" t="s">
        <v>61</v>
      </c>
      <c r="I2284" s="2">
        <v>511.3</v>
      </c>
      <c r="J2284" s="3">
        <v>5</v>
      </c>
      <c r="K2284" s="2">
        <v>1.45</v>
      </c>
    </row>
    <row r="2285" spans="1:11" x14ac:dyDescent="0.25">
      <c r="A2285" s="4">
        <v>43009</v>
      </c>
      <c r="B2285" s="3">
        <f>YEAR(SalesData[[#This Row],[Order Date]])</f>
        <v>2017</v>
      </c>
      <c r="C2285" s="3">
        <f>MONTH(SalesData[[#This Row],[Order Date]])</f>
        <v>10</v>
      </c>
      <c r="D2285" t="s">
        <v>68</v>
      </c>
      <c r="E2285" t="s">
        <v>52</v>
      </c>
      <c r="F2285" t="s">
        <v>15</v>
      </c>
      <c r="G2285" t="s">
        <v>63</v>
      </c>
      <c r="H2285" t="s">
        <v>64</v>
      </c>
      <c r="I2285" s="2">
        <v>452.79</v>
      </c>
      <c r="J2285" s="3">
        <v>10</v>
      </c>
      <c r="K2285" s="2">
        <v>18.86</v>
      </c>
    </row>
    <row r="2286" spans="1:11" x14ac:dyDescent="0.25">
      <c r="A2286" s="4">
        <v>43010</v>
      </c>
      <c r="B2286" s="3">
        <f>YEAR(SalesData[[#This Row],[Order Date]])</f>
        <v>2017</v>
      </c>
      <c r="C2286" s="3">
        <f>MONTH(SalesData[[#This Row],[Order Date]])</f>
        <v>10</v>
      </c>
      <c r="D2286" t="s">
        <v>14</v>
      </c>
      <c r="E2286" t="s">
        <v>34</v>
      </c>
      <c r="F2286" t="s">
        <v>27</v>
      </c>
      <c r="G2286" t="s">
        <v>28</v>
      </c>
      <c r="H2286" t="s">
        <v>58</v>
      </c>
      <c r="I2286" s="2">
        <v>4087</v>
      </c>
      <c r="J2286" s="3">
        <v>7</v>
      </c>
      <c r="K2286" s="2">
        <v>1057.74</v>
      </c>
    </row>
    <row r="2287" spans="1:11" x14ac:dyDescent="0.25">
      <c r="A2287" s="4">
        <v>43010</v>
      </c>
      <c r="B2287" s="3">
        <f>YEAR(SalesData[[#This Row],[Order Date]])</f>
        <v>2017</v>
      </c>
      <c r="C2287" s="3">
        <f>MONTH(SalesData[[#This Row],[Order Date]])</f>
        <v>10</v>
      </c>
      <c r="D2287" t="s">
        <v>55</v>
      </c>
      <c r="E2287" t="s">
        <v>31</v>
      </c>
      <c r="F2287" t="s">
        <v>27</v>
      </c>
      <c r="G2287" t="s">
        <v>28</v>
      </c>
      <c r="H2287" t="s">
        <v>29</v>
      </c>
      <c r="I2287" s="2">
        <v>3716.15</v>
      </c>
      <c r="J2287" s="3">
        <v>6</v>
      </c>
      <c r="K2287" s="2">
        <v>177.24</v>
      </c>
    </row>
    <row r="2288" spans="1:11" x14ac:dyDescent="0.25">
      <c r="A2288" s="4">
        <v>43011</v>
      </c>
      <c r="B2288" s="3">
        <f>YEAR(SalesData[[#This Row],[Order Date]])</f>
        <v>2017</v>
      </c>
      <c r="C2288" s="3">
        <f>MONTH(SalesData[[#This Row],[Order Date]])</f>
        <v>10</v>
      </c>
      <c r="D2288" t="s">
        <v>20</v>
      </c>
      <c r="E2288" t="s">
        <v>44</v>
      </c>
      <c r="F2288" t="s">
        <v>27</v>
      </c>
      <c r="G2288" t="s">
        <v>28</v>
      </c>
      <c r="H2288" t="s">
        <v>58</v>
      </c>
      <c r="I2288" s="2">
        <v>2279.1799999999998</v>
      </c>
      <c r="J2288" s="3">
        <v>5</v>
      </c>
      <c r="K2288" s="2">
        <v>225.98</v>
      </c>
    </row>
    <row r="2289" spans="1:11" x14ac:dyDescent="0.25">
      <c r="A2289" s="4">
        <v>43012</v>
      </c>
      <c r="B2289" s="3">
        <f>YEAR(SalesData[[#This Row],[Order Date]])</f>
        <v>2017</v>
      </c>
      <c r="C2289" s="3">
        <f>MONTH(SalesData[[#This Row],[Order Date]])</f>
        <v>10</v>
      </c>
      <c r="D2289" t="s">
        <v>50</v>
      </c>
      <c r="E2289" t="s">
        <v>10</v>
      </c>
      <c r="F2289" t="s">
        <v>15</v>
      </c>
      <c r="G2289" t="s">
        <v>63</v>
      </c>
      <c r="H2289" t="s">
        <v>66</v>
      </c>
      <c r="I2289" s="2">
        <v>1570.77</v>
      </c>
      <c r="J2289" s="3">
        <v>5</v>
      </c>
      <c r="K2289" s="2">
        <v>455.8</v>
      </c>
    </row>
    <row r="2290" spans="1:11" x14ac:dyDescent="0.25">
      <c r="A2290" s="4">
        <v>43012</v>
      </c>
      <c r="B2290" s="3">
        <f>YEAR(SalesData[[#This Row],[Order Date]])</f>
        <v>2017</v>
      </c>
      <c r="C2290" s="3">
        <f>MONTH(SalesData[[#This Row],[Order Date]])</f>
        <v>10</v>
      </c>
      <c r="D2290" t="s">
        <v>18</v>
      </c>
      <c r="E2290" t="s">
        <v>31</v>
      </c>
      <c r="F2290" t="s">
        <v>11</v>
      </c>
      <c r="G2290" t="s">
        <v>24</v>
      </c>
      <c r="H2290" t="s">
        <v>54</v>
      </c>
      <c r="I2290" s="2">
        <v>4025.89</v>
      </c>
      <c r="J2290" s="3">
        <v>9</v>
      </c>
      <c r="K2290" s="2">
        <v>90.41</v>
      </c>
    </row>
    <row r="2291" spans="1:11" x14ac:dyDescent="0.25">
      <c r="A2291" s="4">
        <v>43012</v>
      </c>
      <c r="B2291" s="3">
        <f>YEAR(SalesData[[#This Row],[Order Date]])</f>
        <v>2017</v>
      </c>
      <c r="C2291" s="3">
        <f>MONTH(SalesData[[#This Row],[Order Date]])</f>
        <v>10</v>
      </c>
      <c r="D2291" t="s">
        <v>62</v>
      </c>
      <c r="E2291" t="s">
        <v>10</v>
      </c>
      <c r="F2291" t="s">
        <v>11</v>
      </c>
      <c r="G2291" t="s">
        <v>24</v>
      </c>
      <c r="H2291" t="s">
        <v>25</v>
      </c>
      <c r="I2291" s="2">
        <v>4769.1000000000004</v>
      </c>
      <c r="J2291" s="3">
        <v>2</v>
      </c>
      <c r="K2291" s="2">
        <v>830.9</v>
      </c>
    </row>
    <row r="2292" spans="1:11" x14ac:dyDescent="0.25">
      <c r="A2292" s="4">
        <v>43012</v>
      </c>
      <c r="B2292" s="3">
        <f>YEAR(SalesData[[#This Row],[Order Date]])</f>
        <v>2017</v>
      </c>
      <c r="C2292" s="3">
        <f>MONTH(SalesData[[#This Row],[Order Date]])</f>
        <v>10</v>
      </c>
      <c r="D2292" t="s">
        <v>68</v>
      </c>
      <c r="E2292" t="s">
        <v>10</v>
      </c>
      <c r="F2292" t="s">
        <v>11</v>
      </c>
      <c r="G2292" t="s">
        <v>21</v>
      </c>
      <c r="H2292" t="s">
        <v>67</v>
      </c>
      <c r="I2292" s="2">
        <v>1970.01</v>
      </c>
      <c r="J2292" s="3">
        <v>7</v>
      </c>
      <c r="K2292" s="2">
        <v>225.63</v>
      </c>
    </row>
    <row r="2293" spans="1:11" x14ac:dyDescent="0.25">
      <c r="A2293" s="4">
        <v>43013</v>
      </c>
      <c r="B2293" s="3">
        <f>YEAR(SalesData[[#This Row],[Order Date]])</f>
        <v>2017</v>
      </c>
      <c r="C2293" s="3">
        <f>MONTH(SalesData[[#This Row],[Order Date]])</f>
        <v>10</v>
      </c>
      <c r="D2293" t="s">
        <v>55</v>
      </c>
      <c r="E2293" t="s">
        <v>60</v>
      </c>
      <c r="F2293" t="s">
        <v>11</v>
      </c>
      <c r="G2293" t="s">
        <v>21</v>
      </c>
      <c r="H2293" t="s">
        <v>67</v>
      </c>
      <c r="I2293" s="2">
        <v>279.20999999999998</v>
      </c>
      <c r="J2293" s="3">
        <v>9</v>
      </c>
      <c r="K2293" s="2">
        <v>0.22</v>
      </c>
    </row>
    <row r="2294" spans="1:11" x14ac:dyDescent="0.25">
      <c r="A2294" s="4">
        <v>43013</v>
      </c>
      <c r="B2294" s="3">
        <f>YEAR(SalesData[[#This Row],[Order Date]])</f>
        <v>2017</v>
      </c>
      <c r="C2294" s="3">
        <f>MONTH(SalesData[[#This Row],[Order Date]])</f>
        <v>10</v>
      </c>
      <c r="D2294" t="s">
        <v>23</v>
      </c>
      <c r="E2294" t="s">
        <v>26</v>
      </c>
      <c r="F2294" t="s">
        <v>11</v>
      </c>
      <c r="G2294" t="s">
        <v>21</v>
      </c>
      <c r="H2294" t="s">
        <v>67</v>
      </c>
      <c r="I2294" s="2">
        <v>507.1</v>
      </c>
      <c r="J2294" s="3">
        <v>5</v>
      </c>
      <c r="K2294" s="2">
        <v>91.31</v>
      </c>
    </row>
    <row r="2295" spans="1:11" x14ac:dyDescent="0.25">
      <c r="A2295" s="4">
        <v>43014</v>
      </c>
      <c r="B2295" s="3">
        <f>YEAR(SalesData[[#This Row],[Order Date]])</f>
        <v>2017</v>
      </c>
      <c r="C2295" s="3">
        <f>MONTH(SalesData[[#This Row],[Order Date]])</f>
        <v>10</v>
      </c>
      <c r="D2295" t="s">
        <v>20</v>
      </c>
      <c r="E2295" t="s">
        <v>34</v>
      </c>
      <c r="F2295" t="s">
        <v>15</v>
      </c>
      <c r="G2295" t="s">
        <v>16</v>
      </c>
      <c r="H2295" t="s">
        <v>17</v>
      </c>
      <c r="I2295" s="2">
        <v>4652.9799999999996</v>
      </c>
      <c r="J2295" s="3">
        <v>7</v>
      </c>
      <c r="K2295" s="2">
        <v>150.61000000000001</v>
      </c>
    </row>
    <row r="2296" spans="1:11" x14ac:dyDescent="0.25">
      <c r="A2296" s="4">
        <v>43014</v>
      </c>
      <c r="B2296" s="3">
        <f>YEAR(SalesData[[#This Row],[Order Date]])</f>
        <v>2017</v>
      </c>
      <c r="C2296" s="3">
        <f>MONTH(SalesData[[#This Row],[Order Date]])</f>
        <v>10</v>
      </c>
      <c r="D2296" t="s">
        <v>14</v>
      </c>
      <c r="E2296" t="s">
        <v>10</v>
      </c>
      <c r="F2296" t="s">
        <v>15</v>
      </c>
      <c r="G2296" t="s">
        <v>16</v>
      </c>
      <c r="H2296" t="s">
        <v>17</v>
      </c>
      <c r="I2296" s="2">
        <v>1439.31</v>
      </c>
      <c r="J2296" s="3">
        <v>6</v>
      </c>
      <c r="K2296" s="2">
        <v>189.26</v>
      </c>
    </row>
    <row r="2297" spans="1:11" x14ac:dyDescent="0.25">
      <c r="A2297" s="4">
        <v>43014</v>
      </c>
      <c r="B2297" s="3">
        <f>YEAR(SalesData[[#This Row],[Order Date]])</f>
        <v>2017</v>
      </c>
      <c r="C2297" s="3">
        <f>MONTH(SalesData[[#This Row],[Order Date]])</f>
        <v>10</v>
      </c>
      <c r="D2297" t="s">
        <v>68</v>
      </c>
      <c r="E2297" t="s">
        <v>44</v>
      </c>
      <c r="F2297" t="s">
        <v>11</v>
      </c>
      <c r="G2297" t="s">
        <v>21</v>
      </c>
      <c r="H2297" t="s">
        <v>22</v>
      </c>
      <c r="I2297" s="2">
        <v>1701.28</v>
      </c>
      <c r="J2297" s="3">
        <v>1</v>
      </c>
      <c r="K2297" s="2">
        <v>207.89</v>
      </c>
    </row>
    <row r="2298" spans="1:11" x14ac:dyDescent="0.25">
      <c r="A2298" s="4">
        <v>43018</v>
      </c>
      <c r="B2298" s="3">
        <f>YEAR(SalesData[[#This Row],[Order Date]])</f>
        <v>2017</v>
      </c>
      <c r="C2298" s="3">
        <f>MONTH(SalesData[[#This Row],[Order Date]])</f>
        <v>10</v>
      </c>
      <c r="D2298" t="s">
        <v>18</v>
      </c>
      <c r="E2298" t="s">
        <v>37</v>
      </c>
      <c r="F2298" t="s">
        <v>27</v>
      </c>
      <c r="G2298" t="s">
        <v>48</v>
      </c>
      <c r="H2298" t="s">
        <v>49</v>
      </c>
      <c r="I2298" s="2">
        <v>2989.33</v>
      </c>
      <c r="J2298" s="3">
        <v>1</v>
      </c>
      <c r="K2298" s="2">
        <v>396.78</v>
      </c>
    </row>
    <row r="2299" spans="1:11" x14ac:dyDescent="0.25">
      <c r="A2299" s="4">
        <v>43018</v>
      </c>
      <c r="B2299" s="3">
        <f>YEAR(SalesData[[#This Row],[Order Date]])</f>
        <v>2017</v>
      </c>
      <c r="C2299" s="3">
        <f>MONTH(SalesData[[#This Row],[Order Date]])</f>
        <v>10</v>
      </c>
      <c r="D2299" t="s">
        <v>20</v>
      </c>
      <c r="E2299" t="s">
        <v>19</v>
      </c>
      <c r="F2299" t="s">
        <v>27</v>
      </c>
      <c r="G2299" t="s">
        <v>28</v>
      </c>
      <c r="H2299" t="s">
        <v>69</v>
      </c>
      <c r="I2299" s="2">
        <v>3268.95</v>
      </c>
      <c r="J2299" s="3">
        <v>4</v>
      </c>
      <c r="K2299" s="2">
        <v>605.6</v>
      </c>
    </row>
    <row r="2300" spans="1:11" x14ac:dyDescent="0.25">
      <c r="A2300" s="4">
        <v>43020</v>
      </c>
      <c r="B2300" s="3">
        <f>YEAR(SalesData[[#This Row],[Order Date]])</f>
        <v>2017</v>
      </c>
      <c r="C2300" s="3">
        <f>MONTH(SalesData[[#This Row],[Order Date]])</f>
        <v>10</v>
      </c>
      <c r="D2300" t="s">
        <v>9</v>
      </c>
      <c r="E2300" t="s">
        <v>10</v>
      </c>
      <c r="F2300" t="s">
        <v>11</v>
      </c>
      <c r="G2300" t="s">
        <v>35</v>
      </c>
      <c r="H2300" t="s">
        <v>70</v>
      </c>
      <c r="I2300" s="2">
        <v>1061.96</v>
      </c>
      <c r="J2300" s="3">
        <v>5</v>
      </c>
      <c r="K2300" s="2">
        <v>298.8</v>
      </c>
    </row>
    <row r="2301" spans="1:11" x14ac:dyDescent="0.25">
      <c r="A2301" s="4">
        <v>43021</v>
      </c>
      <c r="B2301" s="3">
        <f>YEAR(SalesData[[#This Row],[Order Date]])</f>
        <v>2017</v>
      </c>
      <c r="C2301" s="3">
        <f>MONTH(SalesData[[#This Row],[Order Date]])</f>
        <v>10</v>
      </c>
      <c r="D2301" t="s">
        <v>68</v>
      </c>
      <c r="E2301" t="s">
        <v>19</v>
      </c>
      <c r="F2301" t="s">
        <v>11</v>
      </c>
      <c r="G2301" t="s">
        <v>24</v>
      </c>
      <c r="H2301" t="s">
        <v>25</v>
      </c>
      <c r="I2301" s="2">
        <v>1216.01</v>
      </c>
      <c r="J2301" s="3">
        <v>8</v>
      </c>
      <c r="K2301" s="2">
        <v>264.12</v>
      </c>
    </row>
    <row r="2302" spans="1:11" x14ac:dyDescent="0.25">
      <c r="A2302" s="4">
        <v>43022</v>
      </c>
      <c r="B2302" s="3">
        <f>YEAR(SalesData[[#This Row],[Order Date]])</f>
        <v>2017</v>
      </c>
      <c r="C2302" s="3">
        <f>MONTH(SalesData[[#This Row],[Order Date]])</f>
        <v>10</v>
      </c>
      <c r="D2302" t="s">
        <v>23</v>
      </c>
      <c r="E2302" t="s">
        <v>31</v>
      </c>
      <c r="F2302" t="s">
        <v>11</v>
      </c>
      <c r="G2302" t="s">
        <v>24</v>
      </c>
      <c r="H2302" t="s">
        <v>54</v>
      </c>
      <c r="I2302" s="2">
        <v>4561.49</v>
      </c>
      <c r="J2302" s="3">
        <v>10</v>
      </c>
      <c r="K2302" s="2">
        <v>1303.55</v>
      </c>
    </row>
    <row r="2303" spans="1:11" x14ac:dyDescent="0.25">
      <c r="A2303" s="4">
        <v>43022</v>
      </c>
      <c r="B2303" s="3">
        <f>YEAR(SalesData[[#This Row],[Order Date]])</f>
        <v>2017</v>
      </c>
      <c r="C2303" s="3">
        <f>MONTH(SalesData[[#This Row],[Order Date]])</f>
        <v>10</v>
      </c>
      <c r="D2303" t="s">
        <v>14</v>
      </c>
      <c r="E2303" t="s">
        <v>19</v>
      </c>
      <c r="F2303" t="s">
        <v>11</v>
      </c>
      <c r="G2303" t="s">
        <v>12</v>
      </c>
      <c r="H2303" t="s">
        <v>65</v>
      </c>
      <c r="I2303" s="2">
        <v>4133.0600000000004</v>
      </c>
      <c r="J2303" s="3">
        <v>9</v>
      </c>
      <c r="K2303" s="2">
        <v>866.98</v>
      </c>
    </row>
    <row r="2304" spans="1:11" x14ac:dyDescent="0.25">
      <c r="A2304" s="4">
        <v>43022</v>
      </c>
      <c r="B2304" s="3">
        <f>YEAR(SalesData[[#This Row],[Order Date]])</f>
        <v>2017</v>
      </c>
      <c r="C2304" s="3">
        <f>MONTH(SalesData[[#This Row],[Order Date]])</f>
        <v>10</v>
      </c>
      <c r="D2304" t="s">
        <v>9</v>
      </c>
      <c r="E2304" t="s">
        <v>31</v>
      </c>
      <c r="F2304" t="s">
        <v>15</v>
      </c>
      <c r="G2304" t="s">
        <v>38</v>
      </c>
      <c r="H2304" t="s">
        <v>56</v>
      </c>
      <c r="I2304" s="2">
        <v>3193.57</v>
      </c>
      <c r="J2304" s="3">
        <v>3</v>
      </c>
      <c r="K2304" s="2">
        <v>97.13</v>
      </c>
    </row>
    <row r="2305" spans="1:11" x14ac:dyDescent="0.25">
      <c r="A2305" s="4">
        <v>43023</v>
      </c>
      <c r="B2305" s="3">
        <f>YEAR(SalesData[[#This Row],[Order Date]])</f>
        <v>2017</v>
      </c>
      <c r="C2305" s="3">
        <f>MONTH(SalesData[[#This Row],[Order Date]])</f>
        <v>10</v>
      </c>
      <c r="D2305" t="s">
        <v>20</v>
      </c>
      <c r="E2305" t="s">
        <v>10</v>
      </c>
      <c r="F2305" t="s">
        <v>27</v>
      </c>
      <c r="G2305" t="s">
        <v>48</v>
      </c>
      <c r="H2305" t="s">
        <v>49</v>
      </c>
      <c r="I2305" s="2">
        <v>623.6</v>
      </c>
      <c r="J2305" s="3">
        <v>7</v>
      </c>
      <c r="K2305" s="2">
        <v>42.54</v>
      </c>
    </row>
    <row r="2306" spans="1:11" x14ac:dyDescent="0.25">
      <c r="A2306" s="4">
        <v>43024</v>
      </c>
      <c r="B2306" s="3">
        <f>YEAR(SalesData[[#This Row],[Order Date]])</f>
        <v>2017</v>
      </c>
      <c r="C2306" s="3">
        <f>MONTH(SalesData[[#This Row],[Order Date]])</f>
        <v>10</v>
      </c>
      <c r="D2306" t="s">
        <v>23</v>
      </c>
      <c r="E2306" t="s">
        <v>60</v>
      </c>
      <c r="F2306" t="s">
        <v>15</v>
      </c>
      <c r="G2306" t="s">
        <v>41</v>
      </c>
      <c r="H2306" t="s">
        <v>42</v>
      </c>
      <c r="I2306" s="2">
        <v>2187.3000000000002</v>
      </c>
      <c r="J2306" s="3">
        <v>2</v>
      </c>
      <c r="K2306" s="2">
        <v>232.22</v>
      </c>
    </row>
    <row r="2307" spans="1:11" x14ac:dyDescent="0.25">
      <c r="A2307" s="4">
        <v>43024</v>
      </c>
      <c r="B2307" s="3">
        <f>YEAR(SalesData[[#This Row],[Order Date]])</f>
        <v>2017</v>
      </c>
      <c r="C2307" s="3">
        <f>MONTH(SalesData[[#This Row],[Order Date]])</f>
        <v>10</v>
      </c>
      <c r="D2307" t="s">
        <v>47</v>
      </c>
      <c r="E2307" t="s">
        <v>10</v>
      </c>
      <c r="F2307" t="s">
        <v>15</v>
      </c>
      <c r="G2307" t="s">
        <v>16</v>
      </c>
      <c r="H2307" t="s">
        <v>51</v>
      </c>
      <c r="I2307" s="2">
        <v>3513.93</v>
      </c>
      <c r="J2307" s="3">
        <v>5</v>
      </c>
      <c r="K2307" s="2">
        <v>146.29</v>
      </c>
    </row>
    <row r="2308" spans="1:11" x14ac:dyDescent="0.25">
      <c r="A2308" s="4">
        <v>43025</v>
      </c>
      <c r="B2308" s="3">
        <f>YEAR(SalesData[[#This Row],[Order Date]])</f>
        <v>2017</v>
      </c>
      <c r="C2308" s="3">
        <f>MONTH(SalesData[[#This Row],[Order Date]])</f>
        <v>10</v>
      </c>
      <c r="D2308" t="s">
        <v>55</v>
      </c>
      <c r="E2308" t="s">
        <v>31</v>
      </c>
      <c r="F2308" t="s">
        <v>27</v>
      </c>
      <c r="G2308" t="s">
        <v>48</v>
      </c>
      <c r="H2308" t="s">
        <v>49</v>
      </c>
      <c r="I2308" s="2">
        <v>3139.43</v>
      </c>
      <c r="J2308" s="3">
        <v>9</v>
      </c>
      <c r="K2308" s="2">
        <v>631.95000000000005</v>
      </c>
    </row>
    <row r="2309" spans="1:11" x14ac:dyDescent="0.25">
      <c r="A2309" s="4">
        <v>43025</v>
      </c>
      <c r="B2309" s="3">
        <f>YEAR(SalesData[[#This Row],[Order Date]])</f>
        <v>2017</v>
      </c>
      <c r="C2309" s="3">
        <f>MONTH(SalesData[[#This Row],[Order Date]])</f>
        <v>10</v>
      </c>
      <c r="D2309" t="s">
        <v>9</v>
      </c>
      <c r="E2309" t="s">
        <v>44</v>
      </c>
      <c r="F2309" t="s">
        <v>15</v>
      </c>
      <c r="G2309" t="s">
        <v>63</v>
      </c>
      <c r="H2309" t="s">
        <v>66</v>
      </c>
      <c r="I2309" s="2">
        <v>4363.6499999999996</v>
      </c>
      <c r="J2309" s="3">
        <v>6</v>
      </c>
      <c r="K2309" s="2">
        <v>852.89</v>
      </c>
    </row>
    <row r="2310" spans="1:11" x14ac:dyDescent="0.25">
      <c r="A2310" s="4">
        <v>43025</v>
      </c>
      <c r="B2310" s="3">
        <f>YEAR(SalesData[[#This Row],[Order Date]])</f>
        <v>2017</v>
      </c>
      <c r="C2310" s="3">
        <f>MONTH(SalesData[[#This Row],[Order Date]])</f>
        <v>10</v>
      </c>
      <c r="D2310" t="s">
        <v>14</v>
      </c>
      <c r="E2310" t="s">
        <v>37</v>
      </c>
      <c r="F2310" t="s">
        <v>15</v>
      </c>
      <c r="G2310" t="s">
        <v>38</v>
      </c>
      <c r="H2310" t="s">
        <v>39</v>
      </c>
      <c r="I2310" s="2">
        <v>1166.25</v>
      </c>
      <c r="J2310" s="3">
        <v>8</v>
      </c>
      <c r="K2310" s="2">
        <v>97.77</v>
      </c>
    </row>
    <row r="2311" spans="1:11" x14ac:dyDescent="0.25">
      <c r="A2311" s="4">
        <v>43026</v>
      </c>
      <c r="B2311" s="3">
        <f>YEAR(SalesData[[#This Row],[Order Date]])</f>
        <v>2017</v>
      </c>
      <c r="C2311" s="3">
        <f>MONTH(SalesData[[#This Row],[Order Date]])</f>
        <v>10</v>
      </c>
      <c r="D2311" t="s">
        <v>20</v>
      </c>
      <c r="E2311" t="s">
        <v>60</v>
      </c>
      <c r="F2311" t="s">
        <v>27</v>
      </c>
      <c r="G2311" t="s">
        <v>28</v>
      </c>
      <c r="H2311" t="s">
        <v>58</v>
      </c>
      <c r="I2311" s="2">
        <v>4060.61</v>
      </c>
      <c r="J2311" s="3">
        <v>3</v>
      </c>
      <c r="K2311" s="2">
        <v>988.78</v>
      </c>
    </row>
    <row r="2312" spans="1:11" x14ac:dyDescent="0.25">
      <c r="A2312" s="4">
        <v>43026</v>
      </c>
      <c r="B2312" s="3">
        <f>YEAR(SalesData[[#This Row],[Order Date]])</f>
        <v>2017</v>
      </c>
      <c r="C2312" s="3">
        <f>MONTH(SalesData[[#This Row],[Order Date]])</f>
        <v>10</v>
      </c>
      <c r="D2312" t="s">
        <v>62</v>
      </c>
      <c r="E2312" t="s">
        <v>37</v>
      </c>
      <c r="F2312" t="s">
        <v>11</v>
      </c>
      <c r="G2312" t="s">
        <v>24</v>
      </c>
      <c r="H2312" t="s">
        <v>25</v>
      </c>
      <c r="I2312" s="2">
        <v>3181.88</v>
      </c>
      <c r="J2312" s="3">
        <v>9</v>
      </c>
      <c r="K2312" s="2">
        <v>187.64</v>
      </c>
    </row>
    <row r="2313" spans="1:11" x14ac:dyDescent="0.25">
      <c r="A2313" s="4">
        <v>43027</v>
      </c>
      <c r="B2313" s="3">
        <f>YEAR(SalesData[[#This Row],[Order Date]])</f>
        <v>2017</v>
      </c>
      <c r="C2313" s="3">
        <f>MONTH(SalesData[[#This Row],[Order Date]])</f>
        <v>10</v>
      </c>
      <c r="D2313" t="s">
        <v>62</v>
      </c>
      <c r="E2313" t="s">
        <v>26</v>
      </c>
      <c r="F2313" t="s">
        <v>15</v>
      </c>
      <c r="G2313" t="s">
        <v>16</v>
      </c>
      <c r="H2313" t="s">
        <v>17</v>
      </c>
      <c r="I2313" s="2">
        <v>3398.47</v>
      </c>
      <c r="J2313" s="3">
        <v>4</v>
      </c>
      <c r="K2313" s="2">
        <v>937.65</v>
      </c>
    </row>
    <row r="2314" spans="1:11" x14ac:dyDescent="0.25">
      <c r="A2314" s="4">
        <v>43028</v>
      </c>
      <c r="B2314" s="3">
        <f>YEAR(SalesData[[#This Row],[Order Date]])</f>
        <v>2017</v>
      </c>
      <c r="C2314" s="3">
        <f>MONTH(SalesData[[#This Row],[Order Date]])</f>
        <v>10</v>
      </c>
      <c r="D2314" t="s">
        <v>23</v>
      </c>
      <c r="E2314" t="s">
        <v>40</v>
      </c>
      <c r="F2314" t="s">
        <v>11</v>
      </c>
      <c r="G2314" t="s">
        <v>21</v>
      </c>
      <c r="H2314" t="s">
        <v>22</v>
      </c>
      <c r="I2314" s="2">
        <v>4873.76</v>
      </c>
      <c r="J2314" s="3">
        <v>6</v>
      </c>
      <c r="K2314" s="2">
        <v>1432.04</v>
      </c>
    </row>
    <row r="2315" spans="1:11" x14ac:dyDescent="0.25">
      <c r="A2315" s="4">
        <v>43029</v>
      </c>
      <c r="B2315" s="3">
        <f>YEAR(SalesData[[#This Row],[Order Date]])</f>
        <v>2017</v>
      </c>
      <c r="C2315" s="3">
        <f>MONTH(SalesData[[#This Row],[Order Date]])</f>
        <v>10</v>
      </c>
      <c r="D2315" t="s">
        <v>43</v>
      </c>
      <c r="E2315" t="s">
        <v>40</v>
      </c>
      <c r="F2315" t="s">
        <v>27</v>
      </c>
      <c r="G2315" t="s">
        <v>32</v>
      </c>
      <c r="H2315" t="s">
        <v>53</v>
      </c>
      <c r="I2315" s="2">
        <v>4685.6000000000004</v>
      </c>
      <c r="J2315" s="3">
        <v>1</v>
      </c>
      <c r="K2315" s="2">
        <v>12.83</v>
      </c>
    </row>
    <row r="2316" spans="1:11" x14ac:dyDescent="0.25">
      <c r="A2316" s="4">
        <v>43030</v>
      </c>
      <c r="B2316" s="3">
        <f>YEAR(SalesData[[#This Row],[Order Date]])</f>
        <v>2017</v>
      </c>
      <c r="C2316" s="3">
        <f>MONTH(SalesData[[#This Row],[Order Date]])</f>
        <v>10</v>
      </c>
      <c r="D2316" t="s">
        <v>30</v>
      </c>
      <c r="E2316" t="s">
        <v>31</v>
      </c>
      <c r="F2316" t="s">
        <v>27</v>
      </c>
      <c r="G2316" t="s">
        <v>32</v>
      </c>
      <c r="H2316" t="s">
        <v>33</v>
      </c>
      <c r="I2316" s="2">
        <v>4001.26</v>
      </c>
      <c r="J2316" s="3">
        <v>7</v>
      </c>
      <c r="K2316" s="2">
        <v>629.28</v>
      </c>
    </row>
    <row r="2317" spans="1:11" x14ac:dyDescent="0.25">
      <c r="A2317" s="4">
        <v>43030</v>
      </c>
      <c r="B2317" s="3">
        <f>YEAR(SalesData[[#This Row],[Order Date]])</f>
        <v>2017</v>
      </c>
      <c r="C2317" s="3">
        <f>MONTH(SalesData[[#This Row],[Order Date]])</f>
        <v>10</v>
      </c>
      <c r="D2317" t="s">
        <v>14</v>
      </c>
      <c r="E2317" t="s">
        <v>37</v>
      </c>
      <c r="F2317" t="s">
        <v>11</v>
      </c>
      <c r="G2317" t="s">
        <v>24</v>
      </c>
      <c r="H2317" t="s">
        <v>54</v>
      </c>
      <c r="I2317" s="2">
        <v>3327.87</v>
      </c>
      <c r="J2317" s="3">
        <v>4</v>
      </c>
      <c r="K2317" s="2">
        <v>850.11</v>
      </c>
    </row>
    <row r="2318" spans="1:11" x14ac:dyDescent="0.25">
      <c r="A2318" s="4">
        <v>43031</v>
      </c>
      <c r="B2318" s="3">
        <f>YEAR(SalesData[[#This Row],[Order Date]])</f>
        <v>2017</v>
      </c>
      <c r="C2318" s="3">
        <f>MONTH(SalesData[[#This Row],[Order Date]])</f>
        <v>10</v>
      </c>
      <c r="D2318" t="s">
        <v>9</v>
      </c>
      <c r="E2318" t="s">
        <v>37</v>
      </c>
      <c r="F2318" t="s">
        <v>11</v>
      </c>
      <c r="G2318" t="s">
        <v>35</v>
      </c>
      <c r="H2318" t="s">
        <v>71</v>
      </c>
      <c r="I2318" s="2">
        <v>451.34</v>
      </c>
      <c r="J2318" s="3">
        <v>2</v>
      </c>
      <c r="K2318" s="2">
        <v>77.760000000000005</v>
      </c>
    </row>
    <row r="2319" spans="1:11" x14ac:dyDescent="0.25">
      <c r="A2319" s="4">
        <v>43031</v>
      </c>
      <c r="B2319" s="3">
        <f>YEAR(SalesData[[#This Row],[Order Date]])</f>
        <v>2017</v>
      </c>
      <c r="C2319" s="3">
        <f>MONTH(SalesData[[#This Row],[Order Date]])</f>
        <v>10</v>
      </c>
      <c r="D2319" t="s">
        <v>62</v>
      </c>
      <c r="E2319" t="s">
        <v>37</v>
      </c>
      <c r="F2319" t="s">
        <v>15</v>
      </c>
      <c r="G2319" t="s">
        <v>45</v>
      </c>
      <c r="H2319" t="s">
        <v>46</v>
      </c>
      <c r="I2319" s="2">
        <v>2987.31</v>
      </c>
      <c r="J2319" s="3">
        <v>6</v>
      </c>
      <c r="K2319" s="2">
        <v>235.98</v>
      </c>
    </row>
    <row r="2320" spans="1:11" x14ac:dyDescent="0.25">
      <c r="A2320" s="4">
        <v>43031</v>
      </c>
      <c r="B2320" s="3">
        <f>YEAR(SalesData[[#This Row],[Order Date]])</f>
        <v>2017</v>
      </c>
      <c r="C2320" s="3">
        <f>MONTH(SalesData[[#This Row],[Order Date]])</f>
        <v>10</v>
      </c>
      <c r="D2320" t="s">
        <v>23</v>
      </c>
      <c r="E2320" t="s">
        <v>26</v>
      </c>
      <c r="F2320" t="s">
        <v>11</v>
      </c>
      <c r="G2320" t="s">
        <v>12</v>
      </c>
      <c r="H2320" t="s">
        <v>13</v>
      </c>
      <c r="I2320" s="2">
        <v>3326.24</v>
      </c>
      <c r="J2320" s="3">
        <v>6</v>
      </c>
      <c r="K2320" s="2">
        <v>366.55</v>
      </c>
    </row>
    <row r="2321" spans="1:11" x14ac:dyDescent="0.25">
      <c r="A2321" s="4">
        <v>43032</v>
      </c>
      <c r="B2321" s="3">
        <f>YEAR(SalesData[[#This Row],[Order Date]])</f>
        <v>2017</v>
      </c>
      <c r="C2321" s="3">
        <f>MONTH(SalesData[[#This Row],[Order Date]])</f>
        <v>10</v>
      </c>
      <c r="D2321" t="s">
        <v>55</v>
      </c>
      <c r="E2321" t="s">
        <v>40</v>
      </c>
      <c r="F2321" t="s">
        <v>15</v>
      </c>
      <c r="G2321" t="s">
        <v>38</v>
      </c>
      <c r="H2321" t="s">
        <v>39</v>
      </c>
      <c r="I2321" s="2">
        <v>2459.0300000000002</v>
      </c>
      <c r="J2321" s="3">
        <v>4</v>
      </c>
      <c r="K2321" s="2">
        <v>264.2</v>
      </c>
    </row>
    <row r="2322" spans="1:11" x14ac:dyDescent="0.25">
      <c r="A2322" s="4">
        <v>43032</v>
      </c>
      <c r="B2322" s="3">
        <f>YEAR(SalesData[[#This Row],[Order Date]])</f>
        <v>2017</v>
      </c>
      <c r="C2322" s="3">
        <f>MONTH(SalesData[[#This Row],[Order Date]])</f>
        <v>10</v>
      </c>
      <c r="D2322" t="s">
        <v>55</v>
      </c>
      <c r="E2322" t="s">
        <v>52</v>
      </c>
      <c r="F2322" t="s">
        <v>15</v>
      </c>
      <c r="G2322" t="s">
        <v>41</v>
      </c>
      <c r="H2322" t="s">
        <v>42</v>
      </c>
      <c r="I2322" s="2">
        <v>808.69</v>
      </c>
      <c r="J2322" s="3">
        <v>5</v>
      </c>
      <c r="K2322" s="2">
        <v>34.869999999999997</v>
      </c>
    </row>
    <row r="2323" spans="1:11" x14ac:dyDescent="0.25">
      <c r="A2323" s="4">
        <v>43032</v>
      </c>
      <c r="B2323" s="3">
        <f>YEAR(SalesData[[#This Row],[Order Date]])</f>
        <v>2017</v>
      </c>
      <c r="C2323" s="3">
        <f>MONTH(SalesData[[#This Row],[Order Date]])</f>
        <v>10</v>
      </c>
      <c r="D2323" t="s">
        <v>43</v>
      </c>
      <c r="E2323" t="s">
        <v>31</v>
      </c>
      <c r="F2323" t="s">
        <v>27</v>
      </c>
      <c r="G2323" t="s">
        <v>28</v>
      </c>
      <c r="H2323" t="s">
        <v>69</v>
      </c>
      <c r="I2323" s="2">
        <v>3916.69</v>
      </c>
      <c r="J2323" s="3">
        <v>3</v>
      </c>
      <c r="K2323" s="2">
        <v>360.99</v>
      </c>
    </row>
    <row r="2324" spans="1:11" x14ac:dyDescent="0.25">
      <c r="A2324" s="4">
        <v>43032</v>
      </c>
      <c r="B2324" s="3">
        <f>YEAR(SalesData[[#This Row],[Order Date]])</f>
        <v>2017</v>
      </c>
      <c r="C2324" s="3">
        <f>MONTH(SalesData[[#This Row],[Order Date]])</f>
        <v>10</v>
      </c>
      <c r="D2324" t="s">
        <v>47</v>
      </c>
      <c r="E2324" t="s">
        <v>31</v>
      </c>
      <c r="F2324" t="s">
        <v>15</v>
      </c>
      <c r="G2324" t="s">
        <v>63</v>
      </c>
      <c r="H2324" t="s">
        <v>64</v>
      </c>
      <c r="I2324" s="2">
        <v>3374.86</v>
      </c>
      <c r="J2324" s="3">
        <v>9</v>
      </c>
      <c r="K2324" s="2">
        <v>861.28</v>
      </c>
    </row>
    <row r="2325" spans="1:11" x14ac:dyDescent="0.25">
      <c r="A2325" s="4">
        <v>43033</v>
      </c>
      <c r="B2325" s="3">
        <f>YEAR(SalesData[[#This Row],[Order Date]])</f>
        <v>2017</v>
      </c>
      <c r="C2325" s="3">
        <f>MONTH(SalesData[[#This Row],[Order Date]])</f>
        <v>10</v>
      </c>
      <c r="D2325" t="s">
        <v>55</v>
      </c>
      <c r="E2325" t="s">
        <v>19</v>
      </c>
      <c r="F2325" t="s">
        <v>27</v>
      </c>
      <c r="G2325" t="s">
        <v>28</v>
      </c>
      <c r="H2325" t="s">
        <v>29</v>
      </c>
      <c r="I2325" s="2">
        <v>4843.8100000000004</v>
      </c>
      <c r="J2325" s="3">
        <v>6</v>
      </c>
      <c r="K2325" s="2">
        <v>1182.92</v>
      </c>
    </row>
    <row r="2326" spans="1:11" x14ac:dyDescent="0.25">
      <c r="A2326" s="4">
        <v>43033</v>
      </c>
      <c r="B2326" s="3">
        <f>YEAR(SalesData[[#This Row],[Order Date]])</f>
        <v>2017</v>
      </c>
      <c r="C2326" s="3">
        <f>MONTH(SalesData[[#This Row],[Order Date]])</f>
        <v>10</v>
      </c>
      <c r="D2326" t="s">
        <v>14</v>
      </c>
      <c r="E2326" t="s">
        <v>44</v>
      </c>
      <c r="F2326" t="s">
        <v>11</v>
      </c>
      <c r="G2326" t="s">
        <v>21</v>
      </c>
      <c r="H2326" t="s">
        <v>22</v>
      </c>
      <c r="I2326" s="2">
        <v>3631.59</v>
      </c>
      <c r="J2326" s="3">
        <v>1</v>
      </c>
      <c r="K2326" s="2">
        <v>848.09</v>
      </c>
    </row>
    <row r="2327" spans="1:11" x14ac:dyDescent="0.25">
      <c r="A2327" s="4">
        <v>43034</v>
      </c>
      <c r="B2327" s="3">
        <f>YEAR(SalesData[[#This Row],[Order Date]])</f>
        <v>2017</v>
      </c>
      <c r="C2327" s="3">
        <f>MONTH(SalesData[[#This Row],[Order Date]])</f>
        <v>10</v>
      </c>
      <c r="D2327" t="s">
        <v>9</v>
      </c>
      <c r="E2327" t="s">
        <v>60</v>
      </c>
      <c r="F2327" t="s">
        <v>15</v>
      </c>
      <c r="G2327" t="s">
        <v>16</v>
      </c>
      <c r="H2327" t="s">
        <v>51</v>
      </c>
      <c r="I2327" s="2">
        <v>2141.5</v>
      </c>
      <c r="J2327" s="3">
        <v>1</v>
      </c>
      <c r="K2327" s="2">
        <v>572.15</v>
      </c>
    </row>
    <row r="2328" spans="1:11" x14ac:dyDescent="0.25">
      <c r="A2328" s="4">
        <v>43034</v>
      </c>
      <c r="B2328" s="3">
        <f>YEAR(SalesData[[#This Row],[Order Date]])</f>
        <v>2017</v>
      </c>
      <c r="C2328" s="3">
        <f>MONTH(SalesData[[#This Row],[Order Date]])</f>
        <v>10</v>
      </c>
      <c r="D2328" t="s">
        <v>14</v>
      </c>
      <c r="E2328" t="s">
        <v>31</v>
      </c>
      <c r="F2328" t="s">
        <v>15</v>
      </c>
      <c r="G2328" t="s">
        <v>38</v>
      </c>
      <c r="H2328" t="s">
        <v>39</v>
      </c>
      <c r="I2328" s="2">
        <v>4721.74</v>
      </c>
      <c r="J2328" s="3">
        <v>7</v>
      </c>
      <c r="K2328" s="2">
        <v>1245.0899999999999</v>
      </c>
    </row>
    <row r="2329" spans="1:11" x14ac:dyDescent="0.25">
      <c r="A2329" s="4">
        <v>43035</v>
      </c>
      <c r="B2329" s="3">
        <f>YEAR(SalesData[[#This Row],[Order Date]])</f>
        <v>2017</v>
      </c>
      <c r="C2329" s="3">
        <f>MONTH(SalesData[[#This Row],[Order Date]])</f>
        <v>10</v>
      </c>
      <c r="D2329" t="s">
        <v>14</v>
      </c>
      <c r="E2329" t="s">
        <v>26</v>
      </c>
      <c r="F2329" t="s">
        <v>11</v>
      </c>
      <c r="G2329" t="s">
        <v>12</v>
      </c>
      <c r="H2329" t="s">
        <v>65</v>
      </c>
      <c r="I2329" s="2">
        <v>861.19</v>
      </c>
      <c r="J2329" s="3">
        <v>2</v>
      </c>
      <c r="K2329" s="2">
        <v>11.77</v>
      </c>
    </row>
    <row r="2330" spans="1:11" x14ac:dyDescent="0.25">
      <c r="A2330" s="4">
        <v>43035</v>
      </c>
      <c r="B2330" s="3">
        <f>YEAR(SalesData[[#This Row],[Order Date]])</f>
        <v>2017</v>
      </c>
      <c r="C2330" s="3">
        <f>MONTH(SalesData[[#This Row],[Order Date]])</f>
        <v>10</v>
      </c>
      <c r="D2330" t="s">
        <v>50</v>
      </c>
      <c r="E2330" t="s">
        <v>60</v>
      </c>
      <c r="F2330" t="s">
        <v>27</v>
      </c>
      <c r="G2330" t="s">
        <v>28</v>
      </c>
      <c r="H2330" t="s">
        <v>29</v>
      </c>
      <c r="I2330" s="2">
        <v>3907.63</v>
      </c>
      <c r="J2330" s="3">
        <v>6</v>
      </c>
      <c r="K2330" s="2">
        <v>872.9</v>
      </c>
    </row>
    <row r="2331" spans="1:11" x14ac:dyDescent="0.25">
      <c r="A2331" s="4">
        <v>43035</v>
      </c>
      <c r="B2331" s="3">
        <f>YEAR(SalesData[[#This Row],[Order Date]])</f>
        <v>2017</v>
      </c>
      <c r="C2331" s="3">
        <f>MONTH(SalesData[[#This Row],[Order Date]])</f>
        <v>10</v>
      </c>
      <c r="D2331" t="s">
        <v>18</v>
      </c>
      <c r="E2331" t="s">
        <v>52</v>
      </c>
      <c r="F2331" t="s">
        <v>27</v>
      </c>
      <c r="G2331" t="s">
        <v>48</v>
      </c>
      <c r="H2331" t="s">
        <v>57</v>
      </c>
      <c r="I2331" s="2">
        <v>1437.11</v>
      </c>
      <c r="J2331" s="3">
        <v>1</v>
      </c>
      <c r="K2331" s="2">
        <v>78.39</v>
      </c>
    </row>
    <row r="2332" spans="1:11" x14ac:dyDescent="0.25">
      <c r="A2332" s="4">
        <v>43036</v>
      </c>
      <c r="B2332" s="3">
        <f>YEAR(SalesData[[#This Row],[Order Date]])</f>
        <v>2017</v>
      </c>
      <c r="C2332" s="3">
        <f>MONTH(SalesData[[#This Row],[Order Date]])</f>
        <v>10</v>
      </c>
      <c r="D2332" t="s">
        <v>14</v>
      </c>
      <c r="E2332" t="s">
        <v>19</v>
      </c>
      <c r="F2332" t="s">
        <v>27</v>
      </c>
      <c r="G2332" t="s">
        <v>48</v>
      </c>
      <c r="H2332" t="s">
        <v>57</v>
      </c>
      <c r="I2332" s="2">
        <v>1550.55</v>
      </c>
      <c r="J2332" s="3">
        <v>6</v>
      </c>
      <c r="K2332" s="2">
        <v>259.83999999999997</v>
      </c>
    </row>
    <row r="2333" spans="1:11" x14ac:dyDescent="0.25">
      <c r="A2333" s="4">
        <v>43036</v>
      </c>
      <c r="B2333" s="3">
        <f>YEAR(SalesData[[#This Row],[Order Date]])</f>
        <v>2017</v>
      </c>
      <c r="C2333" s="3">
        <f>MONTH(SalesData[[#This Row],[Order Date]])</f>
        <v>10</v>
      </c>
      <c r="D2333" t="s">
        <v>18</v>
      </c>
      <c r="E2333" t="s">
        <v>44</v>
      </c>
      <c r="F2333" t="s">
        <v>11</v>
      </c>
      <c r="G2333" t="s">
        <v>24</v>
      </c>
      <c r="H2333" t="s">
        <v>25</v>
      </c>
      <c r="I2333" s="2">
        <v>520.36</v>
      </c>
      <c r="J2333" s="3">
        <v>9</v>
      </c>
      <c r="K2333" s="2">
        <v>116.31</v>
      </c>
    </row>
    <row r="2334" spans="1:11" x14ac:dyDescent="0.25">
      <c r="A2334" s="4">
        <v>43037</v>
      </c>
      <c r="B2334" s="3">
        <f>YEAR(SalesData[[#This Row],[Order Date]])</f>
        <v>2017</v>
      </c>
      <c r="C2334" s="3">
        <f>MONTH(SalesData[[#This Row],[Order Date]])</f>
        <v>10</v>
      </c>
      <c r="D2334" t="s">
        <v>55</v>
      </c>
      <c r="E2334" t="s">
        <v>44</v>
      </c>
      <c r="F2334" t="s">
        <v>15</v>
      </c>
      <c r="G2334" t="s">
        <v>45</v>
      </c>
      <c r="H2334" t="s">
        <v>46</v>
      </c>
      <c r="I2334" s="2">
        <v>4322.43</v>
      </c>
      <c r="J2334" s="3">
        <v>1</v>
      </c>
      <c r="K2334" s="2">
        <v>928.7</v>
      </c>
    </row>
    <row r="2335" spans="1:11" x14ac:dyDescent="0.25">
      <c r="A2335" s="4">
        <v>43037</v>
      </c>
      <c r="B2335" s="3">
        <f>YEAR(SalesData[[#This Row],[Order Date]])</f>
        <v>2017</v>
      </c>
      <c r="C2335" s="3">
        <f>MONTH(SalesData[[#This Row],[Order Date]])</f>
        <v>10</v>
      </c>
      <c r="D2335" t="s">
        <v>50</v>
      </c>
      <c r="E2335" t="s">
        <v>52</v>
      </c>
      <c r="F2335" t="s">
        <v>11</v>
      </c>
      <c r="G2335" t="s">
        <v>24</v>
      </c>
      <c r="H2335" t="s">
        <v>25</v>
      </c>
      <c r="I2335" s="2">
        <v>2927.98</v>
      </c>
      <c r="J2335" s="3">
        <v>6</v>
      </c>
      <c r="K2335" s="2">
        <v>859.55</v>
      </c>
    </row>
    <row r="2336" spans="1:11" x14ac:dyDescent="0.25">
      <c r="A2336" s="4">
        <v>43039</v>
      </c>
      <c r="B2336" s="3">
        <f>YEAR(SalesData[[#This Row],[Order Date]])</f>
        <v>2017</v>
      </c>
      <c r="C2336" s="3">
        <f>MONTH(SalesData[[#This Row],[Order Date]])</f>
        <v>10</v>
      </c>
      <c r="D2336" t="s">
        <v>20</v>
      </c>
      <c r="E2336" t="s">
        <v>19</v>
      </c>
      <c r="F2336" t="s">
        <v>27</v>
      </c>
      <c r="G2336" t="s">
        <v>28</v>
      </c>
      <c r="H2336" t="s">
        <v>69</v>
      </c>
      <c r="I2336" s="2">
        <v>4398.42</v>
      </c>
      <c r="J2336" s="3">
        <v>5</v>
      </c>
      <c r="K2336" s="2">
        <v>1170.68</v>
      </c>
    </row>
    <row r="2337" spans="1:11" x14ac:dyDescent="0.25">
      <c r="A2337" s="4">
        <v>43039</v>
      </c>
      <c r="B2337" s="3">
        <f>YEAR(SalesData[[#This Row],[Order Date]])</f>
        <v>2017</v>
      </c>
      <c r="C2337" s="3">
        <f>MONTH(SalesData[[#This Row],[Order Date]])</f>
        <v>10</v>
      </c>
      <c r="D2337" t="s">
        <v>50</v>
      </c>
      <c r="E2337" t="s">
        <v>31</v>
      </c>
      <c r="F2337" t="s">
        <v>15</v>
      </c>
      <c r="G2337" t="s">
        <v>38</v>
      </c>
      <c r="H2337" t="s">
        <v>39</v>
      </c>
      <c r="I2337" s="2">
        <v>1724.27</v>
      </c>
      <c r="J2337" s="3">
        <v>4</v>
      </c>
      <c r="K2337" s="2">
        <v>136.88</v>
      </c>
    </row>
    <row r="2338" spans="1:11" x14ac:dyDescent="0.25">
      <c r="A2338" s="4">
        <v>43040</v>
      </c>
      <c r="B2338" s="3">
        <f>YEAR(SalesData[[#This Row],[Order Date]])</f>
        <v>2017</v>
      </c>
      <c r="C2338" s="3">
        <f>MONTH(SalesData[[#This Row],[Order Date]])</f>
        <v>11</v>
      </c>
      <c r="D2338" t="s">
        <v>30</v>
      </c>
      <c r="E2338" t="s">
        <v>52</v>
      </c>
      <c r="F2338" t="s">
        <v>11</v>
      </c>
      <c r="G2338" t="s">
        <v>21</v>
      </c>
      <c r="H2338" t="s">
        <v>22</v>
      </c>
      <c r="I2338" s="2">
        <v>1894.25</v>
      </c>
      <c r="J2338" s="3">
        <v>2</v>
      </c>
      <c r="K2338" s="2">
        <v>438.54</v>
      </c>
    </row>
    <row r="2339" spans="1:11" x14ac:dyDescent="0.25">
      <c r="A2339" s="4">
        <v>43042</v>
      </c>
      <c r="B2339" s="3">
        <f>YEAR(SalesData[[#This Row],[Order Date]])</f>
        <v>2017</v>
      </c>
      <c r="C2339" s="3">
        <f>MONTH(SalesData[[#This Row],[Order Date]])</f>
        <v>11</v>
      </c>
      <c r="D2339" t="s">
        <v>55</v>
      </c>
      <c r="E2339" t="s">
        <v>60</v>
      </c>
      <c r="F2339" t="s">
        <v>11</v>
      </c>
      <c r="G2339" t="s">
        <v>21</v>
      </c>
      <c r="H2339" t="s">
        <v>67</v>
      </c>
      <c r="I2339" s="2">
        <v>4908.92</v>
      </c>
      <c r="J2339" s="3">
        <v>7</v>
      </c>
      <c r="K2339" s="2">
        <v>1102.68</v>
      </c>
    </row>
    <row r="2340" spans="1:11" x14ac:dyDescent="0.25">
      <c r="A2340" s="4">
        <v>43042</v>
      </c>
      <c r="B2340" s="3">
        <f>YEAR(SalesData[[#This Row],[Order Date]])</f>
        <v>2017</v>
      </c>
      <c r="C2340" s="3">
        <f>MONTH(SalesData[[#This Row],[Order Date]])</f>
        <v>11</v>
      </c>
      <c r="D2340" t="s">
        <v>23</v>
      </c>
      <c r="E2340" t="s">
        <v>52</v>
      </c>
      <c r="F2340" t="s">
        <v>15</v>
      </c>
      <c r="G2340" t="s">
        <v>38</v>
      </c>
      <c r="H2340" t="s">
        <v>39</v>
      </c>
      <c r="I2340" s="2">
        <v>1404.74</v>
      </c>
      <c r="J2340" s="3">
        <v>3</v>
      </c>
      <c r="K2340" s="2">
        <v>113.78</v>
      </c>
    </row>
    <row r="2341" spans="1:11" x14ac:dyDescent="0.25">
      <c r="A2341" s="4">
        <v>43044</v>
      </c>
      <c r="B2341" s="3">
        <f>YEAR(SalesData[[#This Row],[Order Date]])</f>
        <v>2017</v>
      </c>
      <c r="C2341" s="3">
        <f>MONTH(SalesData[[#This Row],[Order Date]])</f>
        <v>11</v>
      </c>
      <c r="D2341" t="s">
        <v>47</v>
      </c>
      <c r="E2341" t="s">
        <v>31</v>
      </c>
      <c r="F2341" t="s">
        <v>15</v>
      </c>
      <c r="G2341" t="s">
        <v>63</v>
      </c>
      <c r="H2341" t="s">
        <v>66</v>
      </c>
      <c r="I2341" s="2">
        <v>3077.34</v>
      </c>
      <c r="J2341" s="3">
        <v>8</v>
      </c>
      <c r="K2341" s="2">
        <v>80</v>
      </c>
    </row>
    <row r="2342" spans="1:11" x14ac:dyDescent="0.25">
      <c r="A2342" s="4">
        <v>43045</v>
      </c>
      <c r="B2342" s="3">
        <f>YEAR(SalesData[[#This Row],[Order Date]])</f>
        <v>2017</v>
      </c>
      <c r="C2342" s="3">
        <f>MONTH(SalesData[[#This Row],[Order Date]])</f>
        <v>11</v>
      </c>
      <c r="D2342" t="s">
        <v>50</v>
      </c>
      <c r="E2342" t="s">
        <v>37</v>
      </c>
      <c r="F2342" t="s">
        <v>27</v>
      </c>
      <c r="G2342" t="s">
        <v>48</v>
      </c>
      <c r="H2342" t="s">
        <v>49</v>
      </c>
      <c r="I2342" s="2">
        <v>765.68</v>
      </c>
      <c r="J2342" s="3">
        <v>10</v>
      </c>
      <c r="K2342" s="2">
        <v>225.18</v>
      </c>
    </row>
    <row r="2343" spans="1:11" x14ac:dyDescent="0.25">
      <c r="A2343" s="4">
        <v>43045</v>
      </c>
      <c r="B2343" s="3">
        <f>YEAR(SalesData[[#This Row],[Order Date]])</f>
        <v>2017</v>
      </c>
      <c r="C2343" s="3">
        <f>MONTH(SalesData[[#This Row],[Order Date]])</f>
        <v>11</v>
      </c>
      <c r="D2343" t="s">
        <v>18</v>
      </c>
      <c r="E2343" t="s">
        <v>19</v>
      </c>
      <c r="F2343" t="s">
        <v>15</v>
      </c>
      <c r="G2343" t="s">
        <v>63</v>
      </c>
      <c r="H2343" t="s">
        <v>64</v>
      </c>
      <c r="I2343" s="2">
        <v>3727.78</v>
      </c>
      <c r="J2343" s="3">
        <v>1</v>
      </c>
      <c r="K2343" s="2">
        <v>384.7</v>
      </c>
    </row>
    <row r="2344" spans="1:11" x14ac:dyDescent="0.25">
      <c r="A2344" s="4">
        <v>43045</v>
      </c>
      <c r="B2344" s="3">
        <f>YEAR(SalesData[[#This Row],[Order Date]])</f>
        <v>2017</v>
      </c>
      <c r="C2344" s="3">
        <f>MONTH(SalesData[[#This Row],[Order Date]])</f>
        <v>11</v>
      </c>
      <c r="D2344" t="s">
        <v>43</v>
      </c>
      <c r="E2344" t="s">
        <v>19</v>
      </c>
      <c r="F2344" t="s">
        <v>15</v>
      </c>
      <c r="G2344" t="s">
        <v>41</v>
      </c>
      <c r="H2344" t="s">
        <v>61</v>
      </c>
      <c r="I2344" s="2">
        <v>4459.76</v>
      </c>
      <c r="J2344" s="3">
        <v>1</v>
      </c>
      <c r="K2344" s="2">
        <v>989.51</v>
      </c>
    </row>
    <row r="2345" spans="1:11" x14ac:dyDescent="0.25">
      <c r="A2345" s="4">
        <v>43046</v>
      </c>
      <c r="B2345" s="3">
        <f>YEAR(SalesData[[#This Row],[Order Date]])</f>
        <v>2017</v>
      </c>
      <c r="C2345" s="3">
        <f>MONTH(SalesData[[#This Row],[Order Date]])</f>
        <v>11</v>
      </c>
      <c r="D2345" t="s">
        <v>14</v>
      </c>
      <c r="E2345" t="s">
        <v>19</v>
      </c>
      <c r="F2345" t="s">
        <v>11</v>
      </c>
      <c r="G2345" t="s">
        <v>35</v>
      </c>
      <c r="H2345" t="s">
        <v>36</v>
      </c>
      <c r="I2345" s="2">
        <v>540.17999999999995</v>
      </c>
      <c r="J2345" s="3">
        <v>7</v>
      </c>
      <c r="K2345" s="2">
        <v>120.96</v>
      </c>
    </row>
    <row r="2346" spans="1:11" x14ac:dyDescent="0.25">
      <c r="A2346" s="4">
        <v>43047</v>
      </c>
      <c r="B2346" s="3">
        <f>YEAR(SalesData[[#This Row],[Order Date]])</f>
        <v>2017</v>
      </c>
      <c r="C2346" s="3">
        <f>MONTH(SalesData[[#This Row],[Order Date]])</f>
        <v>11</v>
      </c>
      <c r="D2346" t="s">
        <v>68</v>
      </c>
      <c r="E2346" t="s">
        <v>60</v>
      </c>
      <c r="F2346" t="s">
        <v>27</v>
      </c>
      <c r="G2346" t="s">
        <v>28</v>
      </c>
      <c r="H2346" t="s">
        <v>69</v>
      </c>
      <c r="I2346" s="2">
        <v>267.64999999999998</v>
      </c>
      <c r="J2346" s="3">
        <v>3</v>
      </c>
      <c r="K2346" s="2">
        <v>79.319999999999993</v>
      </c>
    </row>
    <row r="2347" spans="1:11" x14ac:dyDescent="0.25">
      <c r="A2347" s="4">
        <v>43047</v>
      </c>
      <c r="B2347" s="3">
        <f>YEAR(SalesData[[#This Row],[Order Date]])</f>
        <v>2017</v>
      </c>
      <c r="C2347" s="3">
        <f>MONTH(SalesData[[#This Row],[Order Date]])</f>
        <v>11</v>
      </c>
      <c r="D2347" t="s">
        <v>55</v>
      </c>
      <c r="E2347" t="s">
        <v>37</v>
      </c>
      <c r="F2347" t="s">
        <v>27</v>
      </c>
      <c r="G2347" t="s">
        <v>28</v>
      </c>
      <c r="H2347" t="s">
        <v>58</v>
      </c>
      <c r="I2347" s="2">
        <v>2759.32</v>
      </c>
      <c r="J2347" s="3">
        <v>3</v>
      </c>
      <c r="K2347" s="2">
        <v>9.67</v>
      </c>
    </row>
    <row r="2348" spans="1:11" x14ac:dyDescent="0.25">
      <c r="A2348" s="4">
        <v>43048</v>
      </c>
      <c r="B2348" s="3">
        <f>YEAR(SalesData[[#This Row],[Order Date]])</f>
        <v>2017</v>
      </c>
      <c r="C2348" s="3">
        <f>MONTH(SalesData[[#This Row],[Order Date]])</f>
        <v>11</v>
      </c>
      <c r="D2348" t="s">
        <v>30</v>
      </c>
      <c r="E2348" t="s">
        <v>31</v>
      </c>
      <c r="F2348" t="s">
        <v>27</v>
      </c>
      <c r="G2348" t="s">
        <v>32</v>
      </c>
      <c r="H2348" t="s">
        <v>33</v>
      </c>
      <c r="I2348" s="2">
        <v>552.91</v>
      </c>
      <c r="J2348" s="3">
        <v>8</v>
      </c>
      <c r="K2348" s="2">
        <v>25.53</v>
      </c>
    </row>
    <row r="2349" spans="1:11" x14ac:dyDescent="0.25">
      <c r="A2349" s="4">
        <v>43048</v>
      </c>
      <c r="B2349" s="3">
        <f>YEAR(SalesData[[#This Row],[Order Date]])</f>
        <v>2017</v>
      </c>
      <c r="C2349" s="3">
        <f>MONTH(SalesData[[#This Row],[Order Date]])</f>
        <v>11</v>
      </c>
      <c r="D2349" t="s">
        <v>55</v>
      </c>
      <c r="E2349" t="s">
        <v>52</v>
      </c>
      <c r="F2349" t="s">
        <v>11</v>
      </c>
      <c r="G2349" t="s">
        <v>35</v>
      </c>
      <c r="H2349" t="s">
        <v>70</v>
      </c>
      <c r="I2349" s="2">
        <v>2854.67</v>
      </c>
      <c r="J2349" s="3">
        <v>8</v>
      </c>
      <c r="K2349" s="2">
        <v>215.83</v>
      </c>
    </row>
    <row r="2350" spans="1:11" x14ac:dyDescent="0.25">
      <c r="A2350" s="4">
        <v>43048</v>
      </c>
      <c r="B2350" s="3">
        <f>YEAR(SalesData[[#This Row],[Order Date]])</f>
        <v>2017</v>
      </c>
      <c r="C2350" s="3">
        <f>MONTH(SalesData[[#This Row],[Order Date]])</f>
        <v>11</v>
      </c>
      <c r="D2350" t="s">
        <v>50</v>
      </c>
      <c r="E2350" t="s">
        <v>10</v>
      </c>
      <c r="F2350" t="s">
        <v>27</v>
      </c>
      <c r="G2350" t="s">
        <v>32</v>
      </c>
      <c r="H2350" t="s">
        <v>53</v>
      </c>
      <c r="I2350" s="2">
        <v>2117.42</v>
      </c>
      <c r="J2350" s="3">
        <v>10</v>
      </c>
      <c r="K2350" s="2">
        <v>319.36</v>
      </c>
    </row>
    <row r="2351" spans="1:11" x14ac:dyDescent="0.25">
      <c r="A2351" s="4">
        <v>43048</v>
      </c>
      <c r="B2351" s="3">
        <f>YEAR(SalesData[[#This Row],[Order Date]])</f>
        <v>2017</v>
      </c>
      <c r="C2351" s="3">
        <f>MONTH(SalesData[[#This Row],[Order Date]])</f>
        <v>11</v>
      </c>
      <c r="D2351" t="s">
        <v>55</v>
      </c>
      <c r="E2351" t="s">
        <v>10</v>
      </c>
      <c r="F2351" t="s">
        <v>11</v>
      </c>
      <c r="G2351" t="s">
        <v>21</v>
      </c>
      <c r="H2351" t="s">
        <v>67</v>
      </c>
      <c r="I2351" s="2">
        <v>430.17</v>
      </c>
      <c r="J2351" s="3">
        <v>1</v>
      </c>
      <c r="K2351" s="2">
        <v>22.84</v>
      </c>
    </row>
    <row r="2352" spans="1:11" x14ac:dyDescent="0.25">
      <c r="A2352" s="4">
        <v>43049</v>
      </c>
      <c r="B2352" s="3">
        <f>YEAR(SalesData[[#This Row],[Order Date]])</f>
        <v>2017</v>
      </c>
      <c r="C2352" s="3">
        <f>MONTH(SalesData[[#This Row],[Order Date]])</f>
        <v>11</v>
      </c>
      <c r="D2352" t="s">
        <v>23</v>
      </c>
      <c r="E2352" t="s">
        <v>40</v>
      </c>
      <c r="F2352" t="s">
        <v>27</v>
      </c>
      <c r="G2352" t="s">
        <v>28</v>
      </c>
      <c r="H2352" t="s">
        <v>58</v>
      </c>
      <c r="I2352" s="2">
        <v>2516.5100000000002</v>
      </c>
      <c r="J2352" s="3">
        <v>9</v>
      </c>
      <c r="K2352" s="2">
        <v>313.92</v>
      </c>
    </row>
    <row r="2353" spans="1:11" x14ac:dyDescent="0.25">
      <c r="A2353" s="4">
        <v>43049</v>
      </c>
      <c r="B2353" s="3">
        <f>YEAR(SalesData[[#This Row],[Order Date]])</f>
        <v>2017</v>
      </c>
      <c r="C2353" s="3">
        <f>MONTH(SalesData[[#This Row],[Order Date]])</f>
        <v>11</v>
      </c>
      <c r="D2353" t="s">
        <v>18</v>
      </c>
      <c r="E2353" t="s">
        <v>31</v>
      </c>
      <c r="F2353" t="s">
        <v>11</v>
      </c>
      <c r="G2353" t="s">
        <v>24</v>
      </c>
      <c r="H2353" t="s">
        <v>25</v>
      </c>
      <c r="I2353" s="2">
        <v>2570.44</v>
      </c>
      <c r="J2353" s="3">
        <v>5</v>
      </c>
      <c r="K2353" s="2">
        <v>687.87</v>
      </c>
    </row>
    <row r="2354" spans="1:11" x14ac:dyDescent="0.25">
      <c r="A2354" s="4">
        <v>43049</v>
      </c>
      <c r="B2354" s="3">
        <f>YEAR(SalesData[[#This Row],[Order Date]])</f>
        <v>2017</v>
      </c>
      <c r="C2354" s="3">
        <f>MONTH(SalesData[[#This Row],[Order Date]])</f>
        <v>11</v>
      </c>
      <c r="D2354" t="s">
        <v>47</v>
      </c>
      <c r="E2354" t="s">
        <v>52</v>
      </c>
      <c r="F2354" t="s">
        <v>15</v>
      </c>
      <c r="G2354" t="s">
        <v>41</v>
      </c>
      <c r="H2354" t="s">
        <v>61</v>
      </c>
      <c r="I2354" s="2">
        <v>4842.5600000000004</v>
      </c>
      <c r="J2354" s="3">
        <v>7</v>
      </c>
      <c r="K2354" s="2">
        <v>1101.49</v>
      </c>
    </row>
    <row r="2355" spans="1:11" x14ac:dyDescent="0.25">
      <c r="A2355" s="4">
        <v>43050</v>
      </c>
      <c r="B2355" s="3">
        <f>YEAR(SalesData[[#This Row],[Order Date]])</f>
        <v>2017</v>
      </c>
      <c r="C2355" s="3">
        <f>MONTH(SalesData[[#This Row],[Order Date]])</f>
        <v>11</v>
      </c>
      <c r="D2355" t="s">
        <v>14</v>
      </c>
      <c r="E2355" t="s">
        <v>52</v>
      </c>
      <c r="F2355" t="s">
        <v>27</v>
      </c>
      <c r="G2355" t="s">
        <v>28</v>
      </c>
      <c r="H2355" t="s">
        <v>69</v>
      </c>
      <c r="I2355" s="2">
        <v>2165.73</v>
      </c>
      <c r="J2355" s="3">
        <v>4</v>
      </c>
      <c r="K2355" s="2">
        <v>236.87</v>
      </c>
    </row>
    <row r="2356" spans="1:11" x14ac:dyDescent="0.25">
      <c r="A2356" s="4">
        <v>43050</v>
      </c>
      <c r="B2356" s="3">
        <f>YEAR(SalesData[[#This Row],[Order Date]])</f>
        <v>2017</v>
      </c>
      <c r="C2356" s="3">
        <f>MONTH(SalesData[[#This Row],[Order Date]])</f>
        <v>11</v>
      </c>
      <c r="D2356" t="s">
        <v>55</v>
      </c>
      <c r="E2356" t="s">
        <v>52</v>
      </c>
      <c r="F2356" t="s">
        <v>11</v>
      </c>
      <c r="G2356" t="s">
        <v>21</v>
      </c>
      <c r="H2356" t="s">
        <v>22</v>
      </c>
      <c r="I2356" s="2">
        <v>2611.9499999999998</v>
      </c>
      <c r="J2356" s="3">
        <v>5</v>
      </c>
      <c r="K2356" s="2">
        <v>395.68</v>
      </c>
    </row>
    <row r="2357" spans="1:11" x14ac:dyDescent="0.25">
      <c r="A2357" s="4">
        <v>43050</v>
      </c>
      <c r="B2357" s="3">
        <f>YEAR(SalesData[[#This Row],[Order Date]])</f>
        <v>2017</v>
      </c>
      <c r="C2357" s="3">
        <f>MONTH(SalesData[[#This Row],[Order Date]])</f>
        <v>11</v>
      </c>
      <c r="D2357" t="s">
        <v>47</v>
      </c>
      <c r="E2357" t="s">
        <v>40</v>
      </c>
      <c r="F2357" t="s">
        <v>27</v>
      </c>
      <c r="G2357" t="s">
        <v>32</v>
      </c>
      <c r="H2357" t="s">
        <v>53</v>
      </c>
      <c r="I2357" s="2">
        <v>37.79</v>
      </c>
      <c r="J2357" s="3">
        <v>3</v>
      </c>
      <c r="K2357" s="2">
        <v>8.83</v>
      </c>
    </row>
    <row r="2358" spans="1:11" x14ac:dyDescent="0.25">
      <c r="A2358" s="4">
        <v>43050</v>
      </c>
      <c r="B2358" s="3">
        <f>YEAR(SalesData[[#This Row],[Order Date]])</f>
        <v>2017</v>
      </c>
      <c r="C2358" s="3">
        <f>MONTH(SalesData[[#This Row],[Order Date]])</f>
        <v>11</v>
      </c>
      <c r="D2358" t="s">
        <v>62</v>
      </c>
      <c r="E2358" t="s">
        <v>19</v>
      </c>
      <c r="F2358" t="s">
        <v>11</v>
      </c>
      <c r="G2358" t="s">
        <v>24</v>
      </c>
      <c r="H2358" t="s">
        <v>25</v>
      </c>
      <c r="I2358" s="2">
        <v>1011.02</v>
      </c>
      <c r="J2358" s="3">
        <v>6</v>
      </c>
      <c r="K2358" s="2">
        <v>155.18</v>
      </c>
    </row>
    <row r="2359" spans="1:11" x14ac:dyDescent="0.25">
      <c r="A2359" s="4">
        <v>43051</v>
      </c>
      <c r="B2359" s="3">
        <f>YEAR(SalesData[[#This Row],[Order Date]])</f>
        <v>2017</v>
      </c>
      <c r="C2359" s="3">
        <f>MONTH(SalesData[[#This Row],[Order Date]])</f>
        <v>11</v>
      </c>
      <c r="D2359" t="s">
        <v>47</v>
      </c>
      <c r="E2359" t="s">
        <v>31</v>
      </c>
      <c r="F2359" t="s">
        <v>11</v>
      </c>
      <c r="G2359" t="s">
        <v>21</v>
      </c>
      <c r="H2359" t="s">
        <v>67</v>
      </c>
      <c r="I2359" s="2">
        <v>235.27</v>
      </c>
      <c r="J2359" s="3">
        <v>5</v>
      </c>
      <c r="K2359" s="2">
        <v>23.08</v>
      </c>
    </row>
    <row r="2360" spans="1:11" x14ac:dyDescent="0.25">
      <c r="A2360" s="4">
        <v>43052</v>
      </c>
      <c r="B2360" s="3">
        <f>YEAR(SalesData[[#This Row],[Order Date]])</f>
        <v>2017</v>
      </c>
      <c r="C2360" s="3">
        <f>MONTH(SalesData[[#This Row],[Order Date]])</f>
        <v>11</v>
      </c>
      <c r="D2360" t="s">
        <v>23</v>
      </c>
      <c r="E2360" t="s">
        <v>10</v>
      </c>
      <c r="F2360" t="s">
        <v>15</v>
      </c>
      <c r="G2360" t="s">
        <v>63</v>
      </c>
      <c r="H2360" t="s">
        <v>66</v>
      </c>
      <c r="I2360" s="2">
        <v>657.11</v>
      </c>
      <c r="J2360" s="3">
        <v>8</v>
      </c>
      <c r="K2360" s="2">
        <v>133.58000000000001</v>
      </c>
    </row>
    <row r="2361" spans="1:11" x14ac:dyDescent="0.25">
      <c r="A2361" s="4">
        <v>43052</v>
      </c>
      <c r="B2361" s="3">
        <f>YEAR(SalesData[[#This Row],[Order Date]])</f>
        <v>2017</v>
      </c>
      <c r="C2361" s="3">
        <f>MONTH(SalesData[[#This Row],[Order Date]])</f>
        <v>11</v>
      </c>
      <c r="D2361" t="s">
        <v>68</v>
      </c>
      <c r="E2361" t="s">
        <v>40</v>
      </c>
      <c r="F2361" t="s">
        <v>11</v>
      </c>
      <c r="G2361" t="s">
        <v>35</v>
      </c>
      <c r="H2361" t="s">
        <v>36</v>
      </c>
      <c r="I2361" s="2">
        <v>2147.69</v>
      </c>
      <c r="J2361" s="3">
        <v>1</v>
      </c>
      <c r="K2361" s="2">
        <v>505.13</v>
      </c>
    </row>
    <row r="2362" spans="1:11" x14ac:dyDescent="0.25">
      <c r="A2362" s="4">
        <v>43054</v>
      </c>
      <c r="B2362" s="3">
        <f>YEAR(SalesData[[#This Row],[Order Date]])</f>
        <v>2017</v>
      </c>
      <c r="C2362" s="3">
        <f>MONTH(SalesData[[#This Row],[Order Date]])</f>
        <v>11</v>
      </c>
      <c r="D2362" t="s">
        <v>9</v>
      </c>
      <c r="E2362" t="s">
        <v>31</v>
      </c>
      <c r="F2362" t="s">
        <v>11</v>
      </c>
      <c r="G2362" t="s">
        <v>12</v>
      </c>
      <c r="H2362" t="s">
        <v>65</v>
      </c>
      <c r="I2362" s="2">
        <v>3865.45</v>
      </c>
      <c r="J2362" s="3">
        <v>5</v>
      </c>
      <c r="K2362" s="2">
        <v>1118.8699999999999</v>
      </c>
    </row>
    <row r="2363" spans="1:11" x14ac:dyDescent="0.25">
      <c r="A2363" s="4">
        <v>43055</v>
      </c>
      <c r="B2363" s="3">
        <f>YEAR(SalesData[[#This Row],[Order Date]])</f>
        <v>2017</v>
      </c>
      <c r="C2363" s="3">
        <f>MONTH(SalesData[[#This Row],[Order Date]])</f>
        <v>11</v>
      </c>
      <c r="D2363" t="s">
        <v>14</v>
      </c>
      <c r="E2363" t="s">
        <v>37</v>
      </c>
      <c r="F2363" t="s">
        <v>15</v>
      </c>
      <c r="G2363" t="s">
        <v>16</v>
      </c>
      <c r="H2363" t="s">
        <v>51</v>
      </c>
      <c r="I2363" s="2">
        <v>3292.08</v>
      </c>
      <c r="J2363" s="3">
        <v>2</v>
      </c>
      <c r="K2363" s="2">
        <v>64.55</v>
      </c>
    </row>
    <row r="2364" spans="1:11" x14ac:dyDescent="0.25">
      <c r="A2364" s="4">
        <v>43056</v>
      </c>
      <c r="B2364" s="3">
        <f>YEAR(SalesData[[#This Row],[Order Date]])</f>
        <v>2017</v>
      </c>
      <c r="C2364" s="3">
        <f>MONTH(SalesData[[#This Row],[Order Date]])</f>
        <v>11</v>
      </c>
      <c r="D2364" t="s">
        <v>20</v>
      </c>
      <c r="E2364" t="s">
        <v>52</v>
      </c>
      <c r="F2364" t="s">
        <v>15</v>
      </c>
      <c r="G2364" t="s">
        <v>41</v>
      </c>
      <c r="H2364" t="s">
        <v>42</v>
      </c>
      <c r="I2364" s="2">
        <v>3227.46</v>
      </c>
      <c r="J2364" s="3">
        <v>4</v>
      </c>
      <c r="K2364" s="2">
        <v>287.85000000000002</v>
      </c>
    </row>
    <row r="2365" spans="1:11" x14ac:dyDescent="0.25">
      <c r="A2365" s="4">
        <v>43056</v>
      </c>
      <c r="B2365" s="3">
        <f>YEAR(SalesData[[#This Row],[Order Date]])</f>
        <v>2017</v>
      </c>
      <c r="C2365" s="3">
        <f>MONTH(SalesData[[#This Row],[Order Date]])</f>
        <v>11</v>
      </c>
      <c r="D2365" t="s">
        <v>50</v>
      </c>
      <c r="E2365" t="s">
        <v>40</v>
      </c>
      <c r="F2365" t="s">
        <v>27</v>
      </c>
      <c r="G2365" t="s">
        <v>32</v>
      </c>
      <c r="H2365" t="s">
        <v>53</v>
      </c>
      <c r="I2365" s="2">
        <v>1632</v>
      </c>
      <c r="J2365" s="3">
        <v>8</v>
      </c>
      <c r="K2365" s="2">
        <v>28.55</v>
      </c>
    </row>
    <row r="2366" spans="1:11" x14ac:dyDescent="0.25">
      <c r="A2366" s="4">
        <v>43056</v>
      </c>
      <c r="B2366" s="3">
        <f>YEAR(SalesData[[#This Row],[Order Date]])</f>
        <v>2017</v>
      </c>
      <c r="C2366" s="3">
        <f>MONTH(SalesData[[#This Row],[Order Date]])</f>
        <v>11</v>
      </c>
      <c r="D2366" t="s">
        <v>20</v>
      </c>
      <c r="E2366" t="s">
        <v>34</v>
      </c>
      <c r="F2366" t="s">
        <v>15</v>
      </c>
      <c r="G2366" t="s">
        <v>16</v>
      </c>
      <c r="H2366" t="s">
        <v>51</v>
      </c>
      <c r="I2366" s="2">
        <v>2126.9</v>
      </c>
      <c r="J2366" s="3">
        <v>5</v>
      </c>
      <c r="K2366" s="2">
        <v>109.2</v>
      </c>
    </row>
    <row r="2367" spans="1:11" x14ac:dyDescent="0.25">
      <c r="A2367" s="4">
        <v>43057</v>
      </c>
      <c r="B2367" s="3">
        <f>YEAR(SalesData[[#This Row],[Order Date]])</f>
        <v>2017</v>
      </c>
      <c r="C2367" s="3">
        <f>MONTH(SalesData[[#This Row],[Order Date]])</f>
        <v>11</v>
      </c>
      <c r="D2367" t="s">
        <v>43</v>
      </c>
      <c r="E2367" t="s">
        <v>26</v>
      </c>
      <c r="F2367" t="s">
        <v>15</v>
      </c>
      <c r="G2367" t="s">
        <v>41</v>
      </c>
      <c r="H2367" t="s">
        <v>42</v>
      </c>
      <c r="I2367" s="2">
        <v>4335.75</v>
      </c>
      <c r="J2367" s="3">
        <v>10</v>
      </c>
      <c r="K2367" s="2">
        <v>869.9</v>
      </c>
    </row>
    <row r="2368" spans="1:11" x14ac:dyDescent="0.25">
      <c r="A2368" s="4">
        <v>43057</v>
      </c>
      <c r="B2368" s="3">
        <f>YEAR(SalesData[[#This Row],[Order Date]])</f>
        <v>2017</v>
      </c>
      <c r="C2368" s="3">
        <f>MONTH(SalesData[[#This Row],[Order Date]])</f>
        <v>11</v>
      </c>
      <c r="D2368" t="s">
        <v>14</v>
      </c>
      <c r="E2368" t="s">
        <v>52</v>
      </c>
      <c r="F2368" t="s">
        <v>11</v>
      </c>
      <c r="G2368" t="s">
        <v>24</v>
      </c>
      <c r="H2368" t="s">
        <v>25</v>
      </c>
      <c r="I2368" s="2">
        <v>955.34</v>
      </c>
      <c r="J2368" s="3">
        <v>1</v>
      </c>
      <c r="K2368" s="2">
        <v>59.73</v>
      </c>
    </row>
    <row r="2369" spans="1:11" x14ac:dyDescent="0.25">
      <c r="A2369" s="4">
        <v>43058</v>
      </c>
      <c r="B2369" s="3">
        <f>YEAR(SalesData[[#This Row],[Order Date]])</f>
        <v>2017</v>
      </c>
      <c r="C2369" s="3">
        <f>MONTH(SalesData[[#This Row],[Order Date]])</f>
        <v>11</v>
      </c>
      <c r="D2369" t="s">
        <v>14</v>
      </c>
      <c r="E2369" t="s">
        <v>52</v>
      </c>
      <c r="F2369" t="s">
        <v>27</v>
      </c>
      <c r="G2369" t="s">
        <v>28</v>
      </c>
      <c r="H2369" t="s">
        <v>69</v>
      </c>
      <c r="I2369" s="2">
        <v>662.13</v>
      </c>
      <c r="J2369" s="3">
        <v>8</v>
      </c>
      <c r="K2369" s="2">
        <v>130.04</v>
      </c>
    </row>
    <row r="2370" spans="1:11" x14ac:dyDescent="0.25">
      <c r="A2370" s="4">
        <v>43058</v>
      </c>
      <c r="B2370" s="3">
        <f>YEAR(SalesData[[#This Row],[Order Date]])</f>
        <v>2017</v>
      </c>
      <c r="C2370" s="3">
        <f>MONTH(SalesData[[#This Row],[Order Date]])</f>
        <v>11</v>
      </c>
      <c r="D2370" t="s">
        <v>9</v>
      </c>
      <c r="E2370" t="s">
        <v>31</v>
      </c>
      <c r="F2370" t="s">
        <v>11</v>
      </c>
      <c r="G2370" t="s">
        <v>12</v>
      </c>
      <c r="H2370" t="s">
        <v>65</v>
      </c>
      <c r="I2370" s="2">
        <v>1080.72</v>
      </c>
      <c r="J2370" s="3">
        <v>3</v>
      </c>
      <c r="K2370" s="2">
        <v>107.84</v>
      </c>
    </row>
    <row r="2371" spans="1:11" x14ac:dyDescent="0.25">
      <c r="A2371" s="4">
        <v>43059</v>
      </c>
      <c r="B2371" s="3">
        <f>YEAR(SalesData[[#This Row],[Order Date]])</f>
        <v>2017</v>
      </c>
      <c r="C2371" s="3">
        <f>MONTH(SalesData[[#This Row],[Order Date]])</f>
        <v>11</v>
      </c>
      <c r="D2371" t="s">
        <v>68</v>
      </c>
      <c r="E2371" t="s">
        <v>52</v>
      </c>
      <c r="F2371" t="s">
        <v>15</v>
      </c>
      <c r="G2371" t="s">
        <v>63</v>
      </c>
      <c r="H2371" t="s">
        <v>66</v>
      </c>
      <c r="I2371" s="2">
        <v>4940.4799999999996</v>
      </c>
      <c r="J2371" s="3">
        <v>4</v>
      </c>
      <c r="K2371" s="2">
        <v>13.75</v>
      </c>
    </row>
    <row r="2372" spans="1:11" x14ac:dyDescent="0.25">
      <c r="A2372" s="4">
        <v>43060</v>
      </c>
      <c r="B2372" s="3">
        <f>YEAR(SalesData[[#This Row],[Order Date]])</f>
        <v>2017</v>
      </c>
      <c r="C2372" s="3">
        <f>MONTH(SalesData[[#This Row],[Order Date]])</f>
        <v>11</v>
      </c>
      <c r="D2372" t="s">
        <v>68</v>
      </c>
      <c r="E2372" t="s">
        <v>60</v>
      </c>
      <c r="F2372" t="s">
        <v>15</v>
      </c>
      <c r="G2372" t="s">
        <v>41</v>
      </c>
      <c r="H2372" t="s">
        <v>42</v>
      </c>
      <c r="I2372" s="2">
        <v>4941.66</v>
      </c>
      <c r="J2372" s="3">
        <v>7</v>
      </c>
      <c r="K2372" s="2">
        <v>246.11</v>
      </c>
    </row>
    <row r="2373" spans="1:11" x14ac:dyDescent="0.25">
      <c r="A2373" s="4">
        <v>43061</v>
      </c>
      <c r="B2373" s="3">
        <f>YEAR(SalesData[[#This Row],[Order Date]])</f>
        <v>2017</v>
      </c>
      <c r="C2373" s="3">
        <f>MONTH(SalesData[[#This Row],[Order Date]])</f>
        <v>11</v>
      </c>
      <c r="D2373" t="s">
        <v>23</v>
      </c>
      <c r="E2373" t="s">
        <v>10</v>
      </c>
      <c r="F2373" t="s">
        <v>11</v>
      </c>
      <c r="G2373" t="s">
        <v>21</v>
      </c>
      <c r="H2373" t="s">
        <v>22</v>
      </c>
      <c r="I2373" s="2">
        <v>2636.26</v>
      </c>
      <c r="J2373" s="3">
        <v>3</v>
      </c>
      <c r="K2373" s="2">
        <v>5.75</v>
      </c>
    </row>
    <row r="2374" spans="1:11" x14ac:dyDescent="0.25">
      <c r="A2374" s="4">
        <v>43062</v>
      </c>
      <c r="B2374" s="3">
        <f>YEAR(SalesData[[#This Row],[Order Date]])</f>
        <v>2017</v>
      </c>
      <c r="C2374" s="3">
        <f>MONTH(SalesData[[#This Row],[Order Date]])</f>
        <v>11</v>
      </c>
      <c r="D2374" t="s">
        <v>62</v>
      </c>
      <c r="E2374" t="s">
        <v>34</v>
      </c>
      <c r="F2374" t="s">
        <v>15</v>
      </c>
      <c r="G2374" t="s">
        <v>41</v>
      </c>
      <c r="H2374" t="s">
        <v>61</v>
      </c>
      <c r="I2374" s="2">
        <v>1622.25</v>
      </c>
      <c r="J2374" s="3">
        <v>2</v>
      </c>
      <c r="K2374" s="2">
        <v>377.96</v>
      </c>
    </row>
    <row r="2375" spans="1:11" x14ac:dyDescent="0.25">
      <c r="A2375" s="4">
        <v>43062</v>
      </c>
      <c r="B2375" s="3">
        <f>YEAR(SalesData[[#This Row],[Order Date]])</f>
        <v>2017</v>
      </c>
      <c r="C2375" s="3">
        <f>MONTH(SalesData[[#This Row],[Order Date]])</f>
        <v>11</v>
      </c>
      <c r="D2375" t="s">
        <v>30</v>
      </c>
      <c r="E2375" t="s">
        <v>31</v>
      </c>
      <c r="F2375" t="s">
        <v>27</v>
      </c>
      <c r="G2375" t="s">
        <v>48</v>
      </c>
      <c r="H2375" t="s">
        <v>49</v>
      </c>
      <c r="I2375" s="2">
        <v>4428.83</v>
      </c>
      <c r="J2375" s="3">
        <v>1</v>
      </c>
      <c r="K2375" s="2">
        <v>950.54</v>
      </c>
    </row>
    <row r="2376" spans="1:11" x14ac:dyDescent="0.25">
      <c r="A2376" s="4">
        <v>43062</v>
      </c>
      <c r="B2376" s="3">
        <f>YEAR(SalesData[[#This Row],[Order Date]])</f>
        <v>2017</v>
      </c>
      <c r="C2376" s="3">
        <f>MONTH(SalesData[[#This Row],[Order Date]])</f>
        <v>11</v>
      </c>
      <c r="D2376" t="s">
        <v>30</v>
      </c>
      <c r="E2376" t="s">
        <v>19</v>
      </c>
      <c r="F2376" t="s">
        <v>15</v>
      </c>
      <c r="G2376" t="s">
        <v>45</v>
      </c>
      <c r="H2376" t="s">
        <v>59</v>
      </c>
      <c r="I2376" s="2">
        <v>1981.97</v>
      </c>
      <c r="J2376" s="3">
        <v>7</v>
      </c>
      <c r="K2376" s="2">
        <v>159.38999999999999</v>
      </c>
    </row>
    <row r="2377" spans="1:11" x14ac:dyDescent="0.25">
      <c r="A2377" s="4">
        <v>43063</v>
      </c>
      <c r="B2377" s="3">
        <f>YEAR(SalesData[[#This Row],[Order Date]])</f>
        <v>2017</v>
      </c>
      <c r="C2377" s="3">
        <f>MONTH(SalesData[[#This Row],[Order Date]])</f>
        <v>11</v>
      </c>
      <c r="D2377" t="s">
        <v>68</v>
      </c>
      <c r="E2377" t="s">
        <v>44</v>
      </c>
      <c r="F2377" t="s">
        <v>11</v>
      </c>
      <c r="G2377" t="s">
        <v>24</v>
      </c>
      <c r="H2377" t="s">
        <v>25</v>
      </c>
      <c r="I2377" s="2">
        <v>2105.92</v>
      </c>
      <c r="J2377" s="3">
        <v>2</v>
      </c>
      <c r="K2377" s="2">
        <v>222.46</v>
      </c>
    </row>
    <row r="2378" spans="1:11" x14ac:dyDescent="0.25">
      <c r="A2378" s="4">
        <v>43063</v>
      </c>
      <c r="B2378" s="3">
        <f>YEAR(SalesData[[#This Row],[Order Date]])</f>
        <v>2017</v>
      </c>
      <c r="C2378" s="3">
        <f>MONTH(SalesData[[#This Row],[Order Date]])</f>
        <v>11</v>
      </c>
      <c r="D2378" t="s">
        <v>23</v>
      </c>
      <c r="E2378" t="s">
        <v>34</v>
      </c>
      <c r="F2378" t="s">
        <v>11</v>
      </c>
      <c r="G2378" t="s">
        <v>35</v>
      </c>
      <c r="H2378" t="s">
        <v>70</v>
      </c>
      <c r="I2378" s="2">
        <v>2698.26</v>
      </c>
      <c r="J2378" s="3">
        <v>9</v>
      </c>
      <c r="K2378" s="2">
        <v>182.65</v>
      </c>
    </row>
    <row r="2379" spans="1:11" x14ac:dyDescent="0.25">
      <c r="A2379" s="4">
        <v>43063</v>
      </c>
      <c r="B2379" s="3">
        <f>YEAR(SalesData[[#This Row],[Order Date]])</f>
        <v>2017</v>
      </c>
      <c r="C2379" s="3">
        <f>MONTH(SalesData[[#This Row],[Order Date]])</f>
        <v>11</v>
      </c>
      <c r="D2379" t="s">
        <v>62</v>
      </c>
      <c r="E2379" t="s">
        <v>52</v>
      </c>
      <c r="F2379" t="s">
        <v>27</v>
      </c>
      <c r="G2379" t="s">
        <v>28</v>
      </c>
      <c r="H2379" t="s">
        <v>29</v>
      </c>
      <c r="I2379" s="2">
        <v>2852.73</v>
      </c>
      <c r="J2379" s="3">
        <v>7</v>
      </c>
      <c r="K2379" s="2">
        <v>434.68</v>
      </c>
    </row>
    <row r="2380" spans="1:11" x14ac:dyDescent="0.25">
      <c r="A2380" s="4">
        <v>43064</v>
      </c>
      <c r="B2380" s="3">
        <f>YEAR(SalesData[[#This Row],[Order Date]])</f>
        <v>2017</v>
      </c>
      <c r="C2380" s="3">
        <f>MONTH(SalesData[[#This Row],[Order Date]])</f>
        <v>11</v>
      </c>
      <c r="D2380" t="s">
        <v>30</v>
      </c>
      <c r="E2380" t="s">
        <v>52</v>
      </c>
      <c r="F2380" t="s">
        <v>27</v>
      </c>
      <c r="G2380" t="s">
        <v>32</v>
      </c>
      <c r="H2380" t="s">
        <v>33</v>
      </c>
      <c r="I2380" s="2">
        <v>3370.22</v>
      </c>
      <c r="J2380" s="3">
        <v>1</v>
      </c>
      <c r="K2380" s="2">
        <v>236.72</v>
      </c>
    </row>
    <row r="2381" spans="1:11" x14ac:dyDescent="0.25">
      <c r="A2381" s="4">
        <v>43066</v>
      </c>
      <c r="B2381" s="3">
        <f>YEAR(SalesData[[#This Row],[Order Date]])</f>
        <v>2017</v>
      </c>
      <c r="C2381" s="3">
        <f>MONTH(SalesData[[#This Row],[Order Date]])</f>
        <v>11</v>
      </c>
      <c r="D2381" t="s">
        <v>30</v>
      </c>
      <c r="E2381" t="s">
        <v>34</v>
      </c>
      <c r="F2381" t="s">
        <v>15</v>
      </c>
      <c r="G2381" t="s">
        <v>45</v>
      </c>
      <c r="H2381" t="s">
        <v>46</v>
      </c>
      <c r="I2381" s="2">
        <v>2948.56</v>
      </c>
      <c r="J2381" s="3">
        <v>5</v>
      </c>
      <c r="K2381" s="2">
        <v>384.53</v>
      </c>
    </row>
    <row r="2382" spans="1:11" x14ac:dyDescent="0.25">
      <c r="A2382" s="4">
        <v>43068</v>
      </c>
      <c r="B2382" s="3">
        <f>YEAR(SalesData[[#This Row],[Order Date]])</f>
        <v>2017</v>
      </c>
      <c r="C2382" s="3">
        <f>MONTH(SalesData[[#This Row],[Order Date]])</f>
        <v>11</v>
      </c>
      <c r="D2382" t="s">
        <v>9</v>
      </c>
      <c r="E2382" t="s">
        <v>19</v>
      </c>
      <c r="F2382" t="s">
        <v>11</v>
      </c>
      <c r="G2382" t="s">
        <v>21</v>
      </c>
      <c r="H2382" t="s">
        <v>67</v>
      </c>
      <c r="I2382" s="2">
        <v>1520.5</v>
      </c>
      <c r="J2382" s="3">
        <v>3</v>
      </c>
      <c r="K2382" s="2">
        <v>340.03</v>
      </c>
    </row>
    <row r="2383" spans="1:11" x14ac:dyDescent="0.25">
      <c r="A2383" s="4">
        <v>43072</v>
      </c>
      <c r="B2383" s="3">
        <f>YEAR(SalesData[[#This Row],[Order Date]])</f>
        <v>2017</v>
      </c>
      <c r="C2383" s="3">
        <f>MONTH(SalesData[[#This Row],[Order Date]])</f>
        <v>12</v>
      </c>
      <c r="D2383" t="s">
        <v>20</v>
      </c>
      <c r="E2383" t="s">
        <v>34</v>
      </c>
      <c r="F2383" t="s">
        <v>27</v>
      </c>
      <c r="G2383" t="s">
        <v>28</v>
      </c>
      <c r="H2383" t="s">
        <v>58</v>
      </c>
      <c r="I2383" s="2">
        <v>3656.52</v>
      </c>
      <c r="J2383" s="3">
        <v>10</v>
      </c>
      <c r="K2383" s="2">
        <v>441.51</v>
      </c>
    </row>
    <row r="2384" spans="1:11" x14ac:dyDescent="0.25">
      <c r="A2384" s="4">
        <v>43072</v>
      </c>
      <c r="B2384" s="3">
        <f>YEAR(SalesData[[#This Row],[Order Date]])</f>
        <v>2017</v>
      </c>
      <c r="C2384" s="3">
        <f>MONTH(SalesData[[#This Row],[Order Date]])</f>
        <v>12</v>
      </c>
      <c r="D2384" t="s">
        <v>50</v>
      </c>
      <c r="E2384" t="s">
        <v>34</v>
      </c>
      <c r="F2384" t="s">
        <v>27</v>
      </c>
      <c r="G2384" t="s">
        <v>32</v>
      </c>
      <c r="H2384" t="s">
        <v>33</v>
      </c>
      <c r="I2384" s="2">
        <v>4552.1000000000004</v>
      </c>
      <c r="J2384" s="3">
        <v>1</v>
      </c>
      <c r="K2384" s="2">
        <v>729.22</v>
      </c>
    </row>
    <row r="2385" spans="1:11" x14ac:dyDescent="0.25">
      <c r="A2385" s="4">
        <v>43074</v>
      </c>
      <c r="B2385" s="3">
        <f>YEAR(SalesData[[#This Row],[Order Date]])</f>
        <v>2017</v>
      </c>
      <c r="C2385" s="3">
        <f>MONTH(SalesData[[#This Row],[Order Date]])</f>
        <v>12</v>
      </c>
      <c r="D2385" t="s">
        <v>14</v>
      </c>
      <c r="E2385" t="s">
        <v>31</v>
      </c>
      <c r="F2385" t="s">
        <v>15</v>
      </c>
      <c r="G2385" t="s">
        <v>63</v>
      </c>
      <c r="H2385" t="s">
        <v>64</v>
      </c>
      <c r="I2385" s="2">
        <v>609.24</v>
      </c>
      <c r="J2385" s="3">
        <v>4</v>
      </c>
      <c r="K2385" s="2">
        <v>15.14</v>
      </c>
    </row>
    <row r="2386" spans="1:11" x14ac:dyDescent="0.25">
      <c r="A2386" s="4">
        <v>43074</v>
      </c>
      <c r="B2386" s="3">
        <f>YEAR(SalesData[[#This Row],[Order Date]])</f>
        <v>2017</v>
      </c>
      <c r="C2386" s="3">
        <f>MONTH(SalesData[[#This Row],[Order Date]])</f>
        <v>12</v>
      </c>
      <c r="D2386" t="s">
        <v>14</v>
      </c>
      <c r="E2386" t="s">
        <v>19</v>
      </c>
      <c r="F2386" t="s">
        <v>15</v>
      </c>
      <c r="G2386" t="s">
        <v>38</v>
      </c>
      <c r="H2386" t="s">
        <v>39</v>
      </c>
      <c r="I2386" s="2">
        <v>4254.46</v>
      </c>
      <c r="J2386" s="3">
        <v>10</v>
      </c>
      <c r="K2386" s="2">
        <v>372.19</v>
      </c>
    </row>
    <row r="2387" spans="1:11" x14ac:dyDescent="0.25">
      <c r="A2387" s="4">
        <v>43074</v>
      </c>
      <c r="B2387" s="3">
        <f>YEAR(SalesData[[#This Row],[Order Date]])</f>
        <v>2017</v>
      </c>
      <c r="C2387" s="3">
        <f>MONTH(SalesData[[#This Row],[Order Date]])</f>
        <v>12</v>
      </c>
      <c r="D2387" t="s">
        <v>68</v>
      </c>
      <c r="E2387" t="s">
        <v>37</v>
      </c>
      <c r="F2387" t="s">
        <v>15</v>
      </c>
      <c r="G2387" t="s">
        <v>45</v>
      </c>
      <c r="H2387" t="s">
        <v>59</v>
      </c>
      <c r="I2387" s="2">
        <v>3252.43</v>
      </c>
      <c r="J2387" s="3">
        <v>2</v>
      </c>
      <c r="K2387" s="2">
        <v>5.28</v>
      </c>
    </row>
    <row r="2388" spans="1:11" x14ac:dyDescent="0.25">
      <c r="A2388" s="4">
        <v>43075</v>
      </c>
      <c r="B2388" s="3">
        <f>YEAR(SalesData[[#This Row],[Order Date]])</f>
        <v>2017</v>
      </c>
      <c r="C2388" s="3">
        <f>MONTH(SalesData[[#This Row],[Order Date]])</f>
        <v>12</v>
      </c>
      <c r="D2388" t="s">
        <v>68</v>
      </c>
      <c r="E2388" t="s">
        <v>52</v>
      </c>
      <c r="F2388" t="s">
        <v>27</v>
      </c>
      <c r="G2388" t="s">
        <v>28</v>
      </c>
      <c r="H2388" t="s">
        <v>69</v>
      </c>
      <c r="I2388" s="2">
        <v>2178.3000000000002</v>
      </c>
      <c r="J2388" s="3">
        <v>8</v>
      </c>
      <c r="K2388" s="2">
        <v>11.03</v>
      </c>
    </row>
    <row r="2389" spans="1:11" x14ac:dyDescent="0.25">
      <c r="A2389" s="4">
        <v>43075</v>
      </c>
      <c r="B2389" s="3">
        <f>YEAR(SalesData[[#This Row],[Order Date]])</f>
        <v>2017</v>
      </c>
      <c r="C2389" s="3">
        <f>MONTH(SalesData[[#This Row],[Order Date]])</f>
        <v>12</v>
      </c>
      <c r="D2389" t="s">
        <v>14</v>
      </c>
      <c r="E2389" t="s">
        <v>52</v>
      </c>
      <c r="F2389" t="s">
        <v>27</v>
      </c>
      <c r="G2389" t="s">
        <v>28</v>
      </c>
      <c r="H2389" t="s">
        <v>69</v>
      </c>
      <c r="I2389" s="2">
        <v>4848.07</v>
      </c>
      <c r="J2389" s="3">
        <v>1</v>
      </c>
      <c r="K2389" s="2">
        <v>187.74</v>
      </c>
    </row>
    <row r="2390" spans="1:11" x14ac:dyDescent="0.25">
      <c r="A2390" s="4">
        <v>43076</v>
      </c>
      <c r="B2390" s="3">
        <f>YEAR(SalesData[[#This Row],[Order Date]])</f>
        <v>2017</v>
      </c>
      <c r="C2390" s="3">
        <f>MONTH(SalesData[[#This Row],[Order Date]])</f>
        <v>12</v>
      </c>
      <c r="D2390" t="s">
        <v>9</v>
      </c>
      <c r="E2390" t="s">
        <v>40</v>
      </c>
      <c r="F2390" t="s">
        <v>11</v>
      </c>
      <c r="G2390" t="s">
        <v>21</v>
      </c>
      <c r="H2390" t="s">
        <v>67</v>
      </c>
      <c r="I2390" s="2">
        <v>1984.02</v>
      </c>
      <c r="J2390" s="3">
        <v>2</v>
      </c>
      <c r="K2390" s="2">
        <v>64.900000000000006</v>
      </c>
    </row>
    <row r="2391" spans="1:11" x14ac:dyDescent="0.25">
      <c r="A2391" s="4">
        <v>43077</v>
      </c>
      <c r="B2391" s="3">
        <f>YEAR(SalesData[[#This Row],[Order Date]])</f>
        <v>2017</v>
      </c>
      <c r="C2391" s="3">
        <f>MONTH(SalesData[[#This Row],[Order Date]])</f>
        <v>12</v>
      </c>
      <c r="D2391" t="s">
        <v>9</v>
      </c>
      <c r="E2391" t="s">
        <v>19</v>
      </c>
      <c r="F2391" t="s">
        <v>27</v>
      </c>
      <c r="G2391" t="s">
        <v>48</v>
      </c>
      <c r="H2391" t="s">
        <v>49</v>
      </c>
      <c r="I2391" s="2">
        <v>3766.11</v>
      </c>
      <c r="J2391" s="3">
        <v>7</v>
      </c>
      <c r="K2391" s="2">
        <v>796</v>
      </c>
    </row>
    <row r="2392" spans="1:11" x14ac:dyDescent="0.25">
      <c r="A2392" s="4">
        <v>43078</v>
      </c>
      <c r="B2392" s="3">
        <f>YEAR(SalesData[[#This Row],[Order Date]])</f>
        <v>2017</v>
      </c>
      <c r="C2392" s="3">
        <f>MONTH(SalesData[[#This Row],[Order Date]])</f>
        <v>12</v>
      </c>
      <c r="D2392" t="s">
        <v>50</v>
      </c>
      <c r="E2392" t="s">
        <v>34</v>
      </c>
      <c r="F2392" t="s">
        <v>27</v>
      </c>
      <c r="G2392" t="s">
        <v>32</v>
      </c>
      <c r="H2392" t="s">
        <v>33</v>
      </c>
      <c r="I2392" s="2">
        <v>1796.7</v>
      </c>
      <c r="J2392" s="3">
        <v>2</v>
      </c>
      <c r="K2392" s="2">
        <v>18.37</v>
      </c>
    </row>
    <row r="2393" spans="1:11" x14ac:dyDescent="0.25">
      <c r="A2393" s="4">
        <v>43078</v>
      </c>
      <c r="B2393" s="3">
        <f>YEAR(SalesData[[#This Row],[Order Date]])</f>
        <v>2017</v>
      </c>
      <c r="C2393" s="3">
        <f>MONTH(SalesData[[#This Row],[Order Date]])</f>
        <v>12</v>
      </c>
      <c r="D2393" t="s">
        <v>47</v>
      </c>
      <c r="E2393" t="s">
        <v>26</v>
      </c>
      <c r="F2393" t="s">
        <v>15</v>
      </c>
      <c r="G2393" t="s">
        <v>45</v>
      </c>
      <c r="H2393" t="s">
        <v>59</v>
      </c>
      <c r="I2393" s="2">
        <v>3149.94</v>
      </c>
      <c r="J2393" s="3">
        <v>3</v>
      </c>
      <c r="K2393" s="2">
        <v>699.33</v>
      </c>
    </row>
    <row r="2394" spans="1:11" x14ac:dyDescent="0.25">
      <c r="A2394" s="4">
        <v>43078</v>
      </c>
      <c r="B2394" s="3">
        <f>YEAR(SalesData[[#This Row],[Order Date]])</f>
        <v>2017</v>
      </c>
      <c r="C2394" s="3">
        <f>MONTH(SalesData[[#This Row],[Order Date]])</f>
        <v>12</v>
      </c>
      <c r="D2394" t="s">
        <v>9</v>
      </c>
      <c r="E2394" t="s">
        <v>40</v>
      </c>
      <c r="F2394" t="s">
        <v>11</v>
      </c>
      <c r="G2394" t="s">
        <v>21</v>
      </c>
      <c r="H2394" t="s">
        <v>22</v>
      </c>
      <c r="I2394" s="2">
        <v>1286.76</v>
      </c>
      <c r="J2394" s="3">
        <v>2</v>
      </c>
      <c r="K2394" s="2">
        <v>274.29000000000002</v>
      </c>
    </row>
    <row r="2395" spans="1:11" x14ac:dyDescent="0.25">
      <c r="A2395" s="4">
        <v>43080</v>
      </c>
      <c r="B2395" s="3">
        <f>YEAR(SalesData[[#This Row],[Order Date]])</f>
        <v>2017</v>
      </c>
      <c r="C2395" s="3">
        <f>MONTH(SalesData[[#This Row],[Order Date]])</f>
        <v>12</v>
      </c>
      <c r="D2395" t="s">
        <v>20</v>
      </c>
      <c r="E2395" t="s">
        <v>26</v>
      </c>
      <c r="F2395" t="s">
        <v>15</v>
      </c>
      <c r="G2395" t="s">
        <v>45</v>
      </c>
      <c r="H2395" t="s">
        <v>59</v>
      </c>
      <c r="I2395" s="2">
        <v>3842.3</v>
      </c>
      <c r="J2395" s="3">
        <v>3</v>
      </c>
      <c r="K2395" s="2">
        <v>1058.21</v>
      </c>
    </row>
    <row r="2396" spans="1:11" x14ac:dyDescent="0.25">
      <c r="A2396" s="4">
        <v>43080</v>
      </c>
      <c r="B2396" s="3">
        <f>YEAR(SalesData[[#This Row],[Order Date]])</f>
        <v>2017</v>
      </c>
      <c r="C2396" s="3">
        <f>MONTH(SalesData[[#This Row],[Order Date]])</f>
        <v>12</v>
      </c>
      <c r="D2396" t="s">
        <v>9</v>
      </c>
      <c r="E2396" t="s">
        <v>26</v>
      </c>
      <c r="F2396" t="s">
        <v>11</v>
      </c>
      <c r="G2396" t="s">
        <v>12</v>
      </c>
      <c r="H2396" t="s">
        <v>13</v>
      </c>
      <c r="I2396" s="2">
        <v>2915.3</v>
      </c>
      <c r="J2396" s="3">
        <v>6</v>
      </c>
      <c r="K2396" s="2">
        <v>843.92</v>
      </c>
    </row>
    <row r="2397" spans="1:11" x14ac:dyDescent="0.25">
      <c r="A2397" s="4">
        <v>43081</v>
      </c>
      <c r="B2397" s="3">
        <f>YEAR(SalesData[[#This Row],[Order Date]])</f>
        <v>2017</v>
      </c>
      <c r="C2397" s="3">
        <f>MONTH(SalesData[[#This Row],[Order Date]])</f>
        <v>12</v>
      </c>
      <c r="D2397" t="s">
        <v>47</v>
      </c>
      <c r="E2397" t="s">
        <v>40</v>
      </c>
      <c r="F2397" t="s">
        <v>15</v>
      </c>
      <c r="G2397" t="s">
        <v>16</v>
      </c>
      <c r="H2397" t="s">
        <v>51</v>
      </c>
      <c r="I2397" s="2">
        <v>1993.75</v>
      </c>
      <c r="J2397" s="3">
        <v>3</v>
      </c>
      <c r="K2397" s="2">
        <v>206.78</v>
      </c>
    </row>
    <row r="2398" spans="1:11" x14ac:dyDescent="0.25">
      <c r="A2398" s="4">
        <v>43081</v>
      </c>
      <c r="B2398" s="3">
        <f>YEAR(SalesData[[#This Row],[Order Date]])</f>
        <v>2017</v>
      </c>
      <c r="C2398" s="3">
        <f>MONTH(SalesData[[#This Row],[Order Date]])</f>
        <v>12</v>
      </c>
      <c r="D2398" t="s">
        <v>43</v>
      </c>
      <c r="E2398" t="s">
        <v>40</v>
      </c>
      <c r="F2398" t="s">
        <v>15</v>
      </c>
      <c r="G2398" t="s">
        <v>41</v>
      </c>
      <c r="H2398" t="s">
        <v>61</v>
      </c>
      <c r="I2398" s="2">
        <v>3837.25</v>
      </c>
      <c r="J2398" s="3">
        <v>1</v>
      </c>
      <c r="K2398" s="2">
        <v>281.14</v>
      </c>
    </row>
    <row r="2399" spans="1:11" x14ac:dyDescent="0.25">
      <c r="A2399" s="4">
        <v>43082</v>
      </c>
      <c r="B2399" s="3">
        <f>YEAR(SalesData[[#This Row],[Order Date]])</f>
        <v>2017</v>
      </c>
      <c r="C2399" s="3">
        <f>MONTH(SalesData[[#This Row],[Order Date]])</f>
        <v>12</v>
      </c>
      <c r="D2399" t="s">
        <v>18</v>
      </c>
      <c r="E2399" t="s">
        <v>60</v>
      </c>
      <c r="F2399" t="s">
        <v>11</v>
      </c>
      <c r="G2399" t="s">
        <v>12</v>
      </c>
      <c r="H2399" t="s">
        <v>65</v>
      </c>
      <c r="I2399" s="2">
        <v>443.47</v>
      </c>
      <c r="J2399" s="3">
        <v>8</v>
      </c>
      <c r="K2399" s="2">
        <v>38.880000000000003</v>
      </c>
    </row>
    <row r="2400" spans="1:11" x14ac:dyDescent="0.25">
      <c r="A2400" s="4">
        <v>43082</v>
      </c>
      <c r="B2400" s="3">
        <f>YEAR(SalesData[[#This Row],[Order Date]])</f>
        <v>2017</v>
      </c>
      <c r="C2400" s="3">
        <f>MONTH(SalesData[[#This Row],[Order Date]])</f>
        <v>12</v>
      </c>
      <c r="D2400" t="s">
        <v>43</v>
      </c>
      <c r="E2400" t="s">
        <v>26</v>
      </c>
      <c r="F2400" t="s">
        <v>15</v>
      </c>
      <c r="G2400" t="s">
        <v>41</v>
      </c>
      <c r="H2400" t="s">
        <v>61</v>
      </c>
      <c r="I2400" s="2">
        <v>1446.2</v>
      </c>
      <c r="J2400" s="3">
        <v>7</v>
      </c>
      <c r="K2400" s="2">
        <v>57.09</v>
      </c>
    </row>
    <row r="2401" spans="1:11" x14ac:dyDescent="0.25">
      <c r="A2401" s="4">
        <v>43083</v>
      </c>
      <c r="B2401" s="3">
        <f>YEAR(SalesData[[#This Row],[Order Date]])</f>
        <v>2017</v>
      </c>
      <c r="C2401" s="3">
        <f>MONTH(SalesData[[#This Row],[Order Date]])</f>
        <v>12</v>
      </c>
      <c r="D2401" t="s">
        <v>18</v>
      </c>
      <c r="E2401" t="s">
        <v>37</v>
      </c>
      <c r="F2401" t="s">
        <v>15</v>
      </c>
      <c r="G2401" t="s">
        <v>16</v>
      </c>
      <c r="H2401" t="s">
        <v>51</v>
      </c>
      <c r="I2401" s="2">
        <v>2503.67</v>
      </c>
      <c r="J2401" s="3">
        <v>6</v>
      </c>
      <c r="K2401" s="2">
        <v>624.32000000000005</v>
      </c>
    </row>
    <row r="2402" spans="1:11" x14ac:dyDescent="0.25">
      <c r="A2402" s="4">
        <v>43083</v>
      </c>
      <c r="B2402" s="3">
        <f>YEAR(SalesData[[#This Row],[Order Date]])</f>
        <v>2017</v>
      </c>
      <c r="C2402" s="3">
        <f>MONTH(SalesData[[#This Row],[Order Date]])</f>
        <v>12</v>
      </c>
      <c r="D2402" t="s">
        <v>47</v>
      </c>
      <c r="E2402" t="s">
        <v>52</v>
      </c>
      <c r="F2402" t="s">
        <v>11</v>
      </c>
      <c r="G2402" t="s">
        <v>21</v>
      </c>
      <c r="H2402" t="s">
        <v>67</v>
      </c>
      <c r="I2402" s="2">
        <v>4240.2700000000004</v>
      </c>
      <c r="J2402" s="3">
        <v>9</v>
      </c>
      <c r="K2402" s="2">
        <v>811.48</v>
      </c>
    </row>
    <row r="2403" spans="1:11" x14ac:dyDescent="0.25">
      <c r="A2403" s="4">
        <v>43084</v>
      </c>
      <c r="B2403" s="3">
        <f>YEAR(SalesData[[#This Row],[Order Date]])</f>
        <v>2017</v>
      </c>
      <c r="C2403" s="3">
        <f>MONTH(SalesData[[#This Row],[Order Date]])</f>
        <v>12</v>
      </c>
      <c r="D2403" t="s">
        <v>9</v>
      </c>
      <c r="E2403" t="s">
        <v>19</v>
      </c>
      <c r="F2403" t="s">
        <v>11</v>
      </c>
      <c r="G2403" t="s">
        <v>24</v>
      </c>
      <c r="H2403" t="s">
        <v>54</v>
      </c>
      <c r="I2403" s="2">
        <v>2102.6799999999998</v>
      </c>
      <c r="J2403" s="3">
        <v>8</v>
      </c>
      <c r="K2403" s="2">
        <v>251.15</v>
      </c>
    </row>
    <row r="2404" spans="1:11" x14ac:dyDescent="0.25">
      <c r="A2404" s="4">
        <v>43084</v>
      </c>
      <c r="B2404" s="3">
        <f>YEAR(SalesData[[#This Row],[Order Date]])</f>
        <v>2017</v>
      </c>
      <c r="C2404" s="3">
        <f>MONTH(SalesData[[#This Row],[Order Date]])</f>
        <v>12</v>
      </c>
      <c r="D2404" t="s">
        <v>9</v>
      </c>
      <c r="E2404" t="s">
        <v>37</v>
      </c>
      <c r="F2404" t="s">
        <v>27</v>
      </c>
      <c r="G2404" t="s">
        <v>48</v>
      </c>
      <c r="H2404" t="s">
        <v>49</v>
      </c>
      <c r="I2404" s="2">
        <v>4179.9799999999996</v>
      </c>
      <c r="J2404" s="3">
        <v>1</v>
      </c>
      <c r="K2404" s="2">
        <v>391.83</v>
      </c>
    </row>
    <row r="2405" spans="1:11" x14ac:dyDescent="0.25">
      <c r="A2405" s="4">
        <v>43085</v>
      </c>
      <c r="B2405" s="3">
        <f>YEAR(SalesData[[#This Row],[Order Date]])</f>
        <v>2017</v>
      </c>
      <c r="C2405" s="3">
        <f>MONTH(SalesData[[#This Row],[Order Date]])</f>
        <v>12</v>
      </c>
      <c r="D2405" t="s">
        <v>20</v>
      </c>
      <c r="E2405" t="s">
        <v>60</v>
      </c>
      <c r="F2405" t="s">
        <v>15</v>
      </c>
      <c r="G2405" t="s">
        <v>41</v>
      </c>
      <c r="H2405" t="s">
        <v>42</v>
      </c>
      <c r="I2405" s="2">
        <v>399.95</v>
      </c>
      <c r="J2405" s="3">
        <v>7</v>
      </c>
      <c r="K2405" s="2">
        <v>43</v>
      </c>
    </row>
    <row r="2406" spans="1:11" x14ac:dyDescent="0.25">
      <c r="A2406" s="4">
        <v>43087</v>
      </c>
      <c r="B2406" s="3">
        <f>YEAR(SalesData[[#This Row],[Order Date]])</f>
        <v>2017</v>
      </c>
      <c r="C2406" s="3">
        <f>MONTH(SalesData[[#This Row],[Order Date]])</f>
        <v>12</v>
      </c>
      <c r="D2406" t="s">
        <v>62</v>
      </c>
      <c r="E2406" t="s">
        <v>37</v>
      </c>
      <c r="F2406" t="s">
        <v>27</v>
      </c>
      <c r="G2406" t="s">
        <v>48</v>
      </c>
      <c r="H2406" t="s">
        <v>57</v>
      </c>
      <c r="I2406" s="2">
        <v>615.95000000000005</v>
      </c>
      <c r="J2406" s="3">
        <v>9</v>
      </c>
      <c r="K2406" s="2">
        <v>136.97999999999999</v>
      </c>
    </row>
    <row r="2407" spans="1:11" x14ac:dyDescent="0.25">
      <c r="A2407" s="4">
        <v>43087</v>
      </c>
      <c r="B2407" s="3">
        <f>YEAR(SalesData[[#This Row],[Order Date]])</f>
        <v>2017</v>
      </c>
      <c r="C2407" s="3">
        <f>MONTH(SalesData[[#This Row],[Order Date]])</f>
        <v>12</v>
      </c>
      <c r="D2407" t="s">
        <v>68</v>
      </c>
      <c r="E2407" t="s">
        <v>40</v>
      </c>
      <c r="F2407" t="s">
        <v>15</v>
      </c>
      <c r="G2407" t="s">
        <v>45</v>
      </c>
      <c r="H2407" t="s">
        <v>46</v>
      </c>
      <c r="I2407" s="2">
        <v>3828.96</v>
      </c>
      <c r="J2407" s="3">
        <v>6</v>
      </c>
      <c r="K2407" s="2">
        <v>375.52</v>
      </c>
    </row>
    <row r="2408" spans="1:11" x14ac:dyDescent="0.25">
      <c r="A2408" s="4">
        <v>43087</v>
      </c>
      <c r="B2408" s="3">
        <f>YEAR(SalesData[[#This Row],[Order Date]])</f>
        <v>2017</v>
      </c>
      <c r="C2408" s="3">
        <f>MONTH(SalesData[[#This Row],[Order Date]])</f>
        <v>12</v>
      </c>
      <c r="D2408" t="s">
        <v>23</v>
      </c>
      <c r="E2408" t="s">
        <v>52</v>
      </c>
      <c r="F2408" t="s">
        <v>27</v>
      </c>
      <c r="G2408" t="s">
        <v>32</v>
      </c>
      <c r="H2408" t="s">
        <v>33</v>
      </c>
      <c r="I2408" s="2">
        <v>3165.79</v>
      </c>
      <c r="J2408" s="3">
        <v>7</v>
      </c>
      <c r="K2408" s="2">
        <v>580.03</v>
      </c>
    </row>
    <row r="2409" spans="1:11" x14ac:dyDescent="0.25">
      <c r="A2409" s="4">
        <v>43088</v>
      </c>
      <c r="B2409" s="3">
        <f>YEAR(SalesData[[#This Row],[Order Date]])</f>
        <v>2017</v>
      </c>
      <c r="C2409" s="3">
        <f>MONTH(SalesData[[#This Row],[Order Date]])</f>
        <v>12</v>
      </c>
      <c r="D2409" t="s">
        <v>62</v>
      </c>
      <c r="E2409" t="s">
        <v>26</v>
      </c>
      <c r="F2409" t="s">
        <v>27</v>
      </c>
      <c r="G2409" t="s">
        <v>32</v>
      </c>
      <c r="H2409" t="s">
        <v>33</v>
      </c>
      <c r="I2409" s="2">
        <v>804.62</v>
      </c>
      <c r="J2409" s="3">
        <v>9</v>
      </c>
      <c r="K2409" s="2">
        <v>221.03</v>
      </c>
    </row>
    <row r="2410" spans="1:11" x14ac:dyDescent="0.25">
      <c r="A2410" s="4">
        <v>43088</v>
      </c>
      <c r="B2410" s="3">
        <f>YEAR(SalesData[[#This Row],[Order Date]])</f>
        <v>2017</v>
      </c>
      <c r="C2410" s="3">
        <f>MONTH(SalesData[[#This Row],[Order Date]])</f>
        <v>12</v>
      </c>
      <c r="D2410" t="s">
        <v>14</v>
      </c>
      <c r="E2410" t="s">
        <v>10</v>
      </c>
      <c r="F2410" t="s">
        <v>15</v>
      </c>
      <c r="G2410" t="s">
        <v>16</v>
      </c>
      <c r="H2410" t="s">
        <v>17</v>
      </c>
      <c r="I2410" s="2">
        <v>417.03</v>
      </c>
      <c r="J2410" s="3">
        <v>2</v>
      </c>
      <c r="K2410" s="2">
        <v>62.49</v>
      </c>
    </row>
    <row r="2411" spans="1:11" x14ac:dyDescent="0.25">
      <c r="A2411" s="4">
        <v>43088</v>
      </c>
      <c r="B2411" s="3">
        <f>YEAR(SalesData[[#This Row],[Order Date]])</f>
        <v>2017</v>
      </c>
      <c r="C2411" s="3">
        <f>MONTH(SalesData[[#This Row],[Order Date]])</f>
        <v>12</v>
      </c>
      <c r="D2411" t="s">
        <v>30</v>
      </c>
      <c r="E2411" t="s">
        <v>44</v>
      </c>
      <c r="F2411" t="s">
        <v>15</v>
      </c>
      <c r="G2411" t="s">
        <v>63</v>
      </c>
      <c r="H2411" t="s">
        <v>66</v>
      </c>
      <c r="I2411" s="2">
        <v>311.11</v>
      </c>
      <c r="J2411" s="3">
        <v>4</v>
      </c>
      <c r="K2411" s="2">
        <v>12.51</v>
      </c>
    </row>
    <row r="2412" spans="1:11" x14ac:dyDescent="0.25">
      <c r="A2412" s="4">
        <v>43088</v>
      </c>
      <c r="B2412" s="3">
        <f>YEAR(SalesData[[#This Row],[Order Date]])</f>
        <v>2017</v>
      </c>
      <c r="C2412" s="3">
        <f>MONTH(SalesData[[#This Row],[Order Date]])</f>
        <v>12</v>
      </c>
      <c r="D2412" t="s">
        <v>18</v>
      </c>
      <c r="E2412" t="s">
        <v>52</v>
      </c>
      <c r="F2412" t="s">
        <v>15</v>
      </c>
      <c r="G2412" t="s">
        <v>45</v>
      </c>
      <c r="H2412" t="s">
        <v>46</v>
      </c>
      <c r="I2412" s="2">
        <v>3402.93</v>
      </c>
      <c r="J2412" s="3">
        <v>10</v>
      </c>
      <c r="K2412" s="2">
        <v>445.21</v>
      </c>
    </row>
    <row r="2413" spans="1:11" x14ac:dyDescent="0.25">
      <c r="A2413" s="4">
        <v>43089</v>
      </c>
      <c r="B2413" s="3">
        <f>YEAR(SalesData[[#This Row],[Order Date]])</f>
        <v>2017</v>
      </c>
      <c r="C2413" s="3">
        <f>MONTH(SalesData[[#This Row],[Order Date]])</f>
        <v>12</v>
      </c>
      <c r="D2413" t="s">
        <v>30</v>
      </c>
      <c r="E2413" t="s">
        <v>60</v>
      </c>
      <c r="F2413" t="s">
        <v>11</v>
      </c>
      <c r="G2413" t="s">
        <v>24</v>
      </c>
      <c r="H2413" t="s">
        <v>54</v>
      </c>
      <c r="I2413" s="2">
        <v>3230.79</v>
      </c>
      <c r="J2413" s="3">
        <v>5</v>
      </c>
      <c r="K2413" s="2">
        <v>591.64</v>
      </c>
    </row>
    <row r="2414" spans="1:11" x14ac:dyDescent="0.25">
      <c r="A2414" s="4">
        <v>43089</v>
      </c>
      <c r="B2414" s="3">
        <f>YEAR(SalesData[[#This Row],[Order Date]])</f>
        <v>2017</v>
      </c>
      <c r="C2414" s="3">
        <f>MONTH(SalesData[[#This Row],[Order Date]])</f>
        <v>12</v>
      </c>
      <c r="D2414" t="s">
        <v>43</v>
      </c>
      <c r="E2414" t="s">
        <v>44</v>
      </c>
      <c r="F2414" t="s">
        <v>27</v>
      </c>
      <c r="G2414" t="s">
        <v>28</v>
      </c>
      <c r="H2414" t="s">
        <v>69</v>
      </c>
      <c r="I2414" s="2">
        <v>4924.91</v>
      </c>
      <c r="J2414" s="3">
        <v>4</v>
      </c>
      <c r="K2414" s="2">
        <v>1308.6500000000001</v>
      </c>
    </row>
    <row r="2415" spans="1:11" x14ac:dyDescent="0.25">
      <c r="A2415" s="4">
        <v>43089</v>
      </c>
      <c r="B2415" s="3">
        <f>YEAR(SalesData[[#This Row],[Order Date]])</f>
        <v>2017</v>
      </c>
      <c r="C2415" s="3">
        <f>MONTH(SalesData[[#This Row],[Order Date]])</f>
        <v>12</v>
      </c>
      <c r="D2415" t="s">
        <v>43</v>
      </c>
      <c r="E2415" t="s">
        <v>37</v>
      </c>
      <c r="F2415" t="s">
        <v>27</v>
      </c>
      <c r="G2415" t="s">
        <v>32</v>
      </c>
      <c r="H2415" t="s">
        <v>33</v>
      </c>
      <c r="I2415" s="2">
        <v>2326.8000000000002</v>
      </c>
      <c r="J2415" s="3">
        <v>5</v>
      </c>
      <c r="K2415" s="2">
        <v>547.91</v>
      </c>
    </row>
    <row r="2416" spans="1:11" x14ac:dyDescent="0.25">
      <c r="A2416" s="4">
        <v>43090</v>
      </c>
      <c r="B2416" s="3">
        <f>YEAR(SalesData[[#This Row],[Order Date]])</f>
        <v>2017</v>
      </c>
      <c r="C2416" s="3">
        <f>MONTH(SalesData[[#This Row],[Order Date]])</f>
        <v>12</v>
      </c>
      <c r="D2416" t="s">
        <v>20</v>
      </c>
      <c r="E2416" t="s">
        <v>37</v>
      </c>
      <c r="F2416" t="s">
        <v>15</v>
      </c>
      <c r="G2416" t="s">
        <v>38</v>
      </c>
      <c r="H2416" t="s">
        <v>39</v>
      </c>
      <c r="I2416" s="2">
        <v>885.91</v>
      </c>
      <c r="J2416" s="3">
        <v>7</v>
      </c>
      <c r="K2416" s="2">
        <v>140.24</v>
      </c>
    </row>
    <row r="2417" spans="1:11" x14ac:dyDescent="0.25">
      <c r="A2417" s="4">
        <v>43090</v>
      </c>
      <c r="B2417" s="3">
        <f>YEAR(SalesData[[#This Row],[Order Date]])</f>
        <v>2017</v>
      </c>
      <c r="C2417" s="3">
        <f>MONTH(SalesData[[#This Row],[Order Date]])</f>
        <v>12</v>
      </c>
      <c r="D2417" t="s">
        <v>50</v>
      </c>
      <c r="E2417" t="s">
        <v>44</v>
      </c>
      <c r="F2417" t="s">
        <v>11</v>
      </c>
      <c r="G2417" t="s">
        <v>12</v>
      </c>
      <c r="H2417" t="s">
        <v>65</v>
      </c>
      <c r="I2417" s="2">
        <v>2245.8200000000002</v>
      </c>
      <c r="J2417" s="3">
        <v>1</v>
      </c>
      <c r="K2417" s="2">
        <v>470.79</v>
      </c>
    </row>
    <row r="2418" spans="1:11" x14ac:dyDescent="0.25">
      <c r="A2418" s="4">
        <v>43091</v>
      </c>
      <c r="B2418" s="3">
        <f>YEAR(SalesData[[#This Row],[Order Date]])</f>
        <v>2017</v>
      </c>
      <c r="C2418" s="3">
        <f>MONTH(SalesData[[#This Row],[Order Date]])</f>
        <v>12</v>
      </c>
      <c r="D2418" t="s">
        <v>9</v>
      </c>
      <c r="E2418" t="s">
        <v>19</v>
      </c>
      <c r="F2418" t="s">
        <v>11</v>
      </c>
      <c r="G2418" t="s">
        <v>24</v>
      </c>
      <c r="H2418" t="s">
        <v>54</v>
      </c>
      <c r="I2418" s="2">
        <v>1529.47</v>
      </c>
      <c r="J2418" s="3">
        <v>10</v>
      </c>
      <c r="K2418" s="2">
        <v>116.48</v>
      </c>
    </row>
    <row r="2419" spans="1:11" x14ac:dyDescent="0.25">
      <c r="A2419" s="4">
        <v>43091</v>
      </c>
      <c r="B2419" s="3">
        <f>YEAR(SalesData[[#This Row],[Order Date]])</f>
        <v>2017</v>
      </c>
      <c r="C2419" s="3">
        <f>MONTH(SalesData[[#This Row],[Order Date]])</f>
        <v>12</v>
      </c>
      <c r="D2419" t="s">
        <v>68</v>
      </c>
      <c r="E2419" t="s">
        <v>40</v>
      </c>
      <c r="F2419" t="s">
        <v>27</v>
      </c>
      <c r="G2419" t="s">
        <v>32</v>
      </c>
      <c r="H2419" t="s">
        <v>53</v>
      </c>
      <c r="I2419" s="2">
        <v>2837.49</v>
      </c>
      <c r="J2419" s="3">
        <v>2</v>
      </c>
      <c r="K2419" s="2">
        <v>104.25</v>
      </c>
    </row>
    <row r="2420" spans="1:11" x14ac:dyDescent="0.25">
      <c r="A2420" s="4">
        <v>43091</v>
      </c>
      <c r="B2420" s="3">
        <f>YEAR(SalesData[[#This Row],[Order Date]])</f>
        <v>2017</v>
      </c>
      <c r="C2420" s="3">
        <f>MONTH(SalesData[[#This Row],[Order Date]])</f>
        <v>12</v>
      </c>
      <c r="D2420" t="s">
        <v>62</v>
      </c>
      <c r="E2420" t="s">
        <v>34</v>
      </c>
      <c r="F2420" t="s">
        <v>11</v>
      </c>
      <c r="G2420" t="s">
        <v>21</v>
      </c>
      <c r="H2420" t="s">
        <v>67</v>
      </c>
      <c r="I2420" s="2">
        <v>1066.2</v>
      </c>
      <c r="J2420" s="3">
        <v>7</v>
      </c>
      <c r="K2420" s="2">
        <v>175.69</v>
      </c>
    </row>
    <row r="2421" spans="1:11" x14ac:dyDescent="0.25">
      <c r="A2421" s="4">
        <v>43092</v>
      </c>
      <c r="B2421" s="3">
        <f>YEAR(SalesData[[#This Row],[Order Date]])</f>
        <v>2017</v>
      </c>
      <c r="C2421" s="3">
        <f>MONTH(SalesData[[#This Row],[Order Date]])</f>
        <v>12</v>
      </c>
      <c r="D2421" t="s">
        <v>68</v>
      </c>
      <c r="E2421" t="s">
        <v>31</v>
      </c>
      <c r="F2421" t="s">
        <v>15</v>
      </c>
      <c r="G2421" t="s">
        <v>63</v>
      </c>
      <c r="H2421" t="s">
        <v>66</v>
      </c>
      <c r="I2421" s="2">
        <v>4690.43</v>
      </c>
      <c r="J2421" s="3">
        <v>5</v>
      </c>
      <c r="K2421" s="2">
        <v>193.38</v>
      </c>
    </row>
    <row r="2422" spans="1:11" x14ac:dyDescent="0.25">
      <c r="A2422" s="4">
        <v>43093</v>
      </c>
      <c r="B2422" s="3">
        <f>YEAR(SalesData[[#This Row],[Order Date]])</f>
        <v>2017</v>
      </c>
      <c r="C2422" s="3">
        <f>MONTH(SalesData[[#This Row],[Order Date]])</f>
        <v>12</v>
      </c>
      <c r="D2422" t="s">
        <v>14</v>
      </c>
      <c r="E2422" t="s">
        <v>37</v>
      </c>
      <c r="F2422" t="s">
        <v>15</v>
      </c>
      <c r="G2422" t="s">
        <v>41</v>
      </c>
      <c r="H2422" t="s">
        <v>42</v>
      </c>
      <c r="I2422" s="2">
        <v>4848.63</v>
      </c>
      <c r="J2422" s="3">
        <v>8</v>
      </c>
      <c r="K2422" s="2">
        <v>175.96</v>
      </c>
    </row>
    <row r="2423" spans="1:11" x14ac:dyDescent="0.25">
      <c r="A2423" s="4">
        <v>43093</v>
      </c>
      <c r="B2423" s="3">
        <f>YEAR(SalesData[[#This Row],[Order Date]])</f>
        <v>2017</v>
      </c>
      <c r="C2423" s="3">
        <f>MONTH(SalesData[[#This Row],[Order Date]])</f>
        <v>12</v>
      </c>
      <c r="D2423" t="s">
        <v>50</v>
      </c>
      <c r="E2423" t="s">
        <v>10</v>
      </c>
      <c r="F2423" t="s">
        <v>15</v>
      </c>
      <c r="G2423" t="s">
        <v>45</v>
      </c>
      <c r="H2423" t="s">
        <v>59</v>
      </c>
      <c r="I2423" s="2">
        <v>704.79</v>
      </c>
      <c r="J2423" s="3">
        <v>10</v>
      </c>
      <c r="K2423" s="2">
        <v>72.83</v>
      </c>
    </row>
    <row r="2424" spans="1:11" x14ac:dyDescent="0.25">
      <c r="A2424" s="4">
        <v>43094</v>
      </c>
      <c r="B2424" s="3">
        <f>YEAR(SalesData[[#This Row],[Order Date]])</f>
        <v>2017</v>
      </c>
      <c r="C2424" s="3">
        <f>MONTH(SalesData[[#This Row],[Order Date]])</f>
        <v>12</v>
      </c>
      <c r="D2424" t="s">
        <v>62</v>
      </c>
      <c r="E2424" t="s">
        <v>19</v>
      </c>
      <c r="F2424" t="s">
        <v>11</v>
      </c>
      <c r="G2424" t="s">
        <v>24</v>
      </c>
      <c r="H2424" t="s">
        <v>54</v>
      </c>
      <c r="I2424" s="2">
        <v>1333.33</v>
      </c>
      <c r="J2424" s="3">
        <v>5</v>
      </c>
      <c r="K2424" s="2">
        <v>300.01</v>
      </c>
    </row>
    <row r="2425" spans="1:11" x14ac:dyDescent="0.25">
      <c r="A2425" s="4">
        <v>43095</v>
      </c>
      <c r="B2425" s="3">
        <f>YEAR(SalesData[[#This Row],[Order Date]])</f>
        <v>2017</v>
      </c>
      <c r="C2425" s="3">
        <f>MONTH(SalesData[[#This Row],[Order Date]])</f>
        <v>12</v>
      </c>
      <c r="D2425" t="s">
        <v>43</v>
      </c>
      <c r="E2425" t="s">
        <v>60</v>
      </c>
      <c r="F2425" t="s">
        <v>11</v>
      </c>
      <c r="G2425" t="s">
        <v>21</v>
      </c>
      <c r="H2425" t="s">
        <v>67</v>
      </c>
      <c r="I2425" s="2">
        <v>4172.28</v>
      </c>
      <c r="J2425" s="3">
        <v>1</v>
      </c>
      <c r="K2425" s="2">
        <v>893.59</v>
      </c>
    </row>
    <row r="2426" spans="1:11" x14ac:dyDescent="0.25">
      <c r="A2426" s="4">
        <v>43095</v>
      </c>
      <c r="B2426" s="3">
        <f>YEAR(SalesData[[#This Row],[Order Date]])</f>
        <v>2017</v>
      </c>
      <c r="C2426" s="3">
        <f>MONTH(SalesData[[#This Row],[Order Date]])</f>
        <v>12</v>
      </c>
      <c r="D2426" t="s">
        <v>23</v>
      </c>
      <c r="E2426" t="s">
        <v>40</v>
      </c>
      <c r="F2426" t="s">
        <v>27</v>
      </c>
      <c r="G2426" t="s">
        <v>28</v>
      </c>
      <c r="H2426" t="s">
        <v>29</v>
      </c>
      <c r="I2426" s="2">
        <v>3016.24</v>
      </c>
      <c r="J2426" s="3">
        <v>1</v>
      </c>
      <c r="K2426" s="2">
        <v>607.80999999999995</v>
      </c>
    </row>
    <row r="2427" spans="1:11" x14ac:dyDescent="0.25">
      <c r="A2427" s="4">
        <v>43095</v>
      </c>
      <c r="B2427" s="3">
        <f>YEAR(SalesData[[#This Row],[Order Date]])</f>
        <v>2017</v>
      </c>
      <c r="C2427" s="3">
        <f>MONTH(SalesData[[#This Row],[Order Date]])</f>
        <v>12</v>
      </c>
      <c r="D2427" t="s">
        <v>23</v>
      </c>
      <c r="E2427" t="s">
        <v>26</v>
      </c>
      <c r="F2427" t="s">
        <v>27</v>
      </c>
      <c r="G2427" t="s">
        <v>28</v>
      </c>
      <c r="H2427" t="s">
        <v>29</v>
      </c>
      <c r="I2427" s="2">
        <v>1325.35</v>
      </c>
      <c r="J2427" s="3">
        <v>7</v>
      </c>
      <c r="K2427" s="2">
        <v>373.65</v>
      </c>
    </row>
    <row r="2428" spans="1:11" x14ac:dyDescent="0.25">
      <c r="A2428" s="4">
        <v>43096</v>
      </c>
      <c r="B2428" s="3">
        <f>YEAR(SalesData[[#This Row],[Order Date]])</f>
        <v>2017</v>
      </c>
      <c r="C2428" s="3">
        <f>MONTH(SalesData[[#This Row],[Order Date]])</f>
        <v>12</v>
      </c>
      <c r="D2428" t="s">
        <v>68</v>
      </c>
      <c r="E2428" t="s">
        <v>60</v>
      </c>
      <c r="F2428" t="s">
        <v>11</v>
      </c>
      <c r="G2428" t="s">
        <v>24</v>
      </c>
      <c r="H2428" t="s">
        <v>54</v>
      </c>
      <c r="I2428" s="2">
        <v>4431.07</v>
      </c>
      <c r="J2428" s="3">
        <v>9</v>
      </c>
      <c r="K2428" s="2">
        <v>557.29999999999995</v>
      </c>
    </row>
    <row r="2429" spans="1:11" x14ac:dyDescent="0.25">
      <c r="A2429" s="4">
        <v>43096</v>
      </c>
      <c r="B2429" s="3">
        <f>YEAR(SalesData[[#This Row],[Order Date]])</f>
        <v>2017</v>
      </c>
      <c r="C2429" s="3">
        <f>MONTH(SalesData[[#This Row],[Order Date]])</f>
        <v>12</v>
      </c>
      <c r="D2429" t="s">
        <v>62</v>
      </c>
      <c r="E2429" t="s">
        <v>26</v>
      </c>
      <c r="F2429" t="s">
        <v>11</v>
      </c>
      <c r="G2429" t="s">
        <v>21</v>
      </c>
      <c r="H2429" t="s">
        <v>67</v>
      </c>
      <c r="I2429" s="2">
        <v>1802.84</v>
      </c>
      <c r="J2429" s="3">
        <v>1</v>
      </c>
      <c r="K2429" s="2">
        <v>318.68</v>
      </c>
    </row>
    <row r="2430" spans="1:11" x14ac:dyDescent="0.25">
      <c r="A2430" s="4">
        <v>43096</v>
      </c>
      <c r="B2430" s="3">
        <f>YEAR(SalesData[[#This Row],[Order Date]])</f>
        <v>2017</v>
      </c>
      <c r="C2430" s="3">
        <f>MONTH(SalesData[[#This Row],[Order Date]])</f>
        <v>12</v>
      </c>
      <c r="D2430" t="s">
        <v>47</v>
      </c>
      <c r="E2430" t="s">
        <v>19</v>
      </c>
      <c r="F2430" t="s">
        <v>27</v>
      </c>
      <c r="G2430" t="s">
        <v>32</v>
      </c>
      <c r="H2430" t="s">
        <v>53</v>
      </c>
      <c r="I2430" s="2">
        <v>3890.33</v>
      </c>
      <c r="J2430" s="3">
        <v>9</v>
      </c>
      <c r="K2430" s="2">
        <v>146.16</v>
      </c>
    </row>
    <row r="2431" spans="1:11" x14ac:dyDescent="0.25">
      <c r="A2431" s="4">
        <v>43096</v>
      </c>
      <c r="B2431" s="3">
        <f>YEAR(SalesData[[#This Row],[Order Date]])</f>
        <v>2017</v>
      </c>
      <c r="C2431" s="3">
        <f>MONTH(SalesData[[#This Row],[Order Date]])</f>
        <v>12</v>
      </c>
      <c r="D2431" t="s">
        <v>20</v>
      </c>
      <c r="E2431" t="s">
        <v>31</v>
      </c>
      <c r="F2431" t="s">
        <v>15</v>
      </c>
      <c r="G2431" t="s">
        <v>45</v>
      </c>
      <c r="H2431" t="s">
        <v>46</v>
      </c>
      <c r="I2431" s="2">
        <v>3457.93</v>
      </c>
      <c r="J2431" s="3">
        <v>3</v>
      </c>
      <c r="K2431" s="2">
        <v>623.91999999999996</v>
      </c>
    </row>
    <row r="2432" spans="1:11" x14ac:dyDescent="0.25">
      <c r="A2432" s="4">
        <v>43097</v>
      </c>
      <c r="B2432" s="3">
        <f>YEAR(SalesData[[#This Row],[Order Date]])</f>
        <v>2017</v>
      </c>
      <c r="C2432" s="3">
        <f>MONTH(SalesData[[#This Row],[Order Date]])</f>
        <v>12</v>
      </c>
      <c r="D2432" t="s">
        <v>23</v>
      </c>
      <c r="E2432" t="s">
        <v>31</v>
      </c>
      <c r="F2432" t="s">
        <v>15</v>
      </c>
      <c r="G2432" t="s">
        <v>45</v>
      </c>
      <c r="H2432" t="s">
        <v>46</v>
      </c>
      <c r="I2432" s="2">
        <v>4230.29</v>
      </c>
      <c r="J2432" s="3">
        <v>4</v>
      </c>
      <c r="K2432" s="2">
        <v>474.78</v>
      </c>
    </row>
    <row r="2433" spans="1:11" x14ac:dyDescent="0.25">
      <c r="A2433" s="4">
        <v>43097</v>
      </c>
      <c r="B2433" s="3">
        <f>YEAR(SalesData[[#This Row],[Order Date]])</f>
        <v>2017</v>
      </c>
      <c r="C2433" s="3">
        <f>MONTH(SalesData[[#This Row],[Order Date]])</f>
        <v>12</v>
      </c>
      <c r="D2433" t="s">
        <v>20</v>
      </c>
      <c r="E2433" t="s">
        <v>10</v>
      </c>
      <c r="F2433" t="s">
        <v>27</v>
      </c>
      <c r="G2433" t="s">
        <v>28</v>
      </c>
      <c r="H2433" t="s">
        <v>29</v>
      </c>
      <c r="I2433" s="2">
        <v>4968.22</v>
      </c>
      <c r="J2433" s="3">
        <v>10</v>
      </c>
      <c r="K2433" s="2">
        <v>577.70000000000005</v>
      </c>
    </row>
    <row r="2434" spans="1:11" x14ac:dyDescent="0.25">
      <c r="A2434" s="4">
        <v>43097</v>
      </c>
      <c r="B2434" s="3">
        <f>YEAR(SalesData[[#This Row],[Order Date]])</f>
        <v>2017</v>
      </c>
      <c r="C2434" s="3">
        <f>MONTH(SalesData[[#This Row],[Order Date]])</f>
        <v>12</v>
      </c>
      <c r="D2434" t="s">
        <v>9</v>
      </c>
      <c r="E2434" t="s">
        <v>34</v>
      </c>
      <c r="F2434" t="s">
        <v>27</v>
      </c>
      <c r="G2434" t="s">
        <v>28</v>
      </c>
      <c r="H2434" t="s">
        <v>58</v>
      </c>
      <c r="I2434" s="2">
        <v>4658.09</v>
      </c>
      <c r="J2434" s="3">
        <v>1</v>
      </c>
      <c r="K2434" s="2">
        <v>405.93</v>
      </c>
    </row>
    <row r="2435" spans="1:11" x14ac:dyDescent="0.25">
      <c r="A2435" s="4">
        <v>43097</v>
      </c>
      <c r="B2435" s="3">
        <f>YEAR(SalesData[[#This Row],[Order Date]])</f>
        <v>2017</v>
      </c>
      <c r="C2435" s="3">
        <f>MONTH(SalesData[[#This Row],[Order Date]])</f>
        <v>12</v>
      </c>
      <c r="D2435" t="s">
        <v>9</v>
      </c>
      <c r="E2435" t="s">
        <v>10</v>
      </c>
      <c r="F2435" t="s">
        <v>15</v>
      </c>
      <c r="G2435" t="s">
        <v>63</v>
      </c>
      <c r="H2435" t="s">
        <v>66</v>
      </c>
      <c r="I2435" s="2">
        <v>4564.66</v>
      </c>
      <c r="J2435" s="3">
        <v>4</v>
      </c>
      <c r="K2435" s="2">
        <v>1062.26</v>
      </c>
    </row>
    <row r="2436" spans="1:11" x14ac:dyDescent="0.25">
      <c r="A2436" s="4">
        <v>43098</v>
      </c>
      <c r="B2436" s="3">
        <f>YEAR(SalesData[[#This Row],[Order Date]])</f>
        <v>2017</v>
      </c>
      <c r="C2436" s="3">
        <f>MONTH(SalesData[[#This Row],[Order Date]])</f>
        <v>12</v>
      </c>
      <c r="D2436" t="s">
        <v>20</v>
      </c>
      <c r="E2436" t="s">
        <v>40</v>
      </c>
      <c r="F2436" t="s">
        <v>15</v>
      </c>
      <c r="G2436" t="s">
        <v>38</v>
      </c>
      <c r="H2436" t="s">
        <v>39</v>
      </c>
      <c r="I2436" s="2">
        <v>3089.65</v>
      </c>
      <c r="J2436" s="3">
        <v>6</v>
      </c>
      <c r="K2436" s="2">
        <v>475.45</v>
      </c>
    </row>
    <row r="2437" spans="1:11" x14ac:dyDescent="0.25">
      <c r="A2437" s="4">
        <v>43099</v>
      </c>
      <c r="B2437" s="3">
        <f>YEAR(SalesData[[#This Row],[Order Date]])</f>
        <v>2017</v>
      </c>
      <c r="C2437" s="3">
        <f>MONTH(SalesData[[#This Row],[Order Date]])</f>
        <v>12</v>
      </c>
      <c r="D2437" t="s">
        <v>20</v>
      </c>
      <c r="E2437" t="s">
        <v>44</v>
      </c>
      <c r="F2437" t="s">
        <v>27</v>
      </c>
      <c r="G2437" t="s">
        <v>28</v>
      </c>
      <c r="H2437" t="s">
        <v>29</v>
      </c>
      <c r="I2437" s="2">
        <v>534.91999999999996</v>
      </c>
      <c r="J2437" s="3">
        <v>2</v>
      </c>
      <c r="K2437" s="2">
        <v>102.57</v>
      </c>
    </row>
    <row r="2438" spans="1:11" x14ac:dyDescent="0.25">
      <c r="A2438" s="4">
        <v>43099</v>
      </c>
      <c r="B2438" s="3">
        <f>YEAR(SalesData[[#This Row],[Order Date]])</f>
        <v>2017</v>
      </c>
      <c r="C2438" s="3">
        <f>MONTH(SalesData[[#This Row],[Order Date]])</f>
        <v>12</v>
      </c>
      <c r="D2438" t="s">
        <v>62</v>
      </c>
      <c r="E2438" t="s">
        <v>34</v>
      </c>
      <c r="F2438" t="s">
        <v>11</v>
      </c>
      <c r="G2438" t="s">
        <v>35</v>
      </c>
      <c r="H2438" t="s">
        <v>71</v>
      </c>
      <c r="I2438" s="2">
        <v>599.95000000000005</v>
      </c>
      <c r="J2438" s="3">
        <v>10</v>
      </c>
      <c r="K2438" s="2">
        <v>93.49</v>
      </c>
    </row>
    <row r="2439" spans="1:11" x14ac:dyDescent="0.25">
      <c r="A2439" s="4">
        <v>43099</v>
      </c>
      <c r="B2439" s="3">
        <f>YEAR(SalesData[[#This Row],[Order Date]])</f>
        <v>2017</v>
      </c>
      <c r="C2439" s="3">
        <f>MONTH(SalesData[[#This Row],[Order Date]])</f>
        <v>12</v>
      </c>
      <c r="D2439" t="s">
        <v>14</v>
      </c>
      <c r="E2439" t="s">
        <v>37</v>
      </c>
      <c r="F2439" t="s">
        <v>27</v>
      </c>
      <c r="G2439" t="s">
        <v>48</v>
      </c>
      <c r="H2439" t="s">
        <v>49</v>
      </c>
      <c r="I2439" s="2">
        <v>2683.84</v>
      </c>
      <c r="J2439" s="3">
        <v>9</v>
      </c>
      <c r="K2439" s="2">
        <v>65.61</v>
      </c>
    </row>
    <row r="2440" spans="1:11" x14ac:dyDescent="0.25">
      <c r="A2440" s="4">
        <v>43099</v>
      </c>
      <c r="B2440" s="3">
        <f>YEAR(SalesData[[#This Row],[Order Date]])</f>
        <v>2017</v>
      </c>
      <c r="C2440" s="3">
        <f>MONTH(SalesData[[#This Row],[Order Date]])</f>
        <v>12</v>
      </c>
      <c r="D2440" t="s">
        <v>62</v>
      </c>
      <c r="E2440" t="s">
        <v>44</v>
      </c>
      <c r="F2440" t="s">
        <v>11</v>
      </c>
      <c r="G2440" t="s">
        <v>12</v>
      </c>
      <c r="H2440" t="s">
        <v>65</v>
      </c>
      <c r="I2440" s="2">
        <v>4622.22</v>
      </c>
      <c r="J2440" s="3">
        <v>5</v>
      </c>
      <c r="K2440" s="2">
        <v>344.8</v>
      </c>
    </row>
    <row r="2441" spans="1:11" x14ac:dyDescent="0.25">
      <c r="A2441" s="4">
        <v>43102</v>
      </c>
      <c r="B2441" s="3">
        <f>YEAR(SalesData[[#This Row],[Order Date]])</f>
        <v>2018</v>
      </c>
      <c r="C2441" s="3">
        <f>MONTH(SalesData[[#This Row],[Order Date]])</f>
        <v>1</v>
      </c>
      <c r="D2441" t="s">
        <v>14</v>
      </c>
      <c r="E2441" t="s">
        <v>60</v>
      </c>
      <c r="F2441" t="s">
        <v>11</v>
      </c>
      <c r="G2441" t="s">
        <v>12</v>
      </c>
      <c r="H2441" t="s">
        <v>13</v>
      </c>
      <c r="I2441" s="2">
        <v>1948.29</v>
      </c>
      <c r="J2441" s="3">
        <v>7</v>
      </c>
      <c r="K2441" s="2">
        <v>340.57</v>
      </c>
    </row>
    <row r="2442" spans="1:11" x14ac:dyDescent="0.25">
      <c r="A2442" s="4">
        <v>43102</v>
      </c>
      <c r="B2442" s="3">
        <f>YEAR(SalesData[[#This Row],[Order Date]])</f>
        <v>2018</v>
      </c>
      <c r="C2442" s="3">
        <f>MONTH(SalesData[[#This Row],[Order Date]])</f>
        <v>1</v>
      </c>
      <c r="D2442" t="s">
        <v>50</v>
      </c>
      <c r="E2442" t="s">
        <v>10</v>
      </c>
      <c r="F2442" t="s">
        <v>11</v>
      </c>
      <c r="G2442" t="s">
        <v>12</v>
      </c>
      <c r="H2442" t="s">
        <v>65</v>
      </c>
      <c r="I2442" s="2">
        <v>910.04</v>
      </c>
      <c r="J2442" s="3">
        <v>9</v>
      </c>
      <c r="K2442" s="2">
        <v>130.63</v>
      </c>
    </row>
    <row r="2443" spans="1:11" x14ac:dyDescent="0.25">
      <c r="A2443" s="4">
        <v>43102</v>
      </c>
      <c r="B2443" s="3">
        <f>YEAR(SalesData[[#This Row],[Order Date]])</f>
        <v>2018</v>
      </c>
      <c r="C2443" s="3">
        <f>MONTH(SalesData[[#This Row],[Order Date]])</f>
        <v>1</v>
      </c>
      <c r="D2443" t="s">
        <v>23</v>
      </c>
      <c r="E2443" t="s">
        <v>44</v>
      </c>
      <c r="F2443" t="s">
        <v>15</v>
      </c>
      <c r="G2443" t="s">
        <v>45</v>
      </c>
      <c r="H2443" t="s">
        <v>59</v>
      </c>
      <c r="I2443" s="2">
        <v>3120.96</v>
      </c>
      <c r="J2443" s="3">
        <v>7</v>
      </c>
      <c r="K2443" s="2">
        <v>171.67</v>
      </c>
    </row>
    <row r="2444" spans="1:11" x14ac:dyDescent="0.25">
      <c r="A2444" s="4">
        <v>43102</v>
      </c>
      <c r="B2444" s="3">
        <f>YEAR(SalesData[[#This Row],[Order Date]])</f>
        <v>2018</v>
      </c>
      <c r="C2444" s="3">
        <f>MONTH(SalesData[[#This Row],[Order Date]])</f>
        <v>1</v>
      </c>
      <c r="D2444" t="s">
        <v>43</v>
      </c>
      <c r="E2444" t="s">
        <v>10</v>
      </c>
      <c r="F2444" t="s">
        <v>27</v>
      </c>
      <c r="G2444" t="s">
        <v>28</v>
      </c>
      <c r="H2444" t="s">
        <v>58</v>
      </c>
      <c r="I2444" s="2">
        <v>4895.4399999999996</v>
      </c>
      <c r="J2444" s="3">
        <v>5</v>
      </c>
      <c r="K2444" s="2">
        <v>141.69</v>
      </c>
    </row>
    <row r="2445" spans="1:11" x14ac:dyDescent="0.25">
      <c r="A2445" s="4">
        <v>43104</v>
      </c>
      <c r="B2445" s="3">
        <f>YEAR(SalesData[[#This Row],[Order Date]])</f>
        <v>2018</v>
      </c>
      <c r="C2445" s="3">
        <f>MONTH(SalesData[[#This Row],[Order Date]])</f>
        <v>1</v>
      </c>
      <c r="D2445" t="s">
        <v>18</v>
      </c>
      <c r="E2445" t="s">
        <v>44</v>
      </c>
      <c r="F2445" t="s">
        <v>11</v>
      </c>
      <c r="G2445" t="s">
        <v>12</v>
      </c>
      <c r="H2445" t="s">
        <v>13</v>
      </c>
      <c r="I2445" s="2">
        <v>4196.95</v>
      </c>
      <c r="J2445" s="3">
        <v>10</v>
      </c>
      <c r="K2445" s="2">
        <v>806.27</v>
      </c>
    </row>
    <row r="2446" spans="1:11" x14ac:dyDescent="0.25">
      <c r="A2446" s="4">
        <v>43105</v>
      </c>
      <c r="B2446" s="3">
        <f>YEAR(SalesData[[#This Row],[Order Date]])</f>
        <v>2018</v>
      </c>
      <c r="C2446" s="3">
        <f>MONTH(SalesData[[#This Row],[Order Date]])</f>
        <v>1</v>
      </c>
      <c r="D2446" t="s">
        <v>14</v>
      </c>
      <c r="E2446" t="s">
        <v>26</v>
      </c>
      <c r="F2446" t="s">
        <v>15</v>
      </c>
      <c r="G2446" t="s">
        <v>16</v>
      </c>
      <c r="H2446" t="s">
        <v>51</v>
      </c>
      <c r="I2446" s="2">
        <v>3091.34</v>
      </c>
      <c r="J2446" s="3">
        <v>2</v>
      </c>
      <c r="K2446" s="2">
        <v>862.79</v>
      </c>
    </row>
    <row r="2447" spans="1:11" x14ac:dyDescent="0.25">
      <c r="A2447" s="4">
        <v>43105</v>
      </c>
      <c r="B2447" s="3">
        <f>YEAR(SalesData[[#This Row],[Order Date]])</f>
        <v>2018</v>
      </c>
      <c r="C2447" s="3">
        <f>MONTH(SalesData[[#This Row],[Order Date]])</f>
        <v>1</v>
      </c>
      <c r="D2447" t="s">
        <v>50</v>
      </c>
      <c r="E2447" t="s">
        <v>37</v>
      </c>
      <c r="F2447" t="s">
        <v>15</v>
      </c>
      <c r="G2447" t="s">
        <v>63</v>
      </c>
      <c r="H2447" t="s">
        <v>66</v>
      </c>
      <c r="I2447" s="2">
        <v>2076.0100000000002</v>
      </c>
      <c r="J2447" s="3">
        <v>3</v>
      </c>
      <c r="K2447" s="2">
        <v>172.05</v>
      </c>
    </row>
    <row r="2448" spans="1:11" x14ac:dyDescent="0.25">
      <c r="A2448" s="4">
        <v>43106</v>
      </c>
      <c r="B2448" s="3">
        <f>YEAR(SalesData[[#This Row],[Order Date]])</f>
        <v>2018</v>
      </c>
      <c r="C2448" s="3">
        <f>MONTH(SalesData[[#This Row],[Order Date]])</f>
        <v>1</v>
      </c>
      <c r="D2448" t="s">
        <v>50</v>
      </c>
      <c r="E2448" t="s">
        <v>10</v>
      </c>
      <c r="F2448" t="s">
        <v>11</v>
      </c>
      <c r="G2448" t="s">
        <v>21</v>
      </c>
      <c r="H2448" t="s">
        <v>67</v>
      </c>
      <c r="I2448" s="2">
        <v>2103.2600000000002</v>
      </c>
      <c r="J2448" s="3">
        <v>6</v>
      </c>
      <c r="K2448" s="2">
        <v>161.72</v>
      </c>
    </row>
    <row r="2449" spans="1:11" x14ac:dyDescent="0.25">
      <c r="A2449" s="4">
        <v>43106</v>
      </c>
      <c r="B2449" s="3">
        <f>YEAR(SalesData[[#This Row],[Order Date]])</f>
        <v>2018</v>
      </c>
      <c r="C2449" s="3">
        <f>MONTH(SalesData[[#This Row],[Order Date]])</f>
        <v>1</v>
      </c>
      <c r="D2449" t="s">
        <v>14</v>
      </c>
      <c r="E2449" t="s">
        <v>37</v>
      </c>
      <c r="F2449" t="s">
        <v>15</v>
      </c>
      <c r="G2449" t="s">
        <v>16</v>
      </c>
      <c r="H2449" t="s">
        <v>51</v>
      </c>
      <c r="I2449" s="2">
        <v>3295.68</v>
      </c>
      <c r="J2449" s="3">
        <v>2</v>
      </c>
      <c r="K2449" s="2">
        <v>647.04999999999995</v>
      </c>
    </row>
    <row r="2450" spans="1:11" x14ac:dyDescent="0.25">
      <c r="A2450" s="4">
        <v>43106</v>
      </c>
      <c r="B2450" s="3">
        <f>YEAR(SalesData[[#This Row],[Order Date]])</f>
        <v>2018</v>
      </c>
      <c r="C2450" s="3">
        <f>MONTH(SalesData[[#This Row],[Order Date]])</f>
        <v>1</v>
      </c>
      <c r="D2450" t="s">
        <v>30</v>
      </c>
      <c r="E2450" t="s">
        <v>52</v>
      </c>
      <c r="F2450" t="s">
        <v>11</v>
      </c>
      <c r="G2450" t="s">
        <v>21</v>
      </c>
      <c r="H2450" t="s">
        <v>67</v>
      </c>
      <c r="I2450" s="2">
        <v>3511.04</v>
      </c>
      <c r="J2450" s="3">
        <v>2</v>
      </c>
      <c r="K2450" s="2">
        <v>662.76</v>
      </c>
    </row>
    <row r="2451" spans="1:11" x14ac:dyDescent="0.25">
      <c r="A2451" s="4">
        <v>43107</v>
      </c>
      <c r="B2451" s="3">
        <f>YEAR(SalesData[[#This Row],[Order Date]])</f>
        <v>2018</v>
      </c>
      <c r="C2451" s="3">
        <f>MONTH(SalesData[[#This Row],[Order Date]])</f>
        <v>1</v>
      </c>
      <c r="D2451" t="s">
        <v>43</v>
      </c>
      <c r="E2451" t="s">
        <v>60</v>
      </c>
      <c r="F2451" t="s">
        <v>15</v>
      </c>
      <c r="G2451" t="s">
        <v>16</v>
      </c>
      <c r="H2451" t="s">
        <v>17</v>
      </c>
      <c r="I2451" s="2">
        <v>2558.0500000000002</v>
      </c>
      <c r="J2451" s="3">
        <v>10</v>
      </c>
      <c r="K2451" s="2">
        <v>326.77</v>
      </c>
    </row>
    <row r="2452" spans="1:11" x14ac:dyDescent="0.25">
      <c r="A2452" s="4">
        <v>43107</v>
      </c>
      <c r="B2452" s="3">
        <f>YEAR(SalesData[[#This Row],[Order Date]])</f>
        <v>2018</v>
      </c>
      <c r="C2452" s="3">
        <f>MONTH(SalesData[[#This Row],[Order Date]])</f>
        <v>1</v>
      </c>
      <c r="D2452" t="s">
        <v>9</v>
      </c>
      <c r="E2452" t="s">
        <v>40</v>
      </c>
      <c r="F2452" t="s">
        <v>15</v>
      </c>
      <c r="G2452" t="s">
        <v>41</v>
      </c>
      <c r="H2452" t="s">
        <v>61</v>
      </c>
      <c r="I2452" s="2">
        <v>1471.51</v>
      </c>
      <c r="J2452" s="3">
        <v>3</v>
      </c>
      <c r="K2452" s="2">
        <v>246.71</v>
      </c>
    </row>
    <row r="2453" spans="1:11" x14ac:dyDescent="0.25">
      <c r="A2453" s="4">
        <v>43107</v>
      </c>
      <c r="B2453" s="3">
        <f>YEAR(SalesData[[#This Row],[Order Date]])</f>
        <v>2018</v>
      </c>
      <c r="C2453" s="3">
        <f>MONTH(SalesData[[#This Row],[Order Date]])</f>
        <v>1</v>
      </c>
      <c r="D2453" t="s">
        <v>14</v>
      </c>
      <c r="E2453" t="s">
        <v>10</v>
      </c>
      <c r="F2453" t="s">
        <v>27</v>
      </c>
      <c r="G2453" t="s">
        <v>28</v>
      </c>
      <c r="H2453" t="s">
        <v>69</v>
      </c>
      <c r="I2453" s="2">
        <v>767.33</v>
      </c>
      <c r="J2453" s="3">
        <v>4</v>
      </c>
      <c r="K2453" s="2">
        <v>63.86</v>
      </c>
    </row>
    <row r="2454" spans="1:11" x14ac:dyDescent="0.25">
      <c r="A2454" s="4">
        <v>43108</v>
      </c>
      <c r="B2454" s="3">
        <f>YEAR(SalesData[[#This Row],[Order Date]])</f>
        <v>2018</v>
      </c>
      <c r="C2454" s="3">
        <f>MONTH(SalesData[[#This Row],[Order Date]])</f>
        <v>1</v>
      </c>
      <c r="D2454" t="s">
        <v>23</v>
      </c>
      <c r="E2454" t="s">
        <v>26</v>
      </c>
      <c r="F2454" t="s">
        <v>11</v>
      </c>
      <c r="G2454" t="s">
        <v>24</v>
      </c>
      <c r="H2454" t="s">
        <v>25</v>
      </c>
      <c r="I2454" s="2">
        <v>3767.28</v>
      </c>
      <c r="J2454" s="3">
        <v>3</v>
      </c>
      <c r="K2454" s="2">
        <v>842.66</v>
      </c>
    </row>
    <row r="2455" spans="1:11" x14ac:dyDescent="0.25">
      <c r="A2455" s="4">
        <v>43109</v>
      </c>
      <c r="B2455" s="3">
        <f>YEAR(SalesData[[#This Row],[Order Date]])</f>
        <v>2018</v>
      </c>
      <c r="C2455" s="3">
        <f>MONTH(SalesData[[#This Row],[Order Date]])</f>
        <v>1</v>
      </c>
      <c r="D2455" t="s">
        <v>50</v>
      </c>
      <c r="E2455" t="s">
        <v>60</v>
      </c>
      <c r="F2455" t="s">
        <v>11</v>
      </c>
      <c r="G2455" t="s">
        <v>35</v>
      </c>
      <c r="H2455" t="s">
        <v>36</v>
      </c>
      <c r="I2455" s="2">
        <v>4400.88</v>
      </c>
      <c r="J2455" s="3">
        <v>7</v>
      </c>
      <c r="K2455" s="2">
        <v>226.42</v>
      </c>
    </row>
    <row r="2456" spans="1:11" x14ac:dyDescent="0.25">
      <c r="A2456" s="4">
        <v>43109</v>
      </c>
      <c r="B2456" s="3">
        <f>YEAR(SalesData[[#This Row],[Order Date]])</f>
        <v>2018</v>
      </c>
      <c r="C2456" s="3">
        <f>MONTH(SalesData[[#This Row],[Order Date]])</f>
        <v>1</v>
      </c>
      <c r="D2456" t="s">
        <v>20</v>
      </c>
      <c r="E2456" t="s">
        <v>19</v>
      </c>
      <c r="F2456" t="s">
        <v>27</v>
      </c>
      <c r="G2456" t="s">
        <v>28</v>
      </c>
      <c r="H2456" t="s">
        <v>58</v>
      </c>
      <c r="I2456" s="2">
        <v>3032.85</v>
      </c>
      <c r="J2456" s="3">
        <v>4</v>
      </c>
      <c r="K2456" s="2">
        <v>308.35000000000002</v>
      </c>
    </row>
    <row r="2457" spans="1:11" x14ac:dyDescent="0.25">
      <c r="A2457" s="4">
        <v>43110</v>
      </c>
      <c r="B2457" s="3">
        <f>YEAR(SalesData[[#This Row],[Order Date]])</f>
        <v>2018</v>
      </c>
      <c r="C2457" s="3">
        <f>MONTH(SalesData[[#This Row],[Order Date]])</f>
        <v>1</v>
      </c>
      <c r="D2457" t="s">
        <v>47</v>
      </c>
      <c r="E2457" t="s">
        <v>52</v>
      </c>
      <c r="F2457" t="s">
        <v>15</v>
      </c>
      <c r="G2457" t="s">
        <v>63</v>
      </c>
      <c r="H2457" t="s">
        <v>66</v>
      </c>
      <c r="I2457" s="2">
        <v>3411.12</v>
      </c>
      <c r="J2457" s="3">
        <v>7</v>
      </c>
      <c r="K2457" s="2">
        <v>789.82</v>
      </c>
    </row>
    <row r="2458" spans="1:11" x14ac:dyDescent="0.25">
      <c r="A2458" s="4">
        <v>43110</v>
      </c>
      <c r="B2458" s="3">
        <f>YEAR(SalesData[[#This Row],[Order Date]])</f>
        <v>2018</v>
      </c>
      <c r="C2458" s="3">
        <f>MONTH(SalesData[[#This Row],[Order Date]])</f>
        <v>1</v>
      </c>
      <c r="D2458" t="s">
        <v>55</v>
      </c>
      <c r="E2458" t="s">
        <v>40</v>
      </c>
      <c r="F2458" t="s">
        <v>15</v>
      </c>
      <c r="G2458" t="s">
        <v>41</v>
      </c>
      <c r="H2458" t="s">
        <v>42</v>
      </c>
      <c r="I2458" s="2">
        <v>1166.75</v>
      </c>
      <c r="J2458" s="3">
        <v>2</v>
      </c>
      <c r="K2458" s="2">
        <v>339.99</v>
      </c>
    </row>
    <row r="2459" spans="1:11" x14ac:dyDescent="0.25">
      <c r="A2459" s="4">
        <v>43111</v>
      </c>
      <c r="B2459" s="3">
        <f>YEAR(SalesData[[#This Row],[Order Date]])</f>
        <v>2018</v>
      </c>
      <c r="C2459" s="3">
        <f>MONTH(SalesData[[#This Row],[Order Date]])</f>
        <v>1</v>
      </c>
      <c r="D2459" t="s">
        <v>50</v>
      </c>
      <c r="E2459" t="s">
        <v>31</v>
      </c>
      <c r="F2459" t="s">
        <v>27</v>
      </c>
      <c r="G2459" t="s">
        <v>32</v>
      </c>
      <c r="H2459" t="s">
        <v>53</v>
      </c>
      <c r="I2459" s="2">
        <v>3252.97</v>
      </c>
      <c r="J2459" s="3">
        <v>7</v>
      </c>
      <c r="K2459" s="2">
        <v>803.74</v>
      </c>
    </row>
    <row r="2460" spans="1:11" x14ac:dyDescent="0.25">
      <c r="A2460" s="4">
        <v>43111</v>
      </c>
      <c r="B2460" s="3">
        <f>YEAR(SalesData[[#This Row],[Order Date]])</f>
        <v>2018</v>
      </c>
      <c r="C2460" s="3">
        <f>MONTH(SalesData[[#This Row],[Order Date]])</f>
        <v>1</v>
      </c>
      <c r="D2460" t="s">
        <v>47</v>
      </c>
      <c r="E2460" t="s">
        <v>60</v>
      </c>
      <c r="F2460" t="s">
        <v>11</v>
      </c>
      <c r="G2460" t="s">
        <v>12</v>
      </c>
      <c r="H2460" t="s">
        <v>13</v>
      </c>
      <c r="I2460" s="2">
        <v>4489.7</v>
      </c>
      <c r="J2460" s="3">
        <v>6</v>
      </c>
      <c r="K2460" s="2">
        <v>822.89</v>
      </c>
    </row>
    <row r="2461" spans="1:11" x14ac:dyDescent="0.25">
      <c r="A2461" s="4">
        <v>43112</v>
      </c>
      <c r="B2461" s="3">
        <f>YEAR(SalesData[[#This Row],[Order Date]])</f>
        <v>2018</v>
      </c>
      <c r="C2461" s="3">
        <f>MONTH(SalesData[[#This Row],[Order Date]])</f>
        <v>1</v>
      </c>
      <c r="D2461" t="s">
        <v>14</v>
      </c>
      <c r="E2461" t="s">
        <v>44</v>
      </c>
      <c r="F2461" t="s">
        <v>15</v>
      </c>
      <c r="G2461" t="s">
        <v>38</v>
      </c>
      <c r="H2461" t="s">
        <v>56</v>
      </c>
      <c r="I2461" s="2">
        <v>2552.7199999999998</v>
      </c>
      <c r="J2461" s="3">
        <v>6</v>
      </c>
      <c r="K2461" s="2">
        <v>162.18</v>
      </c>
    </row>
    <row r="2462" spans="1:11" x14ac:dyDescent="0.25">
      <c r="A2462" s="4">
        <v>43113</v>
      </c>
      <c r="B2462" s="3">
        <f>YEAR(SalesData[[#This Row],[Order Date]])</f>
        <v>2018</v>
      </c>
      <c r="C2462" s="3">
        <f>MONTH(SalesData[[#This Row],[Order Date]])</f>
        <v>1</v>
      </c>
      <c r="D2462" t="s">
        <v>43</v>
      </c>
      <c r="E2462" t="s">
        <v>40</v>
      </c>
      <c r="F2462" t="s">
        <v>11</v>
      </c>
      <c r="G2462" t="s">
        <v>21</v>
      </c>
      <c r="H2462" t="s">
        <v>22</v>
      </c>
      <c r="I2462" s="2">
        <v>1491.71</v>
      </c>
      <c r="J2462" s="3">
        <v>6</v>
      </c>
      <c r="K2462" s="2">
        <v>43.53</v>
      </c>
    </row>
    <row r="2463" spans="1:11" x14ac:dyDescent="0.25">
      <c r="A2463" s="4">
        <v>43113</v>
      </c>
      <c r="B2463" s="3">
        <f>YEAR(SalesData[[#This Row],[Order Date]])</f>
        <v>2018</v>
      </c>
      <c r="C2463" s="3">
        <f>MONTH(SalesData[[#This Row],[Order Date]])</f>
        <v>1</v>
      </c>
      <c r="D2463" t="s">
        <v>20</v>
      </c>
      <c r="E2463" t="s">
        <v>44</v>
      </c>
      <c r="F2463" t="s">
        <v>15</v>
      </c>
      <c r="G2463" t="s">
        <v>38</v>
      </c>
      <c r="H2463" t="s">
        <v>39</v>
      </c>
      <c r="I2463" s="2">
        <v>1288.8900000000001</v>
      </c>
      <c r="J2463" s="3">
        <v>6</v>
      </c>
      <c r="K2463" s="2">
        <v>65.680000000000007</v>
      </c>
    </row>
    <row r="2464" spans="1:11" x14ac:dyDescent="0.25">
      <c r="A2464" s="4">
        <v>43114</v>
      </c>
      <c r="B2464" s="3">
        <f>YEAR(SalesData[[#This Row],[Order Date]])</f>
        <v>2018</v>
      </c>
      <c r="C2464" s="3">
        <f>MONTH(SalesData[[#This Row],[Order Date]])</f>
        <v>1</v>
      </c>
      <c r="D2464" t="s">
        <v>50</v>
      </c>
      <c r="E2464" t="s">
        <v>34</v>
      </c>
      <c r="F2464" t="s">
        <v>27</v>
      </c>
      <c r="G2464" t="s">
        <v>48</v>
      </c>
      <c r="H2464" t="s">
        <v>57</v>
      </c>
      <c r="I2464" s="2">
        <v>3761.04</v>
      </c>
      <c r="J2464" s="3">
        <v>8</v>
      </c>
      <c r="K2464" s="2">
        <v>570.45000000000005</v>
      </c>
    </row>
    <row r="2465" spans="1:11" x14ac:dyDescent="0.25">
      <c r="A2465" s="4">
        <v>43114</v>
      </c>
      <c r="B2465" s="3">
        <f>YEAR(SalesData[[#This Row],[Order Date]])</f>
        <v>2018</v>
      </c>
      <c r="C2465" s="3">
        <f>MONTH(SalesData[[#This Row],[Order Date]])</f>
        <v>1</v>
      </c>
      <c r="D2465" t="s">
        <v>30</v>
      </c>
      <c r="E2465" t="s">
        <v>31</v>
      </c>
      <c r="F2465" t="s">
        <v>15</v>
      </c>
      <c r="G2465" t="s">
        <v>41</v>
      </c>
      <c r="H2465" t="s">
        <v>61</v>
      </c>
      <c r="I2465" s="2">
        <v>188.77</v>
      </c>
      <c r="J2465" s="3">
        <v>10</v>
      </c>
      <c r="K2465" s="2">
        <v>6.75</v>
      </c>
    </row>
    <row r="2466" spans="1:11" x14ac:dyDescent="0.25">
      <c r="A2466" s="4">
        <v>43114</v>
      </c>
      <c r="B2466" s="3">
        <f>YEAR(SalesData[[#This Row],[Order Date]])</f>
        <v>2018</v>
      </c>
      <c r="C2466" s="3">
        <f>MONTH(SalesData[[#This Row],[Order Date]])</f>
        <v>1</v>
      </c>
      <c r="D2466" t="s">
        <v>43</v>
      </c>
      <c r="E2466" t="s">
        <v>10</v>
      </c>
      <c r="F2466" t="s">
        <v>11</v>
      </c>
      <c r="G2466" t="s">
        <v>12</v>
      </c>
      <c r="H2466" t="s">
        <v>65</v>
      </c>
      <c r="I2466" s="2">
        <v>4176.82</v>
      </c>
      <c r="J2466" s="3">
        <v>6</v>
      </c>
      <c r="K2466" s="2">
        <v>1109.07</v>
      </c>
    </row>
    <row r="2467" spans="1:11" x14ac:dyDescent="0.25">
      <c r="A2467" s="4">
        <v>43115</v>
      </c>
      <c r="B2467" s="3">
        <f>YEAR(SalesData[[#This Row],[Order Date]])</f>
        <v>2018</v>
      </c>
      <c r="C2467" s="3">
        <f>MONTH(SalesData[[#This Row],[Order Date]])</f>
        <v>1</v>
      </c>
      <c r="D2467" t="s">
        <v>9</v>
      </c>
      <c r="E2467" t="s">
        <v>60</v>
      </c>
      <c r="F2467" t="s">
        <v>27</v>
      </c>
      <c r="G2467" t="s">
        <v>48</v>
      </c>
      <c r="H2467" t="s">
        <v>57</v>
      </c>
      <c r="I2467" s="2">
        <v>1996.24</v>
      </c>
      <c r="J2467" s="3">
        <v>3</v>
      </c>
      <c r="K2467" s="2">
        <v>567.48</v>
      </c>
    </row>
    <row r="2468" spans="1:11" x14ac:dyDescent="0.25">
      <c r="A2468" s="4">
        <v>43116</v>
      </c>
      <c r="B2468" s="3">
        <f>YEAR(SalesData[[#This Row],[Order Date]])</f>
        <v>2018</v>
      </c>
      <c r="C2468" s="3">
        <f>MONTH(SalesData[[#This Row],[Order Date]])</f>
        <v>1</v>
      </c>
      <c r="D2468" t="s">
        <v>23</v>
      </c>
      <c r="E2468" t="s">
        <v>34</v>
      </c>
      <c r="F2468" t="s">
        <v>15</v>
      </c>
      <c r="G2468" t="s">
        <v>63</v>
      </c>
      <c r="H2468" t="s">
        <v>66</v>
      </c>
      <c r="I2468" s="2">
        <v>2536.91</v>
      </c>
      <c r="J2468" s="3">
        <v>9</v>
      </c>
      <c r="K2468" s="2">
        <v>156.65</v>
      </c>
    </row>
    <row r="2469" spans="1:11" x14ac:dyDescent="0.25">
      <c r="A2469" s="4">
        <v>43116</v>
      </c>
      <c r="B2469" s="3">
        <f>YEAR(SalesData[[#This Row],[Order Date]])</f>
        <v>2018</v>
      </c>
      <c r="C2469" s="3">
        <f>MONTH(SalesData[[#This Row],[Order Date]])</f>
        <v>1</v>
      </c>
      <c r="D2469" t="s">
        <v>55</v>
      </c>
      <c r="E2469" t="s">
        <v>52</v>
      </c>
      <c r="F2469" t="s">
        <v>11</v>
      </c>
      <c r="G2469" t="s">
        <v>21</v>
      </c>
      <c r="H2469" t="s">
        <v>67</v>
      </c>
      <c r="I2469" s="2">
        <v>4539.4799999999996</v>
      </c>
      <c r="J2469" s="3">
        <v>3</v>
      </c>
      <c r="K2469" s="2">
        <v>320.89</v>
      </c>
    </row>
    <row r="2470" spans="1:11" x14ac:dyDescent="0.25">
      <c r="A2470" s="4">
        <v>43119</v>
      </c>
      <c r="B2470" s="3">
        <f>YEAR(SalesData[[#This Row],[Order Date]])</f>
        <v>2018</v>
      </c>
      <c r="C2470" s="3">
        <f>MONTH(SalesData[[#This Row],[Order Date]])</f>
        <v>1</v>
      </c>
      <c r="D2470" t="s">
        <v>18</v>
      </c>
      <c r="E2470" t="s">
        <v>19</v>
      </c>
      <c r="F2470" t="s">
        <v>11</v>
      </c>
      <c r="G2470" t="s">
        <v>12</v>
      </c>
      <c r="H2470" t="s">
        <v>65</v>
      </c>
      <c r="I2470" s="2">
        <v>2529.41</v>
      </c>
      <c r="J2470" s="3">
        <v>9</v>
      </c>
      <c r="K2470" s="2">
        <v>233.16</v>
      </c>
    </row>
    <row r="2471" spans="1:11" x14ac:dyDescent="0.25">
      <c r="A2471" s="4">
        <v>43121</v>
      </c>
      <c r="B2471" s="3">
        <f>YEAR(SalesData[[#This Row],[Order Date]])</f>
        <v>2018</v>
      </c>
      <c r="C2471" s="3">
        <f>MONTH(SalesData[[#This Row],[Order Date]])</f>
        <v>1</v>
      </c>
      <c r="D2471" t="s">
        <v>62</v>
      </c>
      <c r="E2471" t="s">
        <v>40</v>
      </c>
      <c r="F2471" t="s">
        <v>15</v>
      </c>
      <c r="G2471" t="s">
        <v>41</v>
      </c>
      <c r="H2471" t="s">
        <v>61</v>
      </c>
      <c r="I2471" s="2">
        <v>99.07</v>
      </c>
      <c r="J2471" s="3">
        <v>7</v>
      </c>
      <c r="K2471" s="2">
        <v>11</v>
      </c>
    </row>
    <row r="2472" spans="1:11" x14ac:dyDescent="0.25">
      <c r="A2472" s="4">
        <v>43121</v>
      </c>
      <c r="B2472" s="3">
        <f>YEAR(SalesData[[#This Row],[Order Date]])</f>
        <v>2018</v>
      </c>
      <c r="C2472" s="3">
        <f>MONTH(SalesData[[#This Row],[Order Date]])</f>
        <v>1</v>
      </c>
      <c r="D2472" t="s">
        <v>62</v>
      </c>
      <c r="E2472" t="s">
        <v>52</v>
      </c>
      <c r="F2472" t="s">
        <v>11</v>
      </c>
      <c r="G2472" t="s">
        <v>35</v>
      </c>
      <c r="H2472" t="s">
        <v>70</v>
      </c>
      <c r="I2472" s="2">
        <v>4415.78</v>
      </c>
      <c r="J2472" s="3">
        <v>3</v>
      </c>
      <c r="K2472" s="2">
        <v>949.93</v>
      </c>
    </row>
    <row r="2473" spans="1:11" x14ac:dyDescent="0.25">
      <c r="A2473" s="4">
        <v>43121</v>
      </c>
      <c r="B2473" s="3">
        <f>YEAR(SalesData[[#This Row],[Order Date]])</f>
        <v>2018</v>
      </c>
      <c r="C2473" s="3">
        <f>MONTH(SalesData[[#This Row],[Order Date]])</f>
        <v>1</v>
      </c>
      <c r="D2473" t="s">
        <v>62</v>
      </c>
      <c r="E2473" t="s">
        <v>34</v>
      </c>
      <c r="F2473" t="s">
        <v>11</v>
      </c>
      <c r="G2473" t="s">
        <v>24</v>
      </c>
      <c r="H2473" t="s">
        <v>25</v>
      </c>
      <c r="I2473" s="2">
        <v>2802.37</v>
      </c>
      <c r="J2473" s="3">
        <v>2</v>
      </c>
      <c r="K2473" s="2">
        <v>586.66</v>
      </c>
    </row>
    <row r="2474" spans="1:11" x14ac:dyDescent="0.25">
      <c r="A2474" s="4">
        <v>43121</v>
      </c>
      <c r="B2474" s="3">
        <f>YEAR(SalesData[[#This Row],[Order Date]])</f>
        <v>2018</v>
      </c>
      <c r="C2474" s="3">
        <f>MONTH(SalesData[[#This Row],[Order Date]])</f>
        <v>1</v>
      </c>
      <c r="D2474" t="s">
        <v>9</v>
      </c>
      <c r="E2474" t="s">
        <v>34</v>
      </c>
      <c r="F2474" t="s">
        <v>15</v>
      </c>
      <c r="G2474" t="s">
        <v>16</v>
      </c>
      <c r="H2474" t="s">
        <v>17</v>
      </c>
      <c r="I2474" s="2">
        <v>422.29</v>
      </c>
      <c r="J2474" s="3">
        <v>6</v>
      </c>
      <c r="K2474" s="2">
        <v>54.72</v>
      </c>
    </row>
    <row r="2475" spans="1:11" x14ac:dyDescent="0.25">
      <c r="A2475" s="4">
        <v>43122</v>
      </c>
      <c r="B2475" s="3">
        <f>YEAR(SalesData[[#This Row],[Order Date]])</f>
        <v>2018</v>
      </c>
      <c r="C2475" s="3">
        <f>MONTH(SalesData[[#This Row],[Order Date]])</f>
        <v>1</v>
      </c>
      <c r="D2475" t="s">
        <v>23</v>
      </c>
      <c r="E2475" t="s">
        <v>37</v>
      </c>
      <c r="F2475" t="s">
        <v>27</v>
      </c>
      <c r="G2475" t="s">
        <v>48</v>
      </c>
      <c r="H2475" t="s">
        <v>49</v>
      </c>
      <c r="I2475" s="2">
        <v>1611.21</v>
      </c>
      <c r="J2475" s="3">
        <v>9</v>
      </c>
      <c r="K2475" s="2">
        <v>115.53</v>
      </c>
    </row>
    <row r="2476" spans="1:11" x14ac:dyDescent="0.25">
      <c r="A2476" s="4">
        <v>43123</v>
      </c>
      <c r="B2476" s="3">
        <f>YEAR(SalesData[[#This Row],[Order Date]])</f>
        <v>2018</v>
      </c>
      <c r="C2476" s="3">
        <f>MONTH(SalesData[[#This Row],[Order Date]])</f>
        <v>1</v>
      </c>
      <c r="D2476" t="s">
        <v>43</v>
      </c>
      <c r="E2476" t="s">
        <v>31</v>
      </c>
      <c r="F2476" t="s">
        <v>27</v>
      </c>
      <c r="G2476" t="s">
        <v>32</v>
      </c>
      <c r="H2476" t="s">
        <v>33</v>
      </c>
      <c r="I2476" s="2">
        <v>4230.32</v>
      </c>
      <c r="J2476" s="3">
        <v>7</v>
      </c>
      <c r="K2476" s="2">
        <v>417.85</v>
      </c>
    </row>
    <row r="2477" spans="1:11" x14ac:dyDescent="0.25">
      <c r="A2477" s="4">
        <v>43123</v>
      </c>
      <c r="B2477" s="3">
        <f>YEAR(SalesData[[#This Row],[Order Date]])</f>
        <v>2018</v>
      </c>
      <c r="C2477" s="3">
        <f>MONTH(SalesData[[#This Row],[Order Date]])</f>
        <v>1</v>
      </c>
      <c r="D2477" t="s">
        <v>14</v>
      </c>
      <c r="E2477" t="s">
        <v>40</v>
      </c>
      <c r="F2477" t="s">
        <v>27</v>
      </c>
      <c r="G2477" t="s">
        <v>48</v>
      </c>
      <c r="H2477" t="s">
        <v>49</v>
      </c>
      <c r="I2477" s="2">
        <v>3057.55</v>
      </c>
      <c r="J2477" s="3">
        <v>5</v>
      </c>
      <c r="K2477" s="2">
        <v>673.06</v>
      </c>
    </row>
    <row r="2478" spans="1:11" x14ac:dyDescent="0.25">
      <c r="A2478" s="4">
        <v>43125</v>
      </c>
      <c r="B2478" s="3">
        <f>YEAR(SalesData[[#This Row],[Order Date]])</f>
        <v>2018</v>
      </c>
      <c r="C2478" s="3">
        <f>MONTH(SalesData[[#This Row],[Order Date]])</f>
        <v>1</v>
      </c>
      <c r="D2478" t="s">
        <v>14</v>
      </c>
      <c r="E2478" t="s">
        <v>31</v>
      </c>
      <c r="F2478" t="s">
        <v>11</v>
      </c>
      <c r="G2478" t="s">
        <v>35</v>
      </c>
      <c r="H2478" t="s">
        <v>36</v>
      </c>
      <c r="I2478" s="2">
        <v>1631.28</v>
      </c>
      <c r="J2478" s="3">
        <v>8</v>
      </c>
      <c r="K2478" s="2">
        <v>223.99</v>
      </c>
    </row>
    <row r="2479" spans="1:11" x14ac:dyDescent="0.25">
      <c r="A2479" s="4">
        <v>43125</v>
      </c>
      <c r="B2479" s="3">
        <f>YEAR(SalesData[[#This Row],[Order Date]])</f>
        <v>2018</v>
      </c>
      <c r="C2479" s="3">
        <f>MONTH(SalesData[[#This Row],[Order Date]])</f>
        <v>1</v>
      </c>
      <c r="D2479" t="s">
        <v>23</v>
      </c>
      <c r="E2479" t="s">
        <v>37</v>
      </c>
      <c r="F2479" t="s">
        <v>27</v>
      </c>
      <c r="G2479" t="s">
        <v>28</v>
      </c>
      <c r="H2479" t="s">
        <v>69</v>
      </c>
      <c r="I2479" s="2">
        <v>3400.14</v>
      </c>
      <c r="J2479" s="3">
        <v>1</v>
      </c>
      <c r="K2479" s="2">
        <v>115.9</v>
      </c>
    </row>
    <row r="2480" spans="1:11" x14ac:dyDescent="0.25">
      <c r="A2480" s="4">
        <v>43127</v>
      </c>
      <c r="B2480" s="3">
        <f>YEAR(SalesData[[#This Row],[Order Date]])</f>
        <v>2018</v>
      </c>
      <c r="C2480" s="3">
        <f>MONTH(SalesData[[#This Row],[Order Date]])</f>
        <v>1</v>
      </c>
      <c r="D2480" t="s">
        <v>18</v>
      </c>
      <c r="E2480" t="s">
        <v>26</v>
      </c>
      <c r="F2480" t="s">
        <v>27</v>
      </c>
      <c r="G2480" t="s">
        <v>32</v>
      </c>
      <c r="H2480" t="s">
        <v>33</v>
      </c>
      <c r="I2480" s="2">
        <v>2002.95</v>
      </c>
      <c r="J2480" s="3">
        <v>9</v>
      </c>
      <c r="K2480" s="2">
        <v>298.11</v>
      </c>
    </row>
    <row r="2481" spans="1:11" x14ac:dyDescent="0.25">
      <c r="A2481" s="4">
        <v>43127</v>
      </c>
      <c r="B2481" s="3">
        <f>YEAR(SalesData[[#This Row],[Order Date]])</f>
        <v>2018</v>
      </c>
      <c r="C2481" s="3">
        <f>MONTH(SalesData[[#This Row],[Order Date]])</f>
        <v>1</v>
      </c>
      <c r="D2481" t="s">
        <v>30</v>
      </c>
      <c r="E2481" t="s">
        <v>31</v>
      </c>
      <c r="F2481" t="s">
        <v>11</v>
      </c>
      <c r="G2481" t="s">
        <v>24</v>
      </c>
      <c r="H2481" t="s">
        <v>25</v>
      </c>
      <c r="I2481" s="2">
        <v>1424.45</v>
      </c>
      <c r="J2481" s="3">
        <v>8</v>
      </c>
      <c r="K2481" s="2">
        <v>236.32</v>
      </c>
    </row>
    <row r="2482" spans="1:11" x14ac:dyDescent="0.25">
      <c r="A2482" s="4">
        <v>43128</v>
      </c>
      <c r="B2482" s="3">
        <f>YEAR(SalesData[[#This Row],[Order Date]])</f>
        <v>2018</v>
      </c>
      <c r="C2482" s="3">
        <f>MONTH(SalesData[[#This Row],[Order Date]])</f>
        <v>1</v>
      </c>
      <c r="D2482" t="s">
        <v>55</v>
      </c>
      <c r="E2482" t="s">
        <v>37</v>
      </c>
      <c r="F2482" t="s">
        <v>15</v>
      </c>
      <c r="G2482" t="s">
        <v>45</v>
      </c>
      <c r="H2482" t="s">
        <v>59</v>
      </c>
      <c r="I2482" s="2">
        <v>1799.75</v>
      </c>
      <c r="J2482" s="3">
        <v>10</v>
      </c>
      <c r="K2482" s="2">
        <v>445.3</v>
      </c>
    </row>
    <row r="2483" spans="1:11" x14ac:dyDescent="0.25">
      <c r="A2483" s="4">
        <v>43129</v>
      </c>
      <c r="B2483" s="3">
        <f>YEAR(SalesData[[#This Row],[Order Date]])</f>
        <v>2018</v>
      </c>
      <c r="C2483" s="3">
        <f>MONTH(SalesData[[#This Row],[Order Date]])</f>
        <v>1</v>
      </c>
      <c r="D2483" t="s">
        <v>23</v>
      </c>
      <c r="E2483" t="s">
        <v>10</v>
      </c>
      <c r="F2483" t="s">
        <v>15</v>
      </c>
      <c r="G2483" t="s">
        <v>38</v>
      </c>
      <c r="H2483" t="s">
        <v>39</v>
      </c>
      <c r="I2483" s="2">
        <v>3606.51</v>
      </c>
      <c r="J2483" s="3">
        <v>9</v>
      </c>
      <c r="K2483" s="2">
        <v>850.63</v>
      </c>
    </row>
    <row r="2484" spans="1:11" x14ac:dyDescent="0.25">
      <c r="A2484" s="4">
        <v>43129</v>
      </c>
      <c r="B2484" s="3">
        <f>YEAR(SalesData[[#This Row],[Order Date]])</f>
        <v>2018</v>
      </c>
      <c r="C2484" s="3">
        <f>MONTH(SalesData[[#This Row],[Order Date]])</f>
        <v>1</v>
      </c>
      <c r="D2484" t="s">
        <v>62</v>
      </c>
      <c r="E2484" t="s">
        <v>60</v>
      </c>
      <c r="F2484" t="s">
        <v>15</v>
      </c>
      <c r="G2484" t="s">
        <v>41</v>
      </c>
      <c r="H2484" t="s">
        <v>61</v>
      </c>
      <c r="I2484" s="2">
        <v>465.41</v>
      </c>
      <c r="J2484" s="3">
        <v>4</v>
      </c>
      <c r="K2484" s="2">
        <v>72.260000000000005</v>
      </c>
    </row>
    <row r="2485" spans="1:11" x14ac:dyDescent="0.25">
      <c r="A2485" s="4">
        <v>43131</v>
      </c>
      <c r="B2485" s="3">
        <f>YEAR(SalesData[[#This Row],[Order Date]])</f>
        <v>2018</v>
      </c>
      <c r="C2485" s="3">
        <f>MONTH(SalesData[[#This Row],[Order Date]])</f>
        <v>1</v>
      </c>
      <c r="D2485" t="s">
        <v>9</v>
      </c>
      <c r="E2485" t="s">
        <v>34</v>
      </c>
      <c r="F2485" t="s">
        <v>11</v>
      </c>
      <c r="G2485" t="s">
        <v>12</v>
      </c>
      <c r="H2485" t="s">
        <v>65</v>
      </c>
      <c r="I2485" s="2">
        <v>3585.6</v>
      </c>
      <c r="J2485" s="3">
        <v>3</v>
      </c>
      <c r="K2485" s="2">
        <v>49.57</v>
      </c>
    </row>
    <row r="2486" spans="1:11" x14ac:dyDescent="0.25">
      <c r="A2486" s="4">
        <v>43132</v>
      </c>
      <c r="B2486" s="3">
        <f>YEAR(SalesData[[#This Row],[Order Date]])</f>
        <v>2018</v>
      </c>
      <c r="C2486" s="3">
        <f>MONTH(SalesData[[#This Row],[Order Date]])</f>
        <v>2</v>
      </c>
      <c r="D2486" t="s">
        <v>30</v>
      </c>
      <c r="E2486" t="s">
        <v>26</v>
      </c>
      <c r="F2486" t="s">
        <v>15</v>
      </c>
      <c r="G2486" t="s">
        <v>38</v>
      </c>
      <c r="H2486" t="s">
        <v>56</v>
      </c>
      <c r="I2486" s="2">
        <v>1775.86</v>
      </c>
      <c r="J2486" s="3">
        <v>4</v>
      </c>
      <c r="K2486" s="2">
        <v>417.22</v>
      </c>
    </row>
    <row r="2487" spans="1:11" x14ac:dyDescent="0.25">
      <c r="A2487" s="4">
        <v>43133</v>
      </c>
      <c r="B2487" s="3">
        <f>YEAR(SalesData[[#This Row],[Order Date]])</f>
        <v>2018</v>
      </c>
      <c r="C2487" s="3">
        <f>MONTH(SalesData[[#This Row],[Order Date]])</f>
        <v>2</v>
      </c>
      <c r="D2487" t="s">
        <v>62</v>
      </c>
      <c r="E2487" t="s">
        <v>31</v>
      </c>
      <c r="F2487" t="s">
        <v>27</v>
      </c>
      <c r="G2487" t="s">
        <v>28</v>
      </c>
      <c r="H2487" t="s">
        <v>58</v>
      </c>
      <c r="I2487" s="2">
        <v>2993.82</v>
      </c>
      <c r="J2487" s="3">
        <v>6</v>
      </c>
      <c r="K2487" s="2">
        <v>485.91</v>
      </c>
    </row>
    <row r="2488" spans="1:11" x14ac:dyDescent="0.25">
      <c r="A2488" s="4">
        <v>43133</v>
      </c>
      <c r="B2488" s="3">
        <f>YEAR(SalesData[[#This Row],[Order Date]])</f>
        <v>2018</v>
      </c>
      <c r="C2488" s="3">
        <f>MONTH(SalesData[[#This Row],[Order Date]])</f>
        <v>2</v>
      </c>
      <c r="D2488" t="s">
        <v>23</v>
      </c>
      <c r="E2488" t="s">
        <v>19</v>
      </c>
      <c r="F2488" t="s">
        <v>15</v>
      </c>
      <c r="G2488" t="s">
        <v>45</v>
      </c>
      <c r="H2488" t="s">
        <v>46</v>
      </c>
      <c r="I2488" s="2">
        <v>3134.81</v>
      </c>
      <c r="J2488" s="3">
        <v>4</v>
      </c>
      <c r="K2488" s="2">
        <v>232.83</v>
      </c>
    </row>
    <row r="2489" spans="1:11" x14ac:dyDescent="0.25">
      <c r="A2489" s="4">
        <v>43133</v>
      </c>
      <c r="B2489" s="3">
        <f>YEAR(SalesData[[#This Row],[Order Date]])</f>
        <v>2018</v>
      </c>
      <c r="C2489" s="3">
        <f>MONTH(SalesData[[#This Row],[Order Date]])</f>
        <v>2</v>
      </c>
      <c r="D2489" t="s">
        <v>50</v>
      </c>
      <c r="E2489" t="s">
        <v>19</v>
      </c>
      <c r="F2489" t="s">
        <v>27</v>
      </c>
      <c r="G2489" t="s">
        <v>32</v>
      </c>
      <c r="H2489" t="s">
        <v>53</v>
      </c>
      <c r="I2489" s="2">
        <v>3599.82</v>
      </c>
      <c r="J2489" s="3">
        <v>8</v>
      </c>
      <c r="K2489" s="2">
        <v>1074.8800000000001</v>
      </c>
    </row>
    <row r="2490" spans="1:11" x14ac:dyDescent="0.25">
      <c r="A2490" s="4">
        <v>43133</v>
      </c>
      <c r="B2490" s="3">
        <f>YEAR(SalesData[[#This Row],[Order Date]])</f>
        <v>2018</v>
      </c>
      <c r="C2490" s="3">
        <f>MONTH(SalesData[[#This Row],[Order Date]])</f>
        <v>2</v>
      </c>
      <c r="D2490" t="s">
        <v>43</v>
      </c>
      <c r="E2490" t="s">
        <v>37</v>
      </c>
      <c r="F2490" t="s">
        <v>15</v>
      </c>
      <c r="G2490" t="s">
        <v>16</v>
      </c>
      <c r="H2490" t="s">
        <v>51</v>
      </c>
      <c r="I2490" s="2">
        <v>862.95</v>
      </c>
      <c r="J2490" s="3">
        <v>8</v>
      </c>
      <c r="K2490" s="2">
        <v>184.15</v>
      </c>
    </row>
    <row r="2491" spans="1:11" x14ac:dyDescent="0.25">
      <c r="A2491" s="4">
        <v>43133</v>
      </c>
      <c r="B2491" s="3">
        <f>YEAR(SalesData[[#This Row],[Order Date]])</f>
        <v>2018</v>
      </c>
      <c r="C2491" s="3">
        <f>MONTH(SalesData[[#This Row],[Order Date]])</f>
        <v>2</v>
      </c>
      <c r="D2491" t="s">
        <v>47</v>
      </c>
      <c r="E2491" t="s">
        <v>44</v>
      </c>
      <c r="F2491" t="s">
        <v>11</v>
      </c>
      <c r="G2491" t="s">
        <v>12</v>
      </c>
      <c r="H2491" t="s">
        <v>65</v>
      </c>
      <c r="I2491" s="2">
        <v>2759.49</v>
      </c>
      <c r="J2491" s="3">
        <v>5</v>
      </c>
      <c r="K2491" s="2">
        <v>692.61</v>
      </c>
    </row>
    <row r="2492" spans="1:11" x14ac:dyDescent="0.25">
      <c r="A2492" s="4">
        <v>43136</v>
      </c>
      <c r="B2492" s="3">
        <f>YEAR(SalesData[[#This Row],[Order Date]])</f>
        <v>2018</v>
      </c>
      <c r="C2492" s="3">
        <f>MONTH(SalesData[[#This Row],[Order Date]])</f>
        <v>2</v>
      </c>
      <c r="D2492" t="s">
        <v>62</v>
      </c>
      <c r="E2492" t="s">
        <v>60</v>
      </c>
      <c r="F2492" t="s">
        <v>15</v>
      </c>
      <c r="G2492" t="s">
        <v>38</v>
      </c>
      <c r="H2492" t="s">
        <v>39</v>
      </c>
      <c r="I2492" s="2">
        <v>1928.6</v>
      </c>
      <c r="J2492" s="3">
        <v>1</v>
      </c>
      <c r="K2492" s="2">
        <v>157.13999999999999</v>
      </c>
    </row>
    <row r="2493" spans="1:11" x14ac:dyDescent="0.25">
      <c r="A2493" s="4">
        <v>43136</v>
      </c>
      <c r="B2493" s="3">
        <f>YEAR(SalesData[[#This Row],[Order Date]])</f>
        <v>2018</v>
      </c>
      <c r="C2493" s="3">
        <f>MONTH(SalesData[[#This Row],[Order Date]])</f>
        <v>2</v>
      </c>
      <c r="D2493" t="s">
        <v>62</v>
      </c>
      <c r="E2493" t="s">
        <v>52</v>
      </c>
      <c r="F2493" t="s">
        <v>11</v>
      </c>
      <c r="G2493" t="s">
        <v>12</v>
      </c>
      <c r="H2493" t="s">
        <v>13</v>
      </c>
      <c r="I2493" s="2">
        <v>3495.48</v>
      </c>
      <c r="J2493" s="3">
        <v>10</v>
      </c>
      <c r="K2493" s="2">
        <v>861.94</v>
      </c>
    </row>
    <row r="2494" spans="1:11" x14ac:dyDescent="0.25">
      <c r="A2494" s="4">
        <v>43137</v>
      </c>
      <c r="B2494" s="3">
        <f>YEAR(SalesData[[#This Row],[Order Date]])</f>
        <v>2018</v>
      </c>
      <c r="C2494" s="3">
        <f>MONTH(SalesData[[#This Row],[Order Date]])</f>
        <v>2</v>
      </c>
      <c r="D2494" t="s">
        <v>23</v>
      </c>
      <c r="E2494" t="s">
        <v>37</v>
      </c>
      <c r="F2494" t="s">
        <v>11</v>
      </c>
      <c r="G2494" t="s">
        <v>21</v>
      </c>
      <c r="H2494" t="s">
        <v>22</v>
      </c>
      <c r="I2494" s="2">
        <v>1494.65</v>
      </c>
      <c r="J2494" s="3">
        <v>5</v>
      </c>
      <c r="K2494" s="2">
        <v>398.06</v>
      </c>
    </row>
    <row r="2495" spans="1:11" x14ac:dyDescent="0.25">
      <c r="A2495" s="4">
        <v>43138</v>
      </c>
      <c r="B2495" s="3">
        <f>YEAR(SalesData[[#This Row],[Order Date]])</f>
        <v>2018</v>
      </c>
      <c r="C2495" s="3">
        <f>MONTH(SalesData[[#This Row],[Order Date]])</f>
        <v>2</v>
      </c>
      <c r="D2495" t="s">
        <v>62</v>
      </c>
      <c r="E2495" t="s">
        <v>37</v>
      </c>
      <c r="F2495" t="s">
        <v>15</v>
      </c>
      <c r="G2495" t="s">
        <v>38</v>
      </c>
      <c r="H2495" t="s">
        <v>39</v>
      </c>
      <c r="I2495" s="2">
        <v>3465.37</v>
      </c>
      <c r="J2495" s="3">
        <v>6</v>
      </c>
      <c r="K2495" s="2">
        <v>445.24</v>
      </c>
    </row>
    <row r="2496" spans="1:11" x14ac:dyDescent="0.25">
      <c r="A2496" s="4">
        <v>43138</v>
      </c>
      <c r="B2496" s="3">
        <f>YEAR(SalesData[[#This Row],[Order Date]])</f>
        <v>2018</v>
      </c>
      <c r="C2496" s="3">
        <f>MONTH(SalesData[[#This Row],[Order Date]])</f>
        <v>2</v>
      </c>
      <c r="D2496" t="s">
        <v>14</v>
      </c>
      <c r="E2496" t="s">
        <v>40</v>
      </c>
      <c r="F2496" t="s">
        <v>15</v>
      </c>
      <c r="G2496" t="s">
        <v>63</v>
      </c>
      <c r="H2496" t="s">
        <v>66</v>
      </c>
      <c r="I2496" s="2">
        <v>4809.38</v>
      </c>
      <c r="J2496" s="3">
        <v>8</v>
      </c>
      <c r="K2496" s="2">
        <v>447.46</v>
      </c>
    </row>
    <row r="2497" spans="1:11" x14ac:dyDescent="0.25">
      <c r="A2497" s="4">
        <v>43139</v>
      </c>
      <c r="B2497" s="3">
        <f>YEAR(SalesData[[#This Row],[Order Date]])</f>
        <v>2018</v>
      </c>
      <c r="C2497" s="3">
        <f>MONTH(SalesData[[#This Row],[Order Date]])</f>
        <v>2</v>
      </c>
      <c r="D2497" t="s">
        <v>62</v>
      </c>
      <c r="E2497" t="s">
        <v>40</v>
      </c>
      <c r="F2497" t="s">
        <v>11</v>
      </c>
      <c r="G2497" t="s">
        <v>24</v>
      </c>
      <c r="H2497" t="s">
        <v>25</v>
      </c>
      <c r="I2497" s="2">
        <v>1681.58</v>
      </c>
      <c r="J2497" s="3">
        <v>4</v>
      </c>
      <c r="K2497" s="2">
        <v>396.14</v>
      </c>
    </row>
    <row r="2498" spans="1:11" x14ac:dyDescent="0.25">
      <c r="A2498" s="4">
        <v>43139</v>
      </c>
      <c r="B2498" s="3">
        <f>YEAR(SalesData[[#This Row],[Order Date]])</f>
        <v>2018</v>
      </c>
      <c r="C2498" s="3">
        <f>MONTH(SalesData[[#This Row],[Order Date]])</f>
        <v>2</v>
      </c>
      <c r="D2498" t="s">
        <v>14</v>
      </c>
      <c r="E2498" t="s">
        <v>44</v>
      </c>
      <c r="F2498" t="s">
        <v>11</v>
      </c>
      <c r="G2498" t="s">
        <v>35</v>
      </c>
      <c r="H2498" t="s">
        <v>36</v>
      </c>
      <c r="I2498" s="2">
        <v>388.56</v>
      </c>
      <c r="J2498" s="3">
        <v>10</v>
      </c>
      <c r="K2498" s="2">
        <v>18.3</v>
      </c>
    </row>
    <row r="2499" spans="1:11" x14ac:dyDescent="0.25">
      <c r="A2499" s="4">
        <v>43139</v>
      </c>
      <c r="B2499" s="3">
        <f>YEAR(SalesData[[#This Row],[Order Date]])</f>
        <v>2018</v>
      </c>
      <c r="C2499" s="3">
        <f>MONTH(SalesData[[#This Row],[Order Date]])</f>
        <v>2</v>
      </c>
      <c r="D2499" t="s">
        <v>18</v>
      </c>
      <c r="E2499" t="s">
        <v>37</v>
      </c>
      <c r="F2499" t="s">
        <v>11</v>
      </c>
      <c r="G2499" t="s">
        <v>24</v>
      </c>
      <c r="H2499" t="s">
        <v>54</v>
      </c>
      <c r="I2499" s="2">
        <v>2419.5300000000002</v>
      </c>
      <c r="J2499" s="3">
        <v>2</v>
      </c>
      <c r="K2499" s="2">
        <v>652.05999999999995</v>
      </c>
    </row>
    <row r="2500" spans="1:11" x14ac:dyDescent="0.25">
      <c r="A2500" s="4">
        <v>43139</v>
      </c>
      <c r="B2500" s="3">
        <f>YEAR(SalesData[[#This Row],[Order Date]])</f>
        <v>2018</v>
      </c>
      <c r="C2500" s="3">
        <f>MONTH(SalesData[[#This Row],[Order Date]])</f>
        <v>2</v>
      </c>
      <c r="D2500" t="s">
        <v>18</v>
      </c>
      <c r="E2500" t="s">
        <v>31</v>
      </c>
      <c r="F2500" t="s">
        <v>27</v>
      </c>
      <c r="G2500" t="s">
        <v>28</v>
      </c>
      <c r="H2500" t="s">
        <v>69</v>
      </c>
      <c r="I2500" s="2">
        <v>1999.88</v>
      </c>
      <c r="J2500" s="3">
        <v>4</v>
      </c>
      <c r="K2500" s="2">
        <v>245.79</v>
      </c>
    </row>
    <row r="2501" spans="1:11" x14ac:dyDescent="0.25">
      <c r="A2501" s="4">
        <v>43140</v>
      </c>
      <c r="B2501" s="3">
        <f>YEAR(SalesData[[#This Row],[Order Date]])</f>
        <v>2018</v>
      </c>
      <c r="C2501" s="3">
        <f>MONTH(SalesData[[#This Row],[Order Date]])</f>
        <v>2</v>
      </c>
      <c r="D2501" t="s">
        <v>9</v>
      </c>
      <c r="E2501" t="s">
        <v>34</v>
      </c>
      <c r="F2501" t="s">
        <v>27</v>
      </c>
      <c r="G2501" t="s">
        <v>28</v>
      </c>
      <c r="H2501" t="s">
        <v>69</v>
      </c>
      <c r="I2501" s="2">
        <v>3147.12</v>
      </c>
      <c r="J2501" s="3">
        <v>3</v>
      </c>
      <c r="K2501" s="2">
        <v>586.54999999999995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7048-0A00-4D1C-8B6A-D0C1D3C0371C}">
  <dimension ref="A1"/>
  <sheetViews>
    <sheetView showGridLines="0" showRowColHeaders="0" tabSelected="1" workbookViewId="0">
      <selection activeCell="R24" sqref="R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CategoryWiseSales</vt:lpstr>
      <vt:lpstr>YearWiseProfit</vt:lpstr>
      <vt:lpstr>MonthWiseSales</vt:lpstr>
      <vt:lpstr>Top5Customer</vt:lpstr>
      <vt:lpstr>StateWiseSales</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shashank bhatt</cp:lastModifiedBy>
  <dcterms:created xsi:type="dcterms:W3CDTF">2026-04-15T04:55:12Z</dcterms:created>
  <dcterms:modified xsi:type="dcterms:W3CDTF">2026-04-15T07:54:00Z</dcterms:modified>
</cp:coreProperties>
</file>